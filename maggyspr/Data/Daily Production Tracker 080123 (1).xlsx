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angui\Downloads\"/>
    </mc:Choice>
  </mc:AlternateContent>
  <xr:revisionPtr revIDLastSave="0" documentId="8_{873881C8-3E4F-4965-B97C-B7525AF04501}" xr6:coauthVersionLast="47" xr6:coauthVersionMax="47" xr10:uidLastSave="{00000000-0000-0000-0000-000000000000}"/>
  <bookViews>
    <workbookView xWindow="0" yWindow="0" windowWidth="28800" windowHeight="12180" firstSheet="3" activeTab="3" xr2:uid="{00000000-000D-0000-FFFF-FFFF00000000}"/>
  </bookViews>
  <sheets>
    <sheet name="Sheet6" sheetId="9" r:id="rId1"/>
    <sheet name="August Data Dump (2)" sheetId="8" r:id="rId2"/>
    <sheet name="Sheet3" sheetId="5" r:id="rId3"/>
    <sheet name="August Data Dump" sheetId="1" r:id="rId4"/>
    <sheet name="Sheet1" sheetId="3" r:id="rId5"/>
    <sheet name="Active on projects" sheetId="2" r:id="rId6"/>
    <sheet name="Sheet1 (2)" sheetId="7" r:id="rId7"/>
  </sheets>
  <definedNames>
    <definedName name="_xlnm._FilterDatabase" localSheetId="3" hidden="1">'August Data Dump'!$A$4:$Q$243</definedName>
    <definedName name="_xlnm._FilterDatabase" localSheetId="1" hidden="1">'August Data Dump (2)'!$A$4:$O$145</definedName>
  </definedNames>
  <calcPr calcId="191028"/>
  <pivotCaches>
    <pivotCache cacheId="20564" r:id="rId8"/>
    <pivotCache cacheId="2056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9" i="7" l="1"/>
  <c r="I269" i="7" s="1"/>
  <c r="J269" i="7" s="1"/>
  <c r="H290" i="7"/>
  <c r="I290" i="7" s="1"/>
  <c r="J290" i="7" s="1"/>
  <c r="H289" i="7"/>
  <c r="I289" i="7" s="1"/>
  <c r="J289" i="7" s="1"/>
  <c r="H288" i="7"/>
  <c r="I288" i="7" s="1"/>
  <c r="J288" i="7" s="1"/>
  <c r="H287" i="7"/>
  <c r="I287" i="7" s="1"/>
  <c r="J287" i="7" s="1"/>
  <c r="H286" i="7"/>
  <c r="I286" i="7" s="1"/>
  <c r="J286" i="7" s="1"/>
  <c r="H285" i="7"/>
  <c r="I285" i="7" s="1"/>
  <c r="J285" i="7" s="1"/>
  <c r="H284" i="7"/>
  <c r="I284" i="7" s="1"/>
  <c r="J284" i="7" s="1"/>
  <c r="H283" i="7"/>
  <c r="I283" i="7" s="1"/>
  <c r="J283" i="7" s="1"/>
  <c r="H282" i="7"/>
  <c r="I282" i="7" s="1"/>
  <c r="J282" i="7" s="1"/>
  <c r="H281" i="7"/>
  <c r="I281" i="7" s="1"/>
  <c r="J281" i="7" s="1"/>
  <c r="H280" i="7"/>
  <c r="I280" i="7" s="1"/>
  <c r="J280" i="7" s="1"/>
  <c r="H279" i="7"/>
  <c r="I279" i="7" s="1"/>
  <c r="J279" i="7" s="1"/>
  <c r="H278" i="7"/>
  <c r="I278" i="7" s="1"/>
  <c r="J278" i="7" s="1"/>
  <c r="H277" i="7"/>
  <c r="I277" i="7" s="1"/>
  <c r="J277" i="7" s="1"/>
  <c r="H276" i="7"/>
  <c r="I276" i="7" s="1"/>
  <c r="J276" i="7" s="1"/>
  <c r="H275" i="7"/>
  <c r="I275" i="7" s="1"/>
  <c r="J275" i="7" s="1"/>
  <c r="H274" i="7"/>
  <c r="I274" i="7" s="1"/>
  <c r="J274" i="7" s="1"/>
  <c r="H273" i="7"/>
  <c r="I273" i="7" s="1"/>
  <c r="J273" i="7" s="1"/>
  <c r="H272" i="7"/>
  <c r="I272" i="7" s="1"/>
  <c r="J272" i="7" s="1"/>
  <c r="H271" i="7"/>
  <c r="I271" i="7" s="1"/>
  <c r="J271" i="7" s="1"/>
  <c r="H270" i="7"/>
  <c r="I270" i="7" s="1"/>
  <c r="J270" i="7" s="1"/>
  <c r="H268" i="7"/>
  <c r="I268" i="7" s="1"/>
  <c r="J268" i="7" s="1"/>
  <c r="H267" i="7"/>
  <c r="I267" i="7" s="1"/>
  <c r="J267" i="7" s="1"/>
  <c r="H266" i="7"/>
  <c r="I266" i="7" s="1"/>
  <c r="J266" i="7" s="1"/>
  <c r="H265" i="7"/>
  <c r="I265" i="7" s="1"/>
  <c r="J265" i="7" s="1"/>
  <c r="H264" i="7"/>
  <c r="I264" i="7" s="1"/>
  <c r="J264" i="7" s="1"/>
  <c r="H263" i="7"/>
  <c r="I263" i="7" s="1"/>
  <c r="J263" i="7" s="1"/>
  <c r="H262" i="7"/>
  <c r="I262" i="7" s="1"/>
  <c r="J262" i="7" s="1"/>
  <c r="H261" i="7"/>
  <c r="I261" i="7" s="1"/>
  <c r="J261" i="7" s="1"/>
  <c r="H260" i="7"/>
  <c r="I260" i="7" s="1"/>
  <c r="J260" i="7" s="1"/>
  <c r="H259" i="7"/>
  <c r="I259" i="7" s="1"/>
  <c r="J259" i="7" s="1"/>
  <c r="H258" i="7"/>
  <c r="I258" i="7" s="1"/>
  <c r="J258" i="7" s="1"/>
  <c r="H257" i="7"/>
  <c r="I257" i="7" s="1"/>
  <c r="J257" i="7" s="1"/>
  <c r="H256" i="7"/>
  <c r="I256" i="7" s="1"/>
  <c r="J256" i="7" s="1"/>
  <c r="H255" i="7"/>
  <c r="I255" i="7" s="1"/>
  <c r="J255" i="7" s="1"/>
  <c r="H254" i="7"/>
  <c r="I254" i="7" s="1"/>
  <c r="J254" i="7" s="1"/>
  <c r="H253" i="7"/>
  <c r="I253" i="7" s="1"/>
  <c r="J253" i="7" s="1"/>
  <c r="H252" i="7"/>
  <c r="I252" i="7" s="1"/>
  <c r="J252" i="7" s="1"/>
  <c r="H251" i="7"/>
  <c r="I251" i="7" s="1"/>
  <c r="J251" i="7" s="1"/>
  <c r="H250" i="7"/>
  <c r="I250" i="7" s="1"/>
  <c r="J250" i="7" s="1"/>
  <c r="H249" i="7"/>
  <c r="I249" i="7" s="1"/>
  <c r="J249" i="7" s="1"/>
  <c r="H46" i="8" l="1"/>
  <c r="G5" i="8"/>
  <c r="N8" i="8"/>
  <c r="O8" i="8" s="1"/>
  <c r="O7" i="8"/>
  <c r="O6" i="8"/>
  <c r="O5" i="8"/>
  <c r="O4" i="8"/>
  <c r="H2" i="7"/>
  <c r="I2" i="7" s="1"/>
  <c r="J2" i="7" s="1"/>
  <c r="H3" i="7"/>
  <c r="I3" i="7"/>
  <c r="J3" i="7"/>
  <c r="H4" i="7"/>
  <c r="I4" i="7"/>
  <c r="J4" i="7" s="1"/>
  <c r="H5" i="7"/>
  <c r="I5" i="7" s="1"/>
  <c r="J5" i="7" s="1"/>
  <c r="H6" i="7"/>
  <c r="I6" i="7"/>
  <c r="J6" i="7"/>
  <c r="H7" i="7"/>
  <c r="I7" i="7" s="1"/>
  <c r="J7" i="7" s="1"/>
  <c r="H8" i="7"/>
  <c r="I8" i="7"/>
  <c r="J8" i="7"/>
  <c r="H9" i="7"/>
  <c r="I9" i="7"/>
  <c r="J9" i="7"/>
  <c r="H10" i="7"/>
  <c r="I10" i="7" s="1"/>
  <c r="J10" i="7" s="1"/>
  <c r="H11" i="7"/>
  <c r="I11" i="7"/>
  <c r="J11" i="7"/>
  <c r="H12" i="7"/>
  <c r="I12" i="7"/>
  <c r="J12" i="7" s="1"/>
  <c r="H13" i="7"/>
  <c r="I13" i="7" s="1"/>
  <c r="J13" i="7" s="1"/>
  <c r="H14" i="7"/>
  <c r="I14" i="7"/>
  <c r="J14" i="7"/>
  <c r="H15" i="7"/>
  <c r="I15" i="7" s="1"/>
  <c r="J15" i="7" s="1"/>
  <c r="H16" i="7"/>
  <c r="I16" i="7"/>
  <c r="J16" i="7"/>
  <c r="H17" i="7"/>
  <c r="I17" i="7"/>
  <c r="J17" i="7"/>
  <c r="H18" i="7"/>
  <c r="I18" i="7" s="1"/>
  <c r="J18" i="7" s="1"/>
  <c r="H19" i="7"/>
  <c r="I19" i="7"/>
  <c r="J19" i="7"/>
  <c r="H20" i="7"/>
  <c r="I20" i="7"/>
  <c r="J20" i="7" s="1"/>
  <c r="H21" i="7"/>
  <c r="I21" i="7" s="1"/>
  <c r="J21" i="7" s="1"/>
  <c r="H22" i="7"/>
  <c r="I22" i="7"/>
  <c r="J22" i="7"/>
  <c r="H23" i="7"/>
  <c r="I23" i="7" s="1"/>
  <c r="J23" i="7" s="1"/>
  <c r="H24" i="7"/>
  <c r="I24" i="7"/>
  <c r="J24" i="7"/>
  <c r="H25" i="7"/>
  <c r="I25" i="7"/>
  <c r="J25" i="7"/>
  <c r="H26" i="7"/>
  <c r="I26" i="7" s="1"/>
  <c r="J26" i="7" s="1"/>
  <c r="H27" i="7"/>
  <c r="I27" i="7"/>
  <c r="J27" i="7"/>
  <c r="H28" i="7"/>
  <c r="I28" i="7"/>
  <c r="J28" i="7" s="1"/>
  <c r="H29" i="7"/>
  <c r="I29" i="7" s="1"/>
  <c r="J29" i="7" s="1"/>
  <c r="H30" i="7"/>
  <c r="I30" i="7"/>
  <c r="J30" i="7"/>
  <c r="H31" i="7"/>
  <c r="I31" i="7" s="1"/>
  <c r="J31" i="7" s="1"/>
  <c r="H32" i="7"/>
  <c r="I32" i="7"/>
  <c r="J32" i="7"/>
  <c r="H33" i="7"/>
  <c r="I33" i="7"/>
  <c r="J33" i="7"/>
  <c r="H34" i="7"/>
  <c r="I34" i="7" s="1"/>
  <c r="J34" i="7" s="1"/>
  <c r="H35" i="7"/>
  <c r="I35" i="7"/>
  <c r="J35" i="7"/>
  <c r="H36" i="7"/>
  <c r="I36" i="7"/>
  <c r="J36" i="7" s="1"/>
  <c r="H37" i="7"/>
  <c r="I37" i="7" s="1"/>
  <c r="J37" i="7" s="1"/>
  <c r="H38" i="7"/>
  <c r="I38" i="7"/>
  <c r="J38" i="7"/>
  <c r="H39" i="7"/>
  <c r="I39" i="7" s="1"/>
  <c r="J39" i="7" s="1"/>
  <c r="H40" i="7"/>
  <c r="I40" i="7"/>
  <c r="J40" i="7"/>
  <c r="H41" i="7"/>
  <c r="I41" i="7"/>
  <c r="J41" i="7"/>
  <c r="H42" i="7"/>
  <c r="I42" i="7" s="1"/>
  <c r="J42" i="7" s="1"/>
  <c r="H43" i="7"/>
  <c r="I43" i="7"/>
  <c r="J43" i="7"/>
  <c r="H44" i="7"/>
  <c r="I44" i="7"/>
  <c r="J44" i="7" s="1"/>
  <c r="H45" i="7"/>
  <c r="I45" i="7"/>
  <c r="J45" i="7"/>
  <c r="H46" i="7"/>
  <c r="I46" i="7"/>
  <c r="J46" i="7"/>
  <c r="H47" i="7"/>
  <c r="I47" i="7" s="1"/>
  <c r="J47" i="7" s="1"/>
  <c r="H48" i="7"/>
  <c r="I48" i="7"/>
  <c r="J48" i="7"/>
  <c r="H49" i="7"/>
  <c r="I49" i="7"/>
  <c r="J49" i="7"/>
  <c r="H50" i="7"/>
  <c r="I50" i="7" s="1"/>
  <c r="J50" i="7" s="1"/>
  <c r="H51" i="7"/>
  <c r="I51" i="7"/>
  <c r="J51" i="7"/>
  <c r="H52" i="7"/>
  <c r="I52" i="7"/>
  <c r="J52" i="7" s="1"/>
  <c r="H53" i="7"/>
  <c r="I53" i="7"/>
  <c r="J53" i="7"/>
  <c r="H54" i="7"/>
  <c r="I54" i="7"/>
  <c r="J54" i="7"/>
  <c r="H55" i="7"/>
  <c r="I55" i="7" s="1"/>
  <c r="J55" i="7" s="1"/>
  <c r="H56" i="7"/>
  <c r="I56" i="7"/>
  <c r="J56" i="7"/>
  <c r="H57" i="7"/>
  <c r="I57" i="7"/>
  <c r="J57" i="7"/>
  <c r="H58" i="7"/>
  <c r="I58" i="7" s="1"/>
  <c r="J58" i="7" s="1"/>
  <c r="H59" i="7"/>
  <c r="I59" i="7"/>
  <c r="J59" i="7"/>
  <c r="H60" i="7"/>
  <c r="I60" i="7"/>
  <c r="J60" i="7" s="1"/>
  <c r="H61" i="7"/>
  <c r="I61" i="7"/>
  <c r="J61" i="7"/>
  <c r="H62" i="7"/>
  <c r="I62" i="7"/>
  <c r="J62" i="7"/>
  <c r="H63" i="7"/>
  <c r="I63" i="7" s="1"/>
  <c r="J63" i="7" s="1"/>
  <c r="H64" i="7"/>
  <c r="I64" i="7"/>
  <c r="J64" i="7"/>
  <c r="H65" i="7"/>
  <c r="I65" i="7"/>
  <c r="J65" i="7"/>
  <c r="H66" i="7"/>
  <c r="I66" i="7" s="1"/>
  <c r="J66" i="7" s="1"/>
  <c r="H67" i="7"/>
  <c r="I67" i="7"/>
  <c r="J67" i="7"/>
  <c r="H68" i="7"/>
  <c r="I68" i="7"/>
  <c r="J68" i="7" s="1"/>
  <c r="H69" i="7"/>
  <c r="I69" i="7" s="1"/>
  <c r="J69" i="7" s="1"/>
  <c r="H70" i="7"/>
  <c r="I70" i="7"/>
  <c r="J70" i="7"/>
  <c r="H71" i="7"/>
  <c r="I71" i="7" s="1"/>
  <c r="J71" i="7" s="1"/>
  <c r="H72" i="7"/>
  <c r="I72" i="7"/>
  <c r="J72" i="7"/>
  <c r="H73" i="7"/>
  <c r="I73" i="7"/>
  <c r="J73" i="7"/>
  <c r="H74" i="7"/>
  <c r="I74" i="7" s="1"/>
  <c r="J74" i="7" s="1"/>
  <c r="H75" i="7"/>
  <c r="I75" i="7"/>
  <c r="J75" i="7"/>
  <c r="H76" i="7"/>
  <c r="I76" i="7"/>
  <c r="J76" i="7" s="1"/>
  <c r="H77" i="7"/>
  <c r="I77" i="7" s="1"/>
  <c r="J77" i="7" s="1"/>
  <c r="H78" i="7"/>
  <c r="I78" i="7"/>
  <c r="J78" i="7"/>
  <c r="H79" i="7"/>
  <c r="I79" i="7" s="1"/>
  <c r="J79" i="7" s="1"/>
  <c r="H80" i="7"/>
  <c r="I80" i="7"/>
  <c r="J80" i="7"/>
  <c r="H81" i="7"/>
  <c r="I81" i="7"/>
  <c r="J81" i="7"/>
  <c r="H82" i="7"/>
  <c r="I82" i="7" s="1"/>
  <c r="J82" i="7" s="1"/>
  <c r="H83" i="7"/>
  <c r="I83" i="7"/>
  <c r="J83" i="7"/>
  <c r="H84" i="7"/>
  <c r="I84" i="7"/>
  <c r="J84" i="7" s="1"/>
  <c r="H85" i="7"/>
  <c r="I85" i="7" s="1"/>
  <c r="J85" i="7" s="1"/>
  <c r="H86" i="7"/>
  <c r="I86" i="7"/>
  <c r="J86" i="7"/>
  <c r="H87" i="7"/>
  <c r="I87" i="7" s="1"/>
  <c r="J87" i="7" s="1"/>
  <c r="H88" i="7"/>
  <c r="I88" i="7"/>
  <c r="J88" i="7"/>
  <c r="H89" i="7"/>
  <c r="I89" i="7"/>
  <c r="J89" i="7"/>
  <c r="H90" i="7"/>
  <c r="I90" i="7"/>
  <c r="J90" i="7" s="1"/>
  <c r="H91" i="7"/>
  <c r="I91" i="7"/>
  <c r="J91" i="7"/>
  <c r="H92" i="7"/>
  <c r="I92" i="7"/>
  <c r="J92" i="7" s="1"/>
  <c r="H93" i="7"/>
  <c r="I93" i="7" s="1"/>
  <c r="J93" i="7" s="1"/>
  <c r="H94" i="7"/>
  <c r="I94" i="7"/>
  <c r="J94" i="7"/>
  <c r="H95" i="7"/>
  <c r="I95" i="7" s="1"/>
  <c r="J95" i="7" s="1"/>
  <c r="H96" i="7"/>
  <c r="I96" i="7"/>
  <c r="J96" i="7"/>
  <c r="H97" i="7"/>
  <c r="I97" i="7"/>
  <c r="J97" i="7"/>
  <c r="H98" i="7"/>
  <c r="I98" i="7"/>
  <c r="J98" i="7" s="1"/>
  <c r="H99" i="7"/>
  <c r="I99" i="7"/>
  <c r="J99" i="7"/>
  <c r="H100" i="7"/>
  <c r="I100" i="7"/>
  <c r="J100" i="7" s="1"/>
  <c r="H101" i="7"/>
  <c r="I101" i="7" s="1"/>
  <c r="J101" i="7" s="1"/>
  <c r="H102" i="7"/>
  <c r="I102" i="7"/>
  <c r="J102" i="7"/>
  <c r="H103" i="7"/>
  <c r="I103" i="7" s="1"/>
  <c r="J103" i="7" s="1"/>
  <c r="H104" i="7"/>
  <c r="I104" i="7" s="1"/>
  <c r="J104" i="7" s="1"/>
  <c r="H105" i="7"/>
  <c r="I105" i="7"/>
  <c r="J105" i="7"/>
  <c r="H106" i="7"/>
  <c r="I106" i="7"/>
  <c r="J106" i="7" s="1"/>
  <c r="H107" i="7"/>
  <c r="I107" i="7"/>
  <c r="J107" i="7"/>
  <c r="H108" i="7"/>
  <c r="I108" i="7"/>
  <c r="J108" i="7" s="1"/>
  <c r="H109" i="7"/>
  <c r="I109" i="7" s="1"/>
  <c r="J109" i="7" s="1"/>
  <c r="H110" i="7"/>
  <c r="I110" i="7"/>
  <c r="J110" i="7"/>
  <c r="H111" i="7"/>
  <c r="I111" i="7" s="1"/>
  <c r="J111" i="7" s="1"/>
  <c r="H112" i="7"/>
  <c r="I112" i="7" s="1"/>
  <c r="J112" i="7" s="1"/>
  <c r="H113" i="7"/>
  <c r="I113" i="7"/>
  <c r="J113" i="7"/>
  <c r="H114" i="7"/>
  <c r="I114" i="7" s="1"/>
  <c r="J114" i="7" s="1"/>
  <c r="H115" i="7"/>
  <c r="I115" i="7"/>
  <c r="J115" i="7"/>
  <c r="H116" i="7"/>
  <c r="I116" i="7"/>
  <c r="J116" i="7" s="1"/>
  <c r="H117" i="7"/>
  <c r="I117" i="7" s="1"/>
  <c r="J117" i="7" s="1"/>
  <c r="H118" i="7"/>
  <c r="I118" i="7"/>
  <c r="J118" i="7"/>
  <c r="H119" i="7"/>
  <c r="I119" i="7" s="1"/>
  <c r="J119" i="7" s="1"/>
  <c r="H120" i="7"/>
  <c r="I120" i="7"/>
  <c r="J120" i="7" s="1"/>
  <c r="H121" i="7"/>
  <c r="I121" i="7"/>
  <c r="J121" i="7"/>
  <c r="H122" i="7"/>
  <c r="I122" i="7"/>
  <c r="J122" i="7" s="1"/>
  <c r="H123" i="7"/>
  <c r="I123" i="7" s="1"/>
  <c r="J123" i="7" s="1"/>
  <c r="H124" i="7"/>
  <c r="I124" i="7"/>
  <c r="J124" i="7" s="1"/>
  <c r="H125" i="7"/>
  <c r="I125" i="7" s="1"/>
  <c r="J125" i="7" s="1"/>
  <c r="H126" i="7"/>
  <c r="I126" i="7"/>
  <c r="J126" i="7"/>
  <c r="H127" i="7"/>
  <c r="I127" i="7" s="1"/>
  <c r="J127" i="7" s="1"/>
  <c r="H128" i="7"/>
  <c r="I128" i="7" s="1"/>
  <c r="J128" i="7" s="1"/>
  <c r="H129" i="7"/>
  <c r="I129" i="7"/>
  <c r="J129" i="7"/>
  <c r="H130" i="7"/>
  <c r="I130" i="7" s="1"/>
  <c r="J130" i="7" s="1"/>
  <c r="H131" i="7"/>
  <c r="I131" i="7" s="1"/>
  <c r="J131" i="7" s="1"/>
  <c r="H132" i="7"/>
  <c r="I132" i="7"/>
  <c r="J132" i="7" s="1"/>
  <c r="H133" i="7"/>
  <c r="I133" i="7" s="1"/>
  <c r="J133" i="7" s="1"/>
  <c r="H134" i="7"/>
  <c r="I134" i="7"/>
  <c r="J134" i="7"/>
  <c r="H135" i="7"/>
  <c r="I135" i="7" s="1"/>
  <c r="J135" i="7" s="1"/>
  <c r="H136" i="7"/>
  <c r="I136" i="7" s="1"/>
  <c r="J136" i="7" s="1"/>
  <c r="H137" i="7"/>
  <c r="I137" i="7"/>
  <c r="J137" i="7"/>
  <c r="H138" i="7"/>
  <c r="I138" i="7" s="1"/>
  <c r="J138" i="7" s="1"/>
  <c r="H139" i="7"/>
  <c r="I139" i="7" s="1"/>
  <c r="J139" i="7" s="1"/>
  <c r="H140" i="7"/>
  <c r="I140" i="7"/>
  <c r="J140" i="7" s="1"/>
  <c r="H141" i="7"/>
  <c r="I141" i="7" s="1"/>
  <c r="J141" i="7" s="1"/>
  <c r="H142" i="7"/>
  <c r="I142" i="7"/>
  <c r="J142" i="7"/>
  <c r="H143" i="7"/>
  <c r="I143" i="7" s="1"/>
  <c r="J143" i="7" s="1"/>
  <c r="H144" i="7"/>
  <c r="I144" i="7" s="1"/>
  <c r="J144" i="7" s="1"/>
  <c r="H145" i="7"/>
  <c r="I145" i="7"/>
  <c r="J145" i="7"/>
  <c r="H146" i="7"/>
  <c r="I146" i="7" s="1"/>
  <c r="J146" i="7" s="1"/>
  <c r="H147" i="7"/>
  <c r="I147" i="7" s="1"/>
  <c r="J147" i="7" s="1"/>
  <c r="H148" i="7"/>
  <c r="I148" i="7"/>
  <c r="J148" i="7" s="1"/>
  <c r="H149" i="7"/>
  <c r="I149" i="7" s="1"/>
  <c r="J149" i="7" s="1"/>
  <c r="H150" i="7"/>
  <c r="I150" i="7"/>
  <c r="J150" i="7"/>
  <c r="H151" i="7"/>
  <c r="I151" i="7" s="1"/>
  <c r="J151" i="7" s="1"/>
  <c r="H152" i="7"/>
  <c r="I152" i="7" s="1"/>
  <c r="J152" i="7" s="1"/>
  <c r="H153" i="7"/>
  <c r="I153" i="7"/>
  <c r="J153" i="7"/>
  <c r="H154" i="7"/>
  <c r="I154" i="7" s="1"/>
  <c r="J154" i="7" s="1"/>
  <c r="H155" i="7"/>
  <c r="I155" i="7" s="1"/>
  <c r="J155" i="7" s="1"/>
  <c r="H156" i="7"/>
  <c r="I156" i="7"/>
  <c r="J156" i="7" s="1"/>
  <c r="H157" i="7"/>
  <c r="I157" i="7" s="1"/>
  <c r="J157" i="7" s="1"/>
  <c r="H158" i="7"/>
  <c r="I158" i="7"/>
  <c r="J158" i="7"/>
  <c r="H159" i="7"/>
  <c r="I159" i="7" s="1"/>
  <c r="J159" i="7" s="1"/>
  <c r="H160" i="7"/>
  <c r="I160" i="7" s="1"/>
  <c r="J160" i="7" s="1"/>
  <c r="H161" i="7"/>
  <c r="I161" i="7"/>
  <c r="J161" i="7"/>
  <c r="H162" i="7"/>
  <c r="I162" i="7" s="1"/>
  <c r="J162" i="7" s="1"/>
  <c r="H163" i="7"/>
  <c r="I163" i="7" s="1"/>
  <c r="J163" i="7" s="1"/>
  <c r="H164" i="7"/>
  <c r="I164" i="7"/>
  <c r="J164" i="7" s="1"/>
  <c r="H165" i="7"/>
  <c r="I165" i="7" s="1"/>
  <c r="J165" i="7" s="1"/>
  <c r="H166" i="7"/>
  <c r="I166" i="7"/>
  <c r="J166" i="7"/>
  <c r="H167" i="7"/>
  <c r="I167" i="7" s="1"/>
  <c r="J167" i="7" s="1"/>
  <c r="H168" i="7"/>
  <c r="I168" i="7" s="1"/>
  <c r="J168" i="7" s="1"/>
  <c r="H169" i="7"/>
  <c r="I169" i="7"/>
  <c r="J169" i="7"/>
  <c r="H170" i="7"/>
  <c r="I170" i="7" s="1"/>
  <c r="J170" i="7" s="1"/>
  <c r="H171" i="7"/>
  <c r="I171" i="7" s="1"/>
  <c r="J171" i="7" s="1"/>
  <c r="H172" i="7"/>
  <c r="I172" i="7"/>
  <c r="J172" i="7" s="1"/>
  <c r="H173" i="7"/>
  <c r="I173" i="7" s="1"/>
  <c r="J173" i="7" s="1"/>
  <c r="H174" i="7"/>
  <c r="I174" i="7"/>
  <c r="J174" i="7"/>
  <c r="H175" i="7"/>
  <c r="I175" i="7" s="1"/>
  <c r="J175" i="7" s="1"/>
  <c r="H176" i="7"/>
  <c r="I176" i="7"/>
  <c r="J176" i="7" s="1"/>
  <c r="H177" i="7"/>
  <c r="I177" i="7"/>
  <c r="J177" i="7"/>
  <c r="H178" i="7"/>
  <c r="I178" i="7"/>
  <c r="J178" i="7" s="1"/>
  <c r="H179" i="7"/>
  <c r="I179" i="7" s="1"/>
  <c r="J179" i="7" s="1"/>
  <c r="H180" i="7"/>
  <c r="I180" i="7"/>
  <c r="J180" i="7" s="1"/>
  <c r="H181" i="7"/>
  <c r="I181" i="7" s="1"/>
  <c r="J181" i="7" s="1"/>
  <c r="H182" i="7"/>
  <c r="I182" i="7"/>
  <c r="J182" i="7"/>
  <c r="H183" i="7"/>
  <c r="I183" i="7" s="1"/>
  <c r="J183" i="7" s="1"/>
  <c r="H184" i="7"/>
  <c r="I184" i="7"/>
  <c r="J184" i="7" s="1"/>
  <c r="H185" i="7"/>
  <c r="I185" i="7"/>
  <c r="J185" i="7"/>
  <c r="H186" i="7"/>
  <c r="I186" i="7"/>
  <c r="J186" i="7" s="1"/>
  <c r="H187" i="7"/>
  <c r="I187" i="7" s="1"/>
  <c r="J187" i="7" s="1"/>
  <c r="H188" i="7"/>
  <c r="I188" i="7"/>
  <c r="J188" i="7" s="1"/>
  <c r="H189" i="7"/>
  <c r="I189" i="7" s="1"/>
  <c r="J189" i="7" s="1"/>
  <c r="H190" i="7"/>
  <c r="I190" i="7"/>
  <c r="J190" i="7"/>
  <c r="H191" i="7"/>
  <c r="I191" i="7" s="1"/>
  <c r="J191" i="7" s="1"/>
  <c r="H192" i="7"/>
  <c r="I192" i="7" s="1"/>
  <c r="J192" i="7" s="1"/>
  <c r="H193" i="7"/>
  <c r="I193" i="7"/>
  <c r="J193" i="7"/>
  <c r="H194" i="7"/>
  <c r="I194" i="7" s="1"/>
  <c r="J194" i="7" s="1"/>
  <c r="H195" i="7"/>
  <c r="I195" i="7" s="1"/>
  <c r="J195" i="7" s="1"/>
  <c r="H196" i="7"/>
  <c r="I196" i="7"/>
  <c r="J196" i="7" s="1"/>
  <c r="H197" i="7"/>
  <c r="I197" i="7" s="1"/>
  <c r="J197" i="7" s="1"/>
  <c r="H198" i="7"/>
  <c r="I198" i="7"/>
  <c r="J198" i="7"/>
  <c r="H199" i="7"/>
  <c r="I199" i="7" s="1"/>
  <c r="J199" i="7" s="1"/>
  <c r="H200" i="7"/>
  <c r="I200" i="7" s="1"/>
  <c r="J200" i="7" s="1"/>
  <c r="H201" i="7"/>
  <c r="I201" i="7"/>
  <c r="J201" i="7"/>
  <c r="H202" i="7"/>
  <c r="I202" i="7" s="1"/>
  <c r="J202" i="7" s="1"/>
  <c r="H203" i="7"/>
  <c r="I203" i="7" s="1"/>
  <c r="J203" i="7" s="1"/>
  <c r="H204" i="7"/>
  <c r="I204" i="7"/>
  <c r="J204" i="7" s="1"/>
  <c r="H205" i="7"/>
  <c r="I205" i="7" s="1"/>
  <c r="J205" i="7" s="1"/>
  <c r="H206" i="7"/>
  <c r="I206" i="7"/>
  <c r="J206" i="7"/>
  <c r="H207" i="7"/>
  <c r="I207" i="7" s="1"/>
  <c r="J207" i="7" s="1"/>
  <c r="H208" i="7"/>
  <c r="I208" i="7" s="1"/>
  <c r="J208" i="7" s="1"/>
  <c r="H209" i="7"/>
  <c r="I209" i="7"/>
  <c r="J209" i="7"/>
  <c r="H210" i="7"/>
  <c r="I210" i="7" s="1"/>
  <c r="J210" i="7" s="1"/>
  <c r="H211" i="7"/>
  <c r="I211" i="7" s="1"/>
  <c r="J211" i="7" s="1"/>
  <c r="H212" i="7"/>
  <c r="I212" i="7"/>
  <c r="J212" i="7" s="1"/>
  <c r="H213" i="7"/>
  <c r="I213" i="7" s="1"/>
  <c r="J213" i="7" s="1"/>
  <c r="H214" i="7"/>
  <c r="I214" i="7"/>
  <c r="J214" i="7"/>
  <c r="H215" i="7"/>
  <c r="I215" i="7" s="1"/>
  <c r="J215" i="7" s="1"/>
  <c r="H216" i="7"/>
  <c r="I216" i="7" s="1"/>
  <c r="J216" i="7" s="1"/>
  <c r="H217" i="7"/>
  <c r="I217" i="7"/>
  <c r="J217" i="7"/>
  <c r="H218" i="7"/>
  <c r="I218" i="7" s="1"/>
  <c r="J218" i="7" s="1"/>
  <c r="H219" i="7"/>
  <c r="I219" i="7" s="1"/>
  <c r="J219" i="7" s="1"/>
  <c r="H220" i="7"/>
  <c r="I220" i="7"/>
  <c r="J220" i="7" s="1"/>
  <c r="H221" i="7"/>
  <c r="I221" i="7" s="1"/>
  <c r="J221" i="7" s="1"/>
  <c r="H222" i="7"/>
  <c r="I222" i="7"/>
  <c r="J222" i="7"/>
  <c r="H223" i="7"/>
  <c r="I223" i="7" s="1"/>
  <c r="J223" i="7" s="1"/>
  <c r="H224" i="7"/>
  <c r="I224" i="7" s="1"/>
  <c r="J224" i="7" s="1"/>
  <c r="H225" i="7"/>
  <c r="I225" i="7"/>
  <c r="J225" i="7"/>
  <c r="H226" i="7"/>
  <c r="I226" i="7" s="1"/>
  <c r="J226" i="7" s="1"/>
  <c r="H227" i="7"/>
  <c r="I227" i="7" s="1"/>
  <c r="J227" i="7" s="1"/>
  <c r="H228" i="7"/>
  <c r="I228" i="7"/>
  <c r="J228" i="7" s="1"/>
  <c r="H229" i="7"/>
  <c r="I229" i="7" s="1"/>
  <c r="J229" i="7" s="1"/>
  <c r="H230" i="7"/>
  <c r="I230" i="7"/>
  <c r="J230" i="7"/>
  <c r="H231" i="7"/>
  <c r="I231" i="7" s="1"/>
  <c r="J231" i="7" s="1"/>
  <c r="H232" i="7"/>
  <c r="I232" i="7" s="1"/>
  <c r="J232" i="7" s="1"/>
  <c r="H233" i="7"/>
  <c r="I233" i="7"/>
  <c r="J233" i="7"/>
  <c r="H234" i="7"/>
  <c r="I234" i="7" s="1"/>
  <c r="J234" i="7" s="1"/>
  <c r="H235" i="7"/>
  <c r="I235" i="7" s="1"/>
  <c r="J235" i="7" s="1"/>
  <c r="H236" i="7"/>
  <c r="I236" i="7"/>
  <c r="J236" i="7" s="1"/>
  <c r="H237" i="7"/>
  <c r="I237" i="7" s="1"/>
  <c r="J237" i="7" s="1"/>
  <c r="H238" i="7"/>
  <c r="I238" i="7"/>
  <c r="J238" i="7"/>
  <c r="H239" i="7"/>
  <c r="I239" i="7" s="1"/>
  <c r="J239" i="7" s="1"/>
  <c r="H240" i="7"/>
  <c r="I240" i="7" s="1"/>
  <c r="J240" i="7" s="1"/>
  <c r="H241" i="7"/>
  <c r="I241" i="7"/>
  <c r="J241" i="7"/>
  <c r="H242" i="7"/>
  <c r="I242" i="7" s="1"/>
  <c r="J242" i="7" s="1"/>
  <c r="H243" i="7"/>
  <c r="I243" i="7"/>
  <c r="J243" i="7"/>
  <c r="H244" i="7"/>
  <c r="I244" i="7"/>
  <c r="J244" i="7" s="1"/>
  <c r="H245" i="7"/>
  <c r="I245" i="7" s="1"/>
  <c r="J245" i="7" s="1"/>
  <c r="H246" i="7"/>
  <c r="I246" i="7"/>
  <c r="J246" i="7"/>
  <c r="H247" i="7"/>
  <c r="I247" i="7" s="1"/>
  <c r="J247" i="7" s="1"/>
  <c r="H248" i="7"/>
  <c r="I248" i="7" s="1"/>
  <c r="J248" i="7" s="1"/>
  <c r="D6" i="2" l="1"/>
  <c r="D14" i="2"/>
  <c r="D22" i="2"/>
  <c r="D23" i="2"/>
  <c r="D21" i="2"/>
  <c r="D8" i="2"/>
  <c r="D7" i="2"/>
  <c r="D4" i="2"/>
  <c r="Q8" i="1"/>
  <c r="AJ35" i="3"/>
  <c r="D11" i="2" l="1"/>
  <c r="D15" i="2"/>
  <c r="D13" i="2"/>
  <c r="Q5" i="1" l="1"/>
  <c r="Q6" i="1"/>
  <c r="Q7" i="1"/>
  <c r="Q4" i="1"/>
  <c r="P9" i="1"/>
  <c r="Q9" i="1" s="1"/>
</calcChain>
</file>

<file path=xl/sharedStrings.xml><?xml version="1.0" encoding="utf-8"?>
<sst xmlns="http://schemas.openxmlformats.org/spreadsheetml/2006/main" count="3265" uniqueCount="260">
  <si>
    <t>Row Labels</t>
  </si>
  <si>
    <t>Average of Time (minutes)</t>
  </si>
  <si>
    <t>AK STEEL</t>
  </si>
  <si>
    <t>PREP</t>
  </si>
  <si>
    <t>QC</t>
  </si>
  <si>
    <t>SCAN</t>
  </si>
  <si>
    <t>CCHMC</t>
  </si>
  <si>
    <t>OPEN ENVELOPES</t>
  </si>
  <si>
    <t>PREP/SCAN/QC</t>
  </si>
  <si>
    <t>SCAN/QC</t>
  </si>
  <si>
    <t>TRAINING</t>
  </si>
  <si>
    <t>UPDATE FILES</t>
  </si>
  <si>
    <t>(blank)</t>
  </si>
  <si>
    <t xml:space="preserve">CCHMC </t>
  </si>
  <si>
    <t>DATA MGT</t>
  </si>
  <si>
    <t>COURIER</t>
  </si>
  <si>
    <t>INTERNAL</t>
  </si>
  <si>
    <t>DJJ</t>
  </si>
  <si>
    <t>DR.LEE</t>
  </si>
  <si>
    <t>EPIQ</t>
  </si>
  <si>
    <t>FEDEX</t>
  </si>
  <si>
    <t>GAIG</t>
  </si>
  <si>
    <t>QC/DATA ENTRY</t>
  </si>
  <si>
    <t>REASSEMBLE</t>
  </si>
  <si>
    <t>GRAYDON</t>
  </si>
  <si>
    <t>GREAT AMERICAN</t>
  </si>
  <si>
    <t>LEWIS BRIS BAS</t>
  </si>
  <si>
    <t>LION PROTECTS</t>
  </si>
  <si>
    <t>DATA ENTRY</t>
  </si>
  <si>
    <t>MANUAL/DATA ENTRY</t>
  </si>
  <si>
    <t xml:space="preserve">PREP </t>
  </si>
  <si>
    <t>PREP/COPY</t>
  </si>
  <si>
    <t>PREP/SCAN/QC/REASSEMBLE</t>
  </si>
  <si>
    <t>QC/Reassemble</t>
  </si>
  <si>
    <t>LOADING BOXS</t>
  </si>
  <si>
    <t>MANUAL</t>
  </si>
  <si>
    <t>OFFICE</t>
  </si>
  <si>
    <t>PRYSMIAN</t>
  </si>
  <si>
    <t>REMOTE EQUIPMENT</t>
  </si>
  <si>
    <t>STOCKYARD</t>
  </si>
  <si>
    <t>THOMAS LAW</t>
  </si>
  <si>
    <t>PREP/SCAN</t>
  </si>
  <si>
    <t xml:space="preserve">EPIQ </t>
  </si>
  <si>
    <t>Grand Total</t>
  </si>
  <si>
    <t>Standard</t>
  </si>
  <si>
    <t>Hours</t>
  </si>
  <si>
    <t>Minutes</t>
  </si>
  <si>
    <t>Client</t>
  </si>
  <si>
    <t xml:space="preserve">Project </t>
  </si>
  <si>
    <t>Staff</t>
  </si>
  <si>
    <t>Box</t>
  </si>
  <si>
    <t>Function</t>
  </si>
  <si>
    <t>Image Count</t>
  </si>
  <si>
    <t>Time (minutes)</t>
  </si>
  <si>
    <t>Status</t>
  </si>
  <si>
    <t>Preparation</t>
  </si>
  <si>
    <t>Maudlin</t>
  </si>
  <si>
    <t>Hankerson</t>
  </si>
  <si>
    <t>19/P+3</t>
  </si>
  <si>
    <t>COMPLETE</t>
  </si>
  <si>
    <t>Scan</t>
  </si>
  <si>
    <t>Watkins</t>
  </si>
  <si>
    <t>INCOMPLETE</t>
  </si>
  <si>
    <t>Delays due to scanner issues</t>
  </si>
  <si>
    <t>Reassembly</t>
  </si>
  <si>
    <t>Mailroom</t>
  </si>
  <si>
    <t>Courier</t>
  </si>
  <si>
    <t>FAA</t>
  </si>
  <si>
    <t>Sheila</t>
  </si>
  <si>
    <t>Total</t>
  </si>
  <si>
    <t>Approvals</t>
  </si>
  <si>
    <t>Denials</t>
  </si>
  <si>
    <t>Refund Request</t>
  </si>
  <si>
    <t>TRONOX</t>
  </si>
  <si>
    <t>Barber</t>
  </si>
  <si>
    <t>Multiple Boxes</t>
  </si>
  <si>
    <t>A lot of color</t>
  </si>
  <si>
    <t>Fast Track</t>
  </si>
  <si>
    <t>Renneker</t>
  </si>
  <si>
    <t>TELECON</t>
  </si>
  <si>
    <t>Walker</t>
  </si>
  <si>
    <t>Deposit</t>
  </si>
  <si>
    <t>Felicia</t>
  </si>
  <si>
    <t>MAILROOM</t>
  </si>
  <si>
    <t>FASTTRACK</t>
  </si>
  <si>
    <t>Lucy</t>
  </si>
  <si>
    <t xml:space="preserve"> 2/3/4</t>
  </si>
  <si>
    <t>4 - INCOMPLETE</t>
  </si>
  <si>
    <t>MAUDLIN</t>
  </si>
  <si>
    <t>Legal Image Rate</t>
  </si>
  <si>
    <t>BONEZZI/FEDEX</t>
  </si>
  <si>
    <t>1,3</t>
  </si>
  <si>
    <t>3-INCOMPLETE</t>
  </si>
  <si>
    <t>MAILROOM/UR/PB/HB</t>
  </si>
  <si>
    <t>MAILROOM/LOCKBOX</t>
  </si>
  <si>
    <t>HB,PB,UR,LOCKBOX</t>
  </si>
  <si>
    <t>HB MAILROOM</t>
  </si>
  <si>
    <t>2,3</t>
  </si>
  <si>
    <t>Tinsley</t>
  </si>
  <si>
    <t>1,2</t>
  </si>
  <si>
    <t>4,5</t>
  </si>
  <si>
    <t>26,30</t>
  </si>
  <si>
    <t>3 Rescans due to yellow markings not showing up, First page not scanning properly</t>
  </si>
  <si>
    <t>SHREDDING</t>
  </si>
  <si>
    <t>Arnold Tornado/MarkesBerty</t>
  </si>
  <si>
    <t>MarkesBerty</t>
  </si>
  <si>
    <t>FAST TRACK</t>
  </si>
  <si>
    <t>THOMPSONLTIME</t>
  </si>
  <si>
    <t>PREPARING BOXES FOR EXPORT</t>
  </si>
  <si>
    <t>BONEZZI/MARSHALL DENNEHEY</t>
  </si>
  <si>
    <t>EXPORTING BOXES</t>
  </si>
  <si>
    <t>THOMAS LAW-SMALL</t>
  </si>
  <si>
    <t>ALMOST ENTIRELY COLOR</t>
  </si>
  <si>
    <t>PB, HB, UR, LOCKBOX</t>
  </si>
  <si>
    <t>3RD DONE</t>
  </si>
  <si>
    <t>COMPLETED PB QC</t>
  </si>
  <si>
    <t>COMPLETED HB QC</t>
  </si>
  <si>
    <t>PB,HB,UR</t>
  </si>
  <si>
    <t xml:space="preserve">LION PROTECTS </t>
  </si>
  <si>
    <t>DEPOSIT</t>
  </si>
  <si>
    <t>MAULDIN</t>
  </si>
  <si>
    <t>REFUND REQUEST</t>
  </si>
  <si>
    <t>FINANCIAL RETURNS</t>
  </si>
  <si>
    <t>DENIALS</t>
  </si>
  <si>
    <t>Several rescans due to color and pencil markings</t>
  </si>
  <si>
    <t>BEN REQUESTED MRS.D TO PREPERE MAILROOM BOOKS,MRS.D WAS TAKING SOMETIME,SO BEN ASKED ME TO RETURN TO LION PROTECTS</t>
  </si>
  <si>
    <t>STARTED AGIN AT 5:30</t>
  </si>
  <si>
    <t>D/0 2 BOXES</t>
  </si>
  <si>
    <t>PENSIONS</t>
  </si>
  <si>
    <t>PDCO303</t>
  </si>
  <si>
    <t>TRAIN</t>
  </si>
  <si>
    <t>WAS ASKED TO QC HB</t>
  </si>
  <si>
    <t>COMPLETING REASSEMBLING</t>
  </si>
  <si>
    <t>CDS</t>
  </si>
  <si>
    <t>FIXING SYSTEM ERROR</t>
  </si>
  <si>
    <t>PENSION</t>
  </si>
  <si>
    <t>HB,PB,UR,LUNCHBOX</t>
  </si>
  <si>
    <t>D/O OXES</t>
  </si>
  <si>
    <t>D/O BOXES DOWNSTAIRS</t>
  </si>
  <si>
    <t>EMPLOYEE BENEFIT</t>
  </si>
  <si>
    <t>1/2 COMPLETE</t>
  </si>
  <si>
    <t>Sum of Time (minutes)</t>
  </si>
  <si>
    <t xml:space="preserve">Daily Feedback </t>
  </si>
  <si>
    <t>Productivity</t>
  </si>
  <si>
    <t>Date</t>
  </si>
  <si>
    <t>PREP/QC/SCAN</t>
  </si>
  <si>
    <t>QC/REASSEMBLE</t>
  </si>
  <si>
    <t>21/P+2</t>
  </si>
  <si>
    <t>21/2</t>
  </si>
  <si>
    <t>21/p+2</t>
  </si>
  <si>
    <t>21/P+3</t>
  </si>
  <si>
    <t xml:space="preserve">Had to rescan many paperwork due to </t>
  </si>
  <si>
    <t>25/PT2</t>
  </si>
  <si>
    <t>CHILDREN CCHMC</t>
  </si>
  <si>
    <t>PREP SCAN</t>
  </si>
  <si>
    <t>QC-DATA EENTRY</t>
  </si>
  <si>
    <t xml:space="preserve">SCAN/QC </t>
  </si>
  <si>
    <t>RESCAN NEEDED DUE TO YELLOW MARKINGS NOT SHOWING UP</t>
  </si>
  <si>
    <t>MORE RESCANNING NEEDED DUE TO FIRST OAGES NOT BEING SCANNED INFORMED MR LARRY THE BOX #26 WOULD HAVE TO BE RESCANNED DUE TO PAPERWORK MISSING WITH RED MARKINGS</t>
  </si>
  <si>
    <t xml:space="preserve">CHILDRENS </t>
  </si>
  <si>
    <t>RESCAN NEEDED DUE TO PENCIL AND RED MARKINGS</t>
  </si>
  <si>
    <t>COPLETED PT 1</t>
  </si>
  <si>
    <t>28 PT2</t>
  </si>
  <si>
    <t>MORE RESCANING WAS NEEDED DUETO RD MARKINGS NOT SHOWING ON SOME PAGES</t>
  </si>
  <si>
    <t>REASSEM</t>
  </si>
  <si>
    <t xml:space="preserve">GARRETSON </t>
  </si>
  <si>
    <t>1/2 DONE</t>
  </si>
  <si>
    <t>28/PT 3</t>
  </si>
  <si>
    <t>FRONT  PAGE WAS SCANNED WITH COLOUR BUT THE REST WERE NOT.RE-SCANNING NEEDED</t>
  </si>
  <si>
    <t>QC/SCAN</t>
  </si>
  <si>
    <t>28/PT3</t>
  </si>
  <si>
    <t>COMPLETED QC</t>
  </si>
  <si>
    <t>AKS STEEL</t>
  </si>
  <si>
    <t>IMAGE AT 80%</t>
  </si>
  <si>
    <t>HB,PB,LOCK BOX</t>
  </si>
  <si>
    <t>EMPLOYEE BENEFITS</t>
  </si>
  <si>
    <t>177/PT 2</t>
  </si>
  <si>
    <t>177/PT 3</t>
  </si>
  <si>
    <t>LION PROTECT</t>
  </si>
  <si>
    <t xml:space="preserve">AK STEEL </t>
  </si>
  <si>
    <t xml:space="preserve">PENSIONS </t>
  </si>
  <si>
    <t>HB,PB,UR,MAILBOX</t>
  </si>
  <si>
    <t>s</t>
  </si>
  <si>
    <t>Project</t>
  </si>
  <si>
    <t>FUNCTION</t>
  </si>
  <si>
    <t>Time taken</t>
  </si>
  <si>
    <t>Monthly Assessment</t>
  </si>
  <si>
    <t>Management</t>
  </si>
  <si>
    <t>Invoiced Amount</t>
  </si>
  <si>
    <t>Hourly Rate</t>
  </si>
  <si>
    <t>Efficiency/Utilization</t>
  </si>
  <si>
    <t>Active on Projects (minutes)</t>
  </si>
  <si>
    <t>Minutes Clocked In</t>
  </si>
  <si>
    <t>DATE</t>
  </si>
  <si>
    <t>CLIENT</t>
  </si>
  <si>
    <t>PROJECT NAME</t>
  </si>
  <si>
    <t>ACTIVITY CODE</t>
  </si>
  <si>
    <t>BOX #</t>
  </si>
  <si>
    <t>START TIME</t>
  </si>
  <si>
    <t>END TIME</t>
  </si>
  <si>
    <t>HOURS CALCULATION</t>
  </si>
  <si>
    <t>TOTAL HOURS</t>
  </si>
  <si>
    <t>Total Time in  Minutes</t>
  </si>
  <si>
    <t>IMAGE COUNT</t>
  </si>
  <si>
    <t>STATUS(COMPLETE OR INCOMPLETE)</t>
  </si>
  <si>
    <t>COMMENT</t>
  </si>
  <si>
    <t>STAFF</t>
  </si>
  <si>
    <t>HANKERSON</t>
  </si>
  <si>
    <t>SCANNER ISSUES CAUSED SOME DELAY</t>
  </si>
  <si>
    <t>ALOT OF COLOR</t>
  </si>
  <si>
    <t>WALKER</t>
  </si>
  <si>
    <t>ARROLD, DR LEE STOCKYARD</t>
  </si>
  <si>
    <t>FINISHED 2070 FROM YESTERDAY</t>
  </si>
  <si>
    <t>RTS 07/28/23</t>
  </si>
  <si>
    <t>RESPONSES 7/25/2023</t>
  </si>
  <si>
    <t>RTS</t>
  </si>
  <si>
    <t>RESPONSES 7/29/23</t>
  </si>
  <si>
    <t>BARBER</t>
  </si>
  <si>
    <t>PREPING</t>
  </si>
  <si>
    <t>RTS 7/31/23</t>
  </si>
  <si>
    <t>COPIES</t>
  </si>
  <si>
    <t>RESPONSE 7/31/23</t>
  </si>
  <si>
    <t>60% COMPLETE</t>
  </si>
  <si>
    <t>RENNEKER</t>
  </si>
  <si>
    <t>FFA</t>
  </si>
  <si>
    <t>SHEILAH</t>
  </si>
  <si>
    <t>APPROVALS</t>
  </si>
  <si>
    <t>WATKINS</t>
  </si>
  <si>
    <t>CCHMc</t>
  </si>
  <si>
    <t>HALF BOX</t>
  </si>
  <si>
    <t>ADAMS</t>
  </si>
  <si>
    <t>HALFBOX</t>
  </si>
  <si>
    <t>FELICIA</t>
  </si>
  <si>
    <t>1/5 DONE</t>
  </si>
  <si>
    <t>BONEZZI</t>
  </si>
  <si>
    <t>LOCKBOX FINISHED QC</t>
  </si>
  <si>
    <t>FINISH QC HB</t>
  </si>
  <si>
    <t>75 %DONE</t>
  </si>
  <si>
    <t>QC UR</t>
  </si>
  <si>
    <t>QC PB</t>
  </si>
  <si>
    <t>QC HB</t>
  </si>
  <si>
    <t>QC LOCKBOX</t>
  </si>
  <si>
    <t>15 MINS BREAK, 20 MINS</t>
  </si>
  <si>
    <t>FODEX</t>
  </si>
  <si>
    <t>TINSLEY</t>
  </si>
  <si>
    <t>COMPLETED</t>
  </si>
  <si>
    <t>LUCY</t>
  </si>
  <si>
    <t>INC</t>
  </si>
  <si>
    <t>IC</t>
  </si>
  <si>
    <t>WALKINS</t>
  </si>
  <si>
    <t>SCAN/QC PB</t>
  </si>
  <si>
    <t>SCAN/QC HB</t>
  </si>
  <si>
    <t>SCAN/QC LOCK BOX</t>
  </si>
  <si>
    <t>QC/REASSENBLE</t>
  </si>
  <si>
    <t>LUNCH</t>
  </si>
  <si>
    <t>PREP/PDCO303</t>
  </si>
  <si>
    <t>BREAK</t>
  </si>
  <si>
    <t>Rescan due to pencil markings and pink and red markings not showing</t>
  </si>
  <si>
    <t>PT1 Completed</t>
  </si>
  <si>
    <t>Technical issues program closed while scanning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</si>
</sst>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44444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14" fontId="0" fillId="0" borderId="0" xfId="0" applyNumberFormat="1"/>
    <xf numFmtId="8" fontId="0" fillId="0" borderId="0" xfId="0" applyNumberFormat="1"/>
    <xf numFmtId="0" fontId="1" fillId="2" borderId="0" xfId="0" applyFont="1" applyFill="1"/>
    <xf numFmtId="0" fontId="0" fillId="0" borderId="1" xfId="0" applyBorder="1"/>
    <xf numFmtId="14" fontId="0" fillId="0" borderId="1" xfId="0" applyNumberFormat="1" applyBorder="1"/>
    <xf numFmtId="0" fontId="0" fillId="3" borderId="1" xfId="0" applyFill="1" applyBorder="1"/>
    <xf numFmtId="0" fontId="1" fillId="4" borderId="1" xfId="0" applyFont="1" applyFill="1" applyBorder="1"/>
    <xf numFmtId="14" fontId="0" fillId="3" borderId="1" xfId="0" applyNumberFormat="1" applyFill="1" applyBorder="1"/>
    <xf numFmtId="0" fontId="0" fillId="5" borderId="1" xfId="0" applyFill="1" applyBorder="1"/>
    <xf numFmtId="8" fontId="0" fillId="0" borderId="1" xfId="0" applyNumberFormat="1" applyBorder="1"/>
    <xf numFmtId="0" fontId="1" fillId="6" borderId="5" xfId="0" applyFont="1" applyFill="1" applyBorder="1"/>
    <xf numFmtId="0" fontId="0" fillId="0" borderId="5" xfId="0" applyBorder="1"/>
    <xf numFmtId="0" fontId="2" fillId="0" borderId="5" xfId="0" applyFont="1" applyBorder="1"/>
    <xf numFmtId="0" fontId="0" fillId="5" borderId="5" xfId="0" applyFill="1" applyBorder="1"/>
    <xf numFmtId="0" fontId="0" fillId="3" borderId="5" xfId="0" applyFill="1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2" fillId="0" borderId="6" xfId="0" applyFont="1" applyBorder="1"/>
    <xf numFmtId="0" fontId="0" fillId="3" borderId="6" xfId="0" applyFill="1" applyBorder="1"/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/>
    </xf>
    <xf numFmtId="2" fontId="0" fillId="0" borderId="1" xfId="0" applyNumberFormat="1" applyBorder="1"/>
    <xf numFmtId="20" fontId="0" fillId="0" borderId="1" xfId="0" applyNumberFormat="1" applyBorder="1"/>
    <xf numFmtId="20" fontId="0" fillId="0" borderId="1" xfId="0" applyNumberFormat="1" applyBorder="1" applyAlignment="1">
      <alignment horizontal="right"/>
    </xf>
    <xf numFmtId="9" fontId="0" fillId="0" borderId="1" xfId="0" applyNumberFormat="1" applyBorder="1" applyAlignment="1">
      <alignment horizontal="left"/>
    </xf>
    <xf numFmtId="9" fontId="0" fillId="0" borderId="1" xfId="0" applyNumberFormat="1" applyBorder="1"/>
    <xf numFmtId="2" fontId="0" fillId="3" borderId="1" xfId="0" applyNumberFormat="1" applyFill="1" applyBorder="1"/>
    <xf numFmtId="20" fontId="0" fillId="3" borderId="1" xfId="0" applyNumberFormat="1" applyFill="1" applyBorder="1"/>
    <xf numFmtId="20" fontId="0" fillId="3" borderId="1" xfId="0" applyNumberFormat="1" applyFill="1" applyBorder="1" applyAlignment="1">
      <alignment horizontal="right"/>
    </xf>
    <xf numFmtId="14" fontId="0" fillId="3" borderId="1" xfId="0" applyNumberFormat="1" applyFill="1" applyBorder="1" applyAlignment="1">
      <alignment horizontal="right"/>
    </xf>
    <xf numFmtId="0" fontId="0" fillId="3" borderId="0" xfId="0" applyFill="1"/>
    <xf numFmtId="0" fontId="0" fillId="7" borderId="1" xfId="0" applyFill="1" applyBorder="1"/>
    <xf numFmtId="0" fontId="0" fillId="8" borderId="1" xfId="0" applyFill="1" applyBorder="1"/>
    <xf numFmtId="0" fontId="0" fillId="0" borderId="0" xfId="0" applyAlignment="1">
      <alignment horizontal="right"/>
    </xf>
    <xf numFmtId="9" fontId="0" fillId="0" borderId="1" xfId="0" applyNumberFormat="1" applyBorder="1" applyAlignment="1">
      <alignment horizontal="righ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9" borderId="1" xfId="0" applyFont="1" applyFill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20" fontId="3" fillId="0" borderId="1" xfId="0" applyNumberFormat="1" applyFont="1" applyBorder="1" applyAlignment="1">
      <alignment horizontal="right"/>
    </xf>
    <xf numFmtId="9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gui Margaret Wangui" refreshedDate="45155.622101273148" createdVersion="6" refreshedVersion="6" minRefreshableVersion="3" recordCount="197" xr:uid="{00000000-000A-0000-FFFF-FFFF00000000}">
  <cacheSource type="worksheet">
    <worksheetSource ref="A4:K201" sheet="August Data Dump"/>
  </cacheSource>
  <cacheFields count="10">
    <cacheField name="Date" numFmtId="14">
      <sharedItems containsSemiMixedTypes="0" containsNonDate="0" containsDate="1" containsString="0" minDate="2023-08-01T00:00:00" maxDate="2023-08-16T00:00:00" count="11"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5T00:00:00"/>
      </sharedItems>
    </cacheField>
    <cacheField name="Client" numFmtId="0">
      <sharedItems containsBlank="1"/>
    </cacheField>
    <cacheField name="Project " numFmtId="0">
      <sharedItems containsBlank="1"/>
    </cacheField>
    <cacheField name="Staff" numFmtId="0">
      <sharedItems count="9">
        <s v="Hankerson"/>
        <s v="Watkins"/>
        <s v="Sheila"/>
        <s v="Barber"/>
        <s v="Renneker"/>
        <s v="Walker"/>
        <s v="Felicia"/>
        <s v="Lucy"/>
        <s v="Tinsley"/>
      </sharedItems>
    </cacheField>
    <cacheField name="Box" numFmtId="0">
      <sharedItems containsBlank="1" containsMixedTypes="1" containsNumber="1" containsInteger="1" minValue="1" maxValue="303"/>
    </cacheField>
    <cacheField name="Function" numFmtId="0">
      <sharedItems containsBlank="1"/>
    </cacheField>
    <cacheField name="Image Count" numFmtId="0">
      <sharedItems containsString="0" containsBlank="1" containsNumber="1" minValue="0.01" maxValue="8070"/>
    </cacheField>
    <cacheField name="Time (minutes)" numFmtId="0">
      <sharedItems containsSemiMixedTypes="0" containsString="0" containsNumber="1" minValue="4" maxValue="800"/>
    </cacheField>
    <cacheField name="Standard" numFmtId="0">
      <sharedItems containsString="0" containsBlank="1" containsNumber="1" containsInteger="1" minValue="15" maxValue="360"/>
    </cacheField>
    <cacheField name="Statu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gui Margaret Wangui" refreshedDate="45155.663448263891" createdVersion="6" refreshedVersion="6" minRefreshableVersion="3" recordCount="141" xr:uid="{00000000-000A-0000-FFFF-FFFF01000000}">
  <cacheSource type="worksheet">
    <worksheetSource ref="A4:I145" sheet="August Data Dump (2)"/>
  </cacheSource>
  <cacheFields count="9">
    <cacheField name="Client" numFmtId="0">
      <sharedItems containsBlank="1" count="27">
        <s v="LION PROTECTS"/>
        <s v="CCHMC"/>
        <s v="EPIQ"/>
        <s v="GAIG"/>
        <s v="PRYSMIAN"/>
        <s v="STOCKYARD"/>
        <s v="DJJ"/>
        <s v="COURIER"/>
        <s v="INTERNAL"/>
        <m/>
        <s v="REMOTE EQUIPMENT"/>
        <s v="THOMAS LAW"/>
        <s v="LOADING BOXS"/>
        <s v="FEDEX"/>
        <s v="CCHMC "/>
        <s v="DR.LEE"/>
        <s v="EPIQ "/>
        <s v="AK STEEL"/>
        <s v="GREAT AMERICAN"/>
        <s v="LEWIS BRIS BAS"/>
        <s v="GRAYDON"/>
        <s v="OFFICE"/>
        <s v="CCHMCC " u="1"/>
        <s v="CCHMCC" u="1"/>
        <s v="CHILDREN CCHMC" u="1"/>
        <s v="CHILDREN CCHMCC" u="1"/>
        <s v="GARRETSON " u="1"/>
      </sharedItems>
    </cacheField>
    <cacheField name="Project " numFmtId="0">
      <sharedItems containsBlank="1"/>
    </cacheField>
    <cacheField name="Staff" numFmtId="0">
      <sharedItems/>
    </cacheField>
    <cacheField name="Box" numFmtId="0">
      <sharedItems containsBlank="1" containsMixedTypes="1" containsNumber="1" containsInteger="1" minValue="1" maxValue="303"/>
    </cacheField>
    <cacheField name="Function" numFmtId="0">
      <sharedItems containsBlank="1" count="29">
        <s v="QC/Reassemble"/>
        <s v="PREP/SCAN/QC"/>
        <s v="SCAN/QC"/>
        <s v="PREP"/>
        <s v="SCAN"/>
        <m/>
        <s v="TRAINING"/>
        <s v="PREP/SCAN/QC/REASSEMBLE"/>
        <s v="DATA ENTRY"/>
        <s v="QC"/>
        <s v="OPEN ENVELOPES"/>
        <s v="REASSEMBLE"/>
        <s v="PREP/COPY"/>
        <s v="INTERNAL"/>
        <s v="COURIER"/>
        <s v="MANUAL/DATA ENTRY"/>
        <s v="PREP/SCAN"/>
        <s v="QC/DATA ENTRY"/>
        <s v="MANUAL"/>
        <s v="UPDATE FILES"/>
        <s v="DATA MGT"/>
        <s v="PREP "/>
        <s v="PREP SCAN" u="1"/>
        <s v="QC/SCAN" u="1"/>
        <s v="REASSEM" u="1"/>
        <s v="TRAIN" u="1"/>
        <s v="SCAN/QC " u="1"/>
        <s v="QC-DATA ENTRY" u="1"/>
        <s v="PREP/QC/SCAN" u="1"/>
      </sharedItems>
    </cacheField>
    <cacheField name="Image Count" numFmtId="0">
      <sharedItems containsString="0" containsBlank="1" containsNumber="1" minValue="0.25" maxValue="8070"/>
    </cacheField>
    <cacheField name="Time (minutes)" numFmtId="0">
      <sharedItems containsSemiMixedTypes="0" containsString="0" containsNumber="1" minValue="4" maxValue="890"/>
    </cacheField>
    <cacheField name="Standard" numFmtId="0">
      <sharedItems containsString="0" containsBlank="1" containsNumber="1" containsInteger="1" minValue="15" maxValue="420"/>
    </cacheField>
    <cacheField name="Statu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7">
  <r>
    <x v="0"/>
    <s v="LION PROTECTS"/>
    <s v="Maudlin"/>
    <x v="0"/>
    <s v="19/P+3"/>
    <s v="QC/Reassemble"/>
    <n v="80"/>
    <n v="165"/>
    <n v="180"/>
    <m/>
  </r>
  <r>
    <x v="0"/>
    <s v="LION PROTECTS"/>
    <s v="Maudlin"/>
    <x v="0"/>
    <s v="19/P+3"/>
    <s v="QC/Reassemble"/>
    <m/>
    <n v="60"/>
    <n v="180"/>
    <m/>
  </r>
  <r>
    <x v="0"/>
    <s v="LION PROTECTS"/>
    <s v="Maudlin"/>
    <x v="1"/>
    <n v="20"/>
    <s v="QC/Reassemble"/>
    <m/>
    <n v="195"/>
    <n v="180"/>
    <m/>
  </r>
  <r>
    <x v="0"/>
    <s v="CCHMC"/>
    <s v="Mailroom"/>
    <x v="0"/>
    <m/>
    <s v="PREP/QC/SCAN"/>
    <n v="456"/>
    <n v="240"/>
    <n v="360"/>
    <m/>
  </r>
  <r>
    <x v="0"/>
    <s v="CCHMC"/>
    <s v="FAA"/>
    <x v="2"/>
    <m/>
    <s v="SCAN/QC"/>
    <m/>
    <n v="14"/>
    <n v="180"/>
    <m/>
  </r>
  <r>
    <x v="0"/>
    <s v="CCHMC"/>
    <s v="Mailroom"/>
    <x v="1"/>
    <m/>
    <s v="PREP/QC/SCAN"/>
    <m/>
    <n v="150"/>
    <n v="360"/>
    <m/>
  </r>
  <r>
    <x v="0"/>
    <s v="CCHMC"/>
    <s v="Approvals"/>
    <x v="2"/>
    <m/>
    <s v="SCAN/QC"/>
    <m/>
    <n v="25"/>
    <n v="180"/>
    <m/>
  </r>
  <r>
    <x v="0"/>
    <s v="CCHMC"/>
    <s v="Denials"/>
    <x v="2"/>
    <m/>
    <s v="SCAN/QC"/>
    <m/>
    <n v="4"/>
    <n v="180"/>
    <m/>
  </r>
  <r>
    <x v="0"/>
    <s v="CCHMC"/>
    <s v="Refund Request"/>
    <x v="2"/>
    <m/>
    <s v="SCAN/QC"/>
    <m/>
    <n v="17"/>
    <n v="180"/>
    <m/>
  </r>
  <r>
    <x v="0"/>
    <s v="EPIQ"/>
    <s v="TRONOX"/>
    <x v="3"/>
    <m/>
    <s v="PREP/QC/SCAN"/>
    <n v="1499"/>
    <n v="435"/>
    <n v="360"/>
    <m/>
  </r>
  <r>
    <x v="0"/>
    <s v="GAIG"/>
    <s v="Fast Track"/>
    <x v="4"/>
    <n v="3"/>
    <s v="PREP"/>
    <m/>
    <n v="285"/>
    <n v="180"/>
    <m/>
  </r>
  <r>
    <x v="0"/>
    <s v="PRYSMIAN"/>
    <s v="TELECON"/>
    <x v="5"/>
    <m/>
    <s v="SCAN"/>
    <n v="500"/>
    <n v="225"/>
    <n v="60"/>
    <m/>
  </r>
  <r>
    <x v="0"/>
    <s v="STOCKYARD"/>
    <s v="Deposit"/>
    <x v="5"/>
    <m/>
    <m/>
    <m/>
    <n v="45"/>
    <n v="15"/>
    <m/>
  </r>
  <r>
    <x v="0"/>
    <s v="DJJ"/>
    <s v="DJJ"/>
    <x v="2"/>
    <m/>
    <s v="SCAN/QC"/>
    <m/>
    <n v="94"/>
    <n v="180"/>
    <m/>
  </r>
  <r>
    <x v="0"/>
    <s v="COURIER"/>
    <s v="COURIER"/>
    <x v="5"/>
    <m/>
    <m/>
    <n v="100"/>
    <n v="195"/>
    <n v="15"/>
    <m/>
  </r>
  <r>
    <x v="1"/>
    <s v="CCHMC"/>
    <s v="FAA"/>
    <x v="6"/>
    <m/>
    <s v="PREP"/>
    <m/>
    <n v="21"/>
    <n v="180"/>
    <m/>
  </r>
  <r>
    <x v="1"/>
    <s v="CCHMC"/>
    <s v="Mailroom"/>
    <x v="0"/>
    <m/>
    <s v="PREP/SCAN/QC"/>
    <n v="310"/>
    <n v="180"/>
    <n v="360"/>
    <m/>
  </r>
  <r>
    <x v="1"/>
    <s v="CCHMC"/>
    <s v="Mailroom"/>
    <x v="1"/>
    <m/>
    <s v="TRAINING"/>
    <m/>
    <n v="165"/>
    <m/>
    <m/>
  </r>
  <r>
    <x v="1"/>
    <s v="EPIQ"/>
    <s v="TRONOX"/>
    <x v="3"/>
    <m/>
    <s v="PREP/SCAN/QC"/>
    <n v="126"/>
    <n v="190"/>
    <n v="360"/>
    <m/>
  </r>
  <r>
    <x v="1"/>
    <s v="GAIG"/>
    <s v="FASTTRACK"/>
    <x v="7"/>
    <s v=" 2/3/4"/>
    <s v="PREP"/>
    <m/>
    <n v="448"/>
    <n v="180"/>
    <m/>
  </r>
  <r>
    <x v="1"/>
    <s v="GAIG"/>
    <s v="FASTTRACK"/>
    <x v="5"/>
    <n v="2"/>
    <s v="SCAN"/>
    <n v="803"/>
    <n v="70"/>
    <n v="60"/>
    <m/>
  </r>
  <r>
    <x v="1"/>
    <s v="LION PROTECTS"/>
    <s v="Maudlin"/>
    <x v="3"/>
    <n v="26"/>
    <s v="PREP/SCAN/QC"/>
    <n v="8070"/>
    <n v="90"/>
    <n v="360"/>
    <m/>
  </r>
  <r>
    <x v="1"/>
    <s v="LION PROTECTS"/>
    <s v="Maudlin"/>
    <x v="3"/>
    <n v="26"/>
    <s v="PREP"/>
    <m/>
    <n v="165"/>
    <n v="180"/>
    <m/>
  </r>
  <r>
    <x v="1"/>
    <s v="LION PROTECTS"/>
    <s v="Maudlin"/>
    <x v="0"/>
    <n v="21"/>
    <s v="QC/Reassemble"/>
    <m/>
    <n v="235"/>
    <n v="180"/>
    <m/>
  </r>
  <r>
    <x v="1"/>
    <s v="LION PROTECTS"/>
    <s v="Maudlin"/>
    <x v="0"/>
    <s v="19/P+3"/>
    <s v="REASSEMBLE"/>
    <m/>
    <n v="15"/>
    <n v="60"/>
    <m/>
  </r>
  <r>
    <x v="1"/>
    <s v="LION PROTECTS"/>
    <s v="Maudlin"/>
    <x v="1"/>
    <m/>
    <s v="QC/Reassemble"/>
    <m/>
    <n v="120"/>
    <n v="180"/>
    <m/>
  </r>
  <r>
    <x v="1"/>
    <s v="COURIER"/>
    <s v="BONEZZI/FEDEX"/>
    <x v="5"/>
    <m/>
    <m/>
    <m/>
    <n v="45"/>
    <n v="15"/>
    <m/>
  </r>
  <r>
    <x v="1"/>
    <s v="PRYSMIAN"/>
    <s v="TELECON"/>
    <x v="6"/>
    <n v="1"/>
    <s v="DATA ENTRY"/>
    <m/>
    <n v="45"/>
    <m/>
    <m/>
  </r>
  <r>
    <x v="1"/>
    <s v="PRYSMIAN"/>
    <s v="TELECON"/>
    <x v="6"/>
    <s v="1,3"/>
    <s v="QC"/>
    <n v="2801"/>
    <n v="224"/>
    <n v="120"/>
    <m/>
  </r>
  <r>
    <x v="1"/>
    <s v="PRYSMIAN"/>
    <s v="TELECON"/>
    <x v="5"/>
    <n v="2"/>
    <s v="SCAN"/>
    <n v="1100"/>
    <n v="365"/>
    <n v="60"/>
    <m/>
  </r>
  <r>
    <x v="2"/>
    <s v="CCHMC"/>
    <s v="Mailroom"/>
    <x v="0"/>
    <m/>
    <s v="PREP/SCAN/QC"/>
    <m/>
    <n v="90"/>
    <n v="360"/>
    <m/>
  </r>
  <r>
    <x v="2"/>
    <s v="CCHMC"/>
    <s v="MAILROOM/UR/PB/HB"/>
    <x v="0"/>
    <m/>
    <s v="QC"/>
    <n v="305"/>
    <n v="30"/>
    <n v="120"/>
    <m/>
  </r>
  <r>
    <x v="2"/>
    <s v="CCHMC"/>
    <s v="MAILROOM/LOCKBOX"/>
    <x v="0"/>
    <m/>
    <s v="QC"/>
    <n v="32"/>
    <n v="10"/>
    <n v="120"/>
    <m/>
  </r>
  <r>
    <x v="2"/>
    <s v="CCHMC"/>
    <s v="HB,PB,UR,LOCKBOX"/>
    <x v="1"/>
    <m/>
    <s v="TRAINING"/>
    <m/>
    <n v="60"/>
    <m/>
    <m/>
  </r>
  <r>
    <x v="2"/>
    <s v="CCHMC"/>
    <m/>
    <x v="2"/>
    <m/>
    <s v="PREP/SCAN/QC"/>
    <m/>
    <n v="36"/>
    <n v="360"/>
    <m/>
  </r>
  <r>
    <x v="2"/>
    <s v="CCHMC"/>
    <s v="HB MAILROOM"/>
    <x v="2"/>
    <m/>
    <s v="OPEN ENVELOPES"/>
    <m/>
    <n v="15"/>
    <m/>
    <m/>
  </r>
  <r>
    <x v="2"/>
    <s v="DJJ"/>
    <m/>
    <x v="2"/>
    <m/>
    <s v="PREP/SCAN/QC"/>
    <m/>
    <n v="60"/>
    <n v="360"/>
    <m/>
  </r>
  <r>
    <x v="2"/>
    <s v="GAIG"/>
    <s v="FASTTRACK"/>
    <x v="5"/>
    <s v="2,3"/>
    <s v="SCAN"/>
    <n v="4586"/>
    <n v="450"/>
    <n v="60"/>
    <m/>
  </r>
  <r>
    <x v="2"/>
    <s v="GAIG"/>
    <s v="FASTTRACK"/>
    <x v="8"/>
    <s v="1,2"/>
    <s v="QC"/>
    <n v="2690"/>
    <n v="460"/>
    <n v="120"/>
    <m/>
  </r>
  <r>
    <x v="2"/>
    <s v="GAIG"/>
    <s v="FASTTRACK"/>
    <x v="7"/>
    <s v="4,5"/>
    <s v="PREP"/>
    <m/>
    <n v="365"/>
    <n v="180"/>
    <m/>
  </r>
  <r>
    <x v="2"/>
    <s v="LION PROTECTS"/>
    <s v="Maudlin"/>
    <x v="3"/>
    <s v="26,30"/>
    <s v="PREP"/>
    <m/>
    <n v="400"/>
    <n v="180"/>
    <m/>
  </r>
  <r>
    <x v="2"/>
    <s v="LION PROTECTS"/>
    <s v="Maudlin"/>
    <x v="0"/>
    <s v="21/P+2"/>
    <s v="QC/Reassemble"/>
    <m/>
    <n v="225"/>
    <n v="180"/>
    <m/>
  </r>
  <r>
    <x v="2"/>
    <s v="LION PROTECTS"/>
    <s v="Maudlin"/>
    <x v="0"/>
    <s v="21/2"/>
    <s v="PREP/SCAN/QC"/>
    <m/>
    <n v="60"/>
    <n v="360"/>
    <m/>
  </r>
  <r>
    <x v="2"/>
    <s v="LION PROTECTS"/>
    <s v="Maudlin"/>
    <x v="1"/>
    <n v="20"/>
    <s v="QC/Reassemble"/>
    <m/>
    <n v="255"/>
    <n v="180"/>
    <m/>
  </r>
  <r>
    <x v="2"/>
    <s v="PRYSMIAN"/>
    <s v="TELECON"/>
    <x v="4"/>
    <s v="1,3"/>
    <s v="REASSEMBLE"/>
    <m/>
    <n v="345"/>
    <n v="60"/>
    <m/>
  </r>
  <r>
    <x v="2"/>
    <s v="COURIER"/>
    <s v="COURIER"/>
    <x v="5"/>
    <m/>
    <m/>
    <m/>
    <n v="30"/>
    <n v="15"/>
    <m/>
  </r>
  <r>
    <x v="2"/>
    <s v="COURIER"/>
    <s v="COURIER"/>
    <x v="2"/>
    <m/>
    <m/>
    <m/>
    <n v="60"/>
    <n v="15"/>
    <m/>
  </r>
  <r>
    <x v="3"/>
    <s v="LION PROTECTS"/>
    <s v="Maudlin"/>
    <x v="3"/>
    <n v="30"/>
    <s v="PREP"/>
    <n v="0.25"/>
    <n v="105"/>
    <n v="180"/>
    <m/>
  </r>
  <r>
    <x v="3"/>
    <s v="LION PROTECTS"/>
    <s v="Maudlin"/>
    <x v="3"/>
    <n v="32"/>
    <s v="PREP/COPY"/>
    <n v="0.15"/>
    <n v="55"/>
    <n v="240"/>
    <m/>
  </r>
  <r>
    <x v="3"/>
    <s v="LION PROTECTS"/>
    <s v="Maudlin"/>
    <x v="3"/>
    <n v="32"/>
    <s v="PREP/COPY"/>
    <n v="0.5"/>
    <n v="60"/>
    <n v="240"/>
    <m/>
  </r>
  <r>
    <x v="3"/>
    <s v="LION PROTECTS"/>
    <s v="Maudlin"/>
    <x v="3"/>
    <n v="32"/>
    <s v="PREP/COPY"/>
    <n v="0.97"/>
    <n v="120"/>
    <n v="240"/>
    <m/>
  </r>
  <r>
    <x v="3"/>
    <s v="LION PROTECTS"/>
    <s v="Maudlin"/>
    <x v="3"/>
    <n v="32"/>
    <s v="PREP"/>
    <n v="1"/>
    <n v="35"/>
    <n v="180"/>
    <m/>
  </r>
  <r>
    <x v="3"/>
    <s v="LION PROTECTS"/>
    <s v="Maudlin"/>
    <x v="3"/>
    <n v="33"/>
    <s v="PREP/COPY"/>
    <n v="0.2"/>
    <n v="65"/>
    <n v="240"/>
    <m/>
  </r>
  <r>
    <x v="3"/>
    <s v="LION PROTECTS"/>
    <s v="Maudlin"/>
    <x v="0"/>
    <s v="21/P+2"/>
    <s v="QC/Reassemble"/>
    <m/>
    <n v="106"/>
    <n v="180"/>
    <m/>
  </r>
  <r>
    <x v="3"/>
    <s v="LION PROTECTS"/>
    <s v="Maudlin"/>
    <x v="0"/>
    <s v="21/P+3"/>
    <s v="QC/Reassemble"/>
    <m/>
    <n v="44"/>
    <n v="180"/>
    <m/>
  </r>
  <r>
    <x v="3"/>
    <s v="LION PROTECTS"/>
    <s v="Maudlin"/>
    <x v="0"/>
    <s v="21/P+3"/>
    <s v="QC/Reassemble"/>
    <m/>
    <n v="75"/>
    <n v="180"/>
    <m/>
  </r>
  <r>
    <x v="3"/>
    <s v="LION PROTECTS"/>
    <s v="Maudlin"/>
    <x v="0"/>
    <s v="21/P+3"/>
    <s v="QC/Reassemble"/>
    <m/>
    <n v="125.00000000000001"/>
    <n v="180"/>
    <m/>
  </r>
  <r>
    <x v="3"/>
    <s v="LION PROTECTS"/>
    <s v="Maudlin"/>
    <x v="0"/>
    <s v="21/P+3"/>
    <s v="QC/Reassemble"/>
    <m/>
    <n v="20"/>
    <n v="180"/>
    <m/>
  </r>
  <r>
    <x v="3"/>
    <s v="LION PROTECTS"/>
    <s v="Maudlin"/>
    <x v="0"/>
    <n v="25"/>
    <s v="QC/Reassemble"/>
    <m/>
    <n v="800"/>
    <n v="180"/>
    <m/>
  </r>
  <r>
    <x v="3"/>
    <s v="GAIG"/>
    <s v="FASTTRACK"/>
    <x v="5"/>
    <n v="3"/>
    <s v="SCAN"/>
    <n v="857"/>
    <n v="90"/>
    <n v="60"/>
    <m/>
  </r>
  <r>
    <x v="3"/>
    <s v="GAIG"/>
    <s v="FASTTRACK"/>
    <x v="5"/>
    <n v="4"/>
    <s v="SCAN"/>
    <n v="325"/>
    <n v="60"/>
    <n v="60"/>
    <m/>
  </r>
  <r>
    <x v="3"/>
    <s v="GAIG"/>
    <s v="FASTTRACK"/>
    <x v="5"/>
    <n v="4"/>
    <s v="SCAN"/>
    <n v="313"/>
    <n v="45"/>
    <n v="60"/>
    <m/>
  </r>
  <r>
    <x v="3"/>
    <s v="INTERNAL"/>
    <s v="SHREDDING"/>
    <x v="5"/>
    <m/>
    <s v="INTERNAL"/>
    <m/>
    <n v="35"/>
    <n v="15"/>
    <m/>
  </r>
  <r>
    <x v="3"/>
    <s v="COURIER"/>
    <s v="COURIER"/>
    <x v="5"/>
    <m/>
    <s v="INTERNAL"/>
    <m/>
    <n v="205"/>
    <n v="15"/>
    <m/>
  </r>
  <r>
    <x v="3"/>
    <s v="COURIER"/>
    <s v="COURIER"/>
    <x v="5"/>
    <m/>
    <s v="INTERNAL"/>
    <m/>
    <n v="45"/>
    <n v="15"/>
    <m/>
  </r>
  <r>
    <x v="3"/>
    <s v="GAIG"/>
    <s v="FASTTRACK"/>
    <x v="8"/>
    <n v="2"/>
    <s v="QC"/>
    <m/>
    <n v="175"/>
    <n v="120"/>
    <m/>
  </r>
  <r>
    <x v="3"/>
    <s v="EPIQ"/>
    <s v="TRONOX"/>
    <x v="8"/>
    <m/>
    <s v="PREP/SCAN/QC"/>
    <m/>
    <n v="175"/>
    <n v="360"/>
    <m/>
  </r>
  <r>
    <x v="3"/>
    <s v="EPIQ"/>
    <s v="TRONOX"/>
    <x v="8"/>
    <m/>
    <s v="PREP/SCAN/QC"/>
    <m/>
    <n v="114.99999999999999"/>
    <n v="360"/>
    <m/>
  </r>
  <r>
    <x v="3"/>
    <s v="LION PROTECTS"/>
    <s v="Maudlin"/>
    <x v="1"/>
    <n v="23"/>
    <s v="QC/Reassemble"/>
    <m/>
    <n v="120"/>
    <n v="180"/>
    <m/>
  </r>
  <r>
    <x v="3"/>
    <s v="LION PROTECTS"/>
    <s v="Maudlin"/>
    <x v="1"/>
    <n v="23"/>
    <s v="QC/Reassemble"/>
    <m/>
    <n v="75"/>
    <n v="180"/>
    <m/>
  </r>
  <r>
    <x v="3"/>
    <s v="LION PROTECTS"/>
    <s v="Maudlin"/>
    <x v="1"/>
    <n v="23"/>
    <s v="QC/Reassemble"/>
    <m/>
    <n v="90"/>
    <n v="180"/>
    <m/>
  </r>
  <r>
    <x v="4"/>
    <s v="GAIG"/>
    <s v="Fast Track"/>
    <x v="5"/>
    <n v="4"/>
    <s v="SCAN"/>
    <m/>
    <n v="175"/>
    <n v="60"/>
    <m/>
  </r>
  <r>
    <x v="4"/>
    <m/>
    <s v="THOMPSONLTIME"/>
    <x v="5"/>
    <m/>
    <s v="COURIER"/>
    <m/>
    <n v="20"/>
    <n v="15"/>
    <m/>
  </r>
  <r>
    <x v="4"/>
    <s v="GAIG"/>
    <s v="Fast Track"/>
    <x v="5"/>
    <n v="4"/>
    <s v="SCAN"/>
    <n v="2000"/>
    <n v="60"/>
    <n v="60"/>
    <m/>
  </r>
  <r>
    <x v="4"/>
    <s v="GAIG"/>
    <s v="Fast Track"/>
    <x v="5"/>
    <n v="5"/>
    <s v="SCAN"/>
    <n v="1443"/>
    <n v="135"/>
    <n v="60"/>
    <m/>
  </r>
  <r>
    <x v="4"/>
    <s v="GAIG"/>
    <s v="Fast Track"/>
    <x v="5"/>
    <n v="5"/>
    <s v="SCAN"/>
    <n v="537"/>
    <n v="90"/>
    <n v="60"/>
    <m/>
  </r>
  <r>
    <x v="4"/>
    <s v="LION PROTECTS"/>
    <s v="Maudlin"/>
    <x v="3"/>
    <n v="33"/>
    <s v="PREP/COPY"/>
    <n v="0.4"/>
    <n v="150"/>
    <n v="240"/>
    <m/>
  </r>
  <r>
    <x v="4"/>
    <s v="LION PROTECTS"/>
    <s v="Maudlin"/>
    <x v="3"/>
    <n v="33"/>
    <s v="PREP/COPY"/>
    <n v="0.7"/>
    <n v="80"/>
    <n v="240"/>
    <m/>
  </r>
  <r>
    <x v="4"/>
    <s v="LION PROTECTS"/>
    <s v="Maudlin"/>
    <x v="3"/>
    <n v="33"/>
    <s v="PREP/COPY"/>
    <n v="0.9"/>
    <n v="125.00000000000001"/>
    <n v="240"/>
    <m/>
  </r>
  <r>
    <x v="4"/>
    <s v="LION PROTECTS"/>
    <s v="Maudlin"/>
    <x v="3"/>
    <n v="33"/>
    <s v="PREP/COPY"/>
    <n v="1"/>
    <n v="50"/>
    <n v="240"/>
    <m/>
  </r>
  <r>
    <x v="4"/>
    <s v="LION PROTECTS"/>
    <s v="Maudlin"/>
    <x v="3"/>
    <n v="33"/>
    <s v="PREP/COPY"/>
    <n v="0.05"/>
    <n v="40"/>
    <n v="240"/>
    <m/>
  </r>
  <r>
    <x v="4"/>
    <s v="LION PROTECTS"/>
    <s v="Maudlin"/>
    <x v="0"/>
    <n v="25"/>
    <s v="QC/Reassemble"/>
    <m/>
    <n v="150"/>
    <n v="180"/>
    <m/>
  </r>
  <r>
    <x v="4"/>
    <s v="LION PROTECTS"/>
    <s v="Maudlin"/>
    <x v="0"/>
    <n v="25"/>
    <s v="QC/Reassemble"/>
    <m/>
    <n v="85"/>
    <n v="180"/>
    <m/>
  </r>
  <r>
    <x v="4"/>
    <s v="LION PROTECTS"/>
    <s v="Maudlin"/>
    <x v="0"/>
    <m/>
    <s v="QC/Reassemble"/>
    <m/>
    <n v="15"/>
    <n v="180"/>
    <m/>
  </r>
  <r>
    <x v="4"/>
    <s v="LION PROTECTS"/>
    <s v="Maudlin"/>
    <x v="0"/>
    <s v="25/PT2"/>
    <s v="QC/Reassemble"/>
    <m/>
    <n v="105"/>
    <n v="180"/>
    <m/>
  </r>
  <r>
    <x v="4"/>
    <s v="LION PROTECTS"/>
    <s v="Maudlin"/>
    <x v="0"/>
    <s v="25/PT2"/>
    <s v="QC/Reassemble"/>
    <m/>
    <n v="95.000000000000014"/>
    <n v="180"/>
    <m/>
  </r>
  <r>
    <x v="4"/>
    <s v="LION PROTECTS"/>
    <s v="Maudlin"/>
    <x v="1"/>
    <n v="23"/>
    <s v="QC/Reassemble"/>
    <m/>
    <n v="99.999999999999986"/>
    <n v="180"/>
    <m/>
  </r>
  <r>
    <x v="4"/>
    <s v="LION PROTECTS"/>
    <s v="Maudlin"/>
    <x v="1"/>
    <m/>
    <s v="QC/Reassemble"/>
    <m/>
    <n v="75"/>
    <n v="180"/>
    <m/>
  </r>
  <r>
    <x v="4"/>
    <s v="LION PROTECTS"/>
    <s v="Maudlin"/>
    <x v="1"/>
    <m/>
    <s v="QC/Reassemble"/>
    <m/>
    <n v="90"/>
    <n v="180"/>
    <m/>
  </r>
  <r>
    <x v="5"/>
    <s v="LION PROTECTS"/>
    <s v="Maudlin"/>
    <x v="0"/>
    <n v="25"/>
    <s v="QC/Reassemble"/>
    <m/>
    <n v="150"/>
    <n v="180"/>
    <m/>
  </r>
  <r>
    <x v="5"/>
    <s v="LION PROTECTS"/>
    <s v="Maudlin"/>
    <x v="0"/>
    <n v="25"/>
    <s v="QC/Reassemble"/>
    <m/>
    <n v="85"/>
    <n v="180"/>
    <m/>
  </r>
  <r>
    <x v="5"/>
    <s v="CHILDREN CCHMC"/>
    <s v="Mailroom"/>
    <x v="0"/>
    <m/>
    <s v="PREP/SCAN/QC"/>
    <m/>
    <n v="125.00000000000001"/>
    <n v="360"/>
    <m/>
  </r>
  <r>
    <x v="5"/>
    <s v="CCHMC"/>
    <s v="Mailroom"/>
    <x v="0"/>
    <m/>
    <s v="PREP/SCAN/QC"/>
    <m/>
    <n v="105"/>
    <n v="360"/>
    <m/>
  </r>
  <r>
    <x v="5"/>
    <s v="LION PROTECTS"/>
    <s v="Maudlin"/>
    <x v="3"/>
    <n v="34"/>
    <s v="PREP/COPY"/>
    <n v="0.8"/>
    <n v="150"/>
    <n v="240"/>
    <m/>
  </r>
  <r>
    <x v="5"/>
    <s v="LION PROTECTS"/>
    <s v="Maudlin"/>
    <x v="3"/>
    <n v="34"/>
    <s v="PREP/COPY"/>
    <n v="0.9"/>
    <n v="75"/>
    <n v="240"/>
    <m/>
  </r>
  <r>
    <x v="5"/>
    <s v="LION PROTECTS"/>
    <s v="Maudlin"/>
    <x v="3"/>
    <n v="34"/>
    <s v="PREP/COPY"/>
    <n v="1"/>
    <n v="114.99999999999999"/>
    <n v="240"/>
    <m/>
  </r>
  <r>
    <x v="5"/>
    <s v="LION PROTECTS"/>
    <s v="Maudlin"/>
    <x v="3"/>
    <n v="39"/>
    <s v="PREP/COPY"/>
    <n v="0.35"/>
    <n v="105"/>
    <n v="240"/>
    <m/>
  </r>
  <r>
    <x v="5"/>
    <s v="GAIG"/>
    <s v="Fast Track"/>
    <x v="5"/>
    <n v="5"/>
    <s v="SCAN"/>
    <n v="1300"/>
    <n v="120"/>
    <n v="60"/>
    <m/>
  </r>
  <r>
    <x v="5"/>
    <s v="LION PROTECTS"/>
    <s v="Maudlin"/>
    <x v="5"/>
    <m/>
    <s v="MANUAL/DATA ENTRY"/>
    <m/>
    <n v="60"/>
    <n v="60"/>
    <m/>
  </r>
  <r>
    <x v="5"/>
    <s v="LION PROTECTS"/>
    <s v="Maudlin"/>
    <x v="5"/>
    <n v="262"/>
    <s v="SCAN"/>
    <n v="2542"/>
    <n v="165"/>
    <n v="60"/>
    <m/>
  </r>
  <r>
    <x v="5"/>
    <m/>
    <s v="BONEZZI/MARSHALL DENNEHEY"/>
    <x v="5"/>
    <n v="82"/>
    <s v="COURIER"/>
    <m/>
    <n v="180"/>
    <n v="15"/>
    <m/>
  </r>
  <r>
    <x v="5"/>
    <s v="LION PROTECTS"/>
    <s v="Maudlin"/>
    <x v="5"/>
    <m/>
    <s v="DATA ENTRY"/>
    <m/>
    <n v="15"/>
    <n v="60"/>
    <m/>
  </r>
  <r>
    <x v="5"/>
    <s v="LION PROTECTS"/>
    <s v="Maudlin"/>
    <x v="5"/>
    <n v="26"/>
    <s v="SCAN"/>
    <n v="400"/>
    <n v="60"/>
    <n v="60"/>
    <m/>
  </r>
  <r>
    <x v="6"/>
    <s v="LION PROTECTS"/>
    <s v="Maudlin"/>
    <x v="5"/>
    <n v="26"/>
    <s v="SCAN"/>
    <n v="805"/>
    <n v="60"/>
    <n v="60"/>
    <m/>
  </r>
  <r>
    <x v="6"/>
    <s v="REMOTE EQUIPMENT"/>
    <s v="COURIER"/>
    <x v="5"/>
    <m/>
    <s v="COURIER"/>
    <m/>
    <n v="75"/>
    <n v="15"/>
    <m/>
  </r>
  <r>
    <x v="6"/>
    <s v="THOMAS LAW"/>
    <s v="THOMAS LAW-SMALL"/>
    <x v="5"/>
    <n v="1"/>
    <s v="PREP SCAN"/>
    <n v="372"/>
    <n v="370"/>
    <n v="240"/>
    <m/>
  </r>
  <r>
    <x v="6"/>
    <s v="CCHMC"/>
    <s v="PB, HB, UR, LOCKBOX"/>
    <x v="1"/>
    <m/>
    <s v="TRAIN"/>
    <m/>
    <n v="120"/>
    <n v="120"/>
    <m/>
  </r>
  <r>
    <x v="6"/>
    <s v="GAIG"/>
    <s v="Fast Track"/>
    <x v="1"/>
    <m/>
    <s v="QC-DATA EENTRY"/>
    <m/>
    <n v="75"/>
    <n v="180"/>
    <m/>
  </r>
  <r>
    <x v="6"/>
    <s v="GAIG"/>
    <s v="Fast Track"/>
    <x v="1"/>
    <m/>
    <s v="QC-DATA EENTRY"/>
    <m/>
    <n v="90"/>
    <n v="180"/>
    <m/>
  </r>
  <r>
    <x v="6"/>
    <s v="GAIG"/>
    <s v="Fast Track"/>
    <x v="4"/>
    <n v="3"/>
    <s v="QC"/>
    <m/>
    <n v="285"/>
    <n v="120"/>
    <m/>
  </r>
  <r>
    <x v="6"/>
    <s v="LION PROTECTS"/>
    <s v="Maudlin"/>
    <x v="3"/>
    <n v="39"/>
    <s v="PREP/COPY"/>
    <n v="0.9"/>
    <n v="165"/>
    <n v="240"/>
    <m/>
  </r>
  <r>
    <x v="6"/>
    <s v="LION PROTECTS"/>
    <s v="Maudlin"/>
    <x v="3"/>
    <n v="39"/>
    <s v="PREP"/>
    <n v="1"/>
    <n v="35"/>
    <n v="180"/>
    <m/>
  </r>
  <r>
    <x v="6"/>
    <s v="LION PROTECTS"/>
    <s v="Maudlin"/>
    <x v="3"/>
    <n v="40"/>
    <s v="PREP/COPY"/>
    <n v="0.01"/>
    <n v="23"/>
    <n v="240"/>
    <m/>
  </r>
  <r>
    <x v="6"/>
    <s v="LION PROTECTS"/>
    <s v="Maudlin"/>
    <x v="3"/>
    <n v="40"/>
    <s v="PREP/COPY"/>
    <n v="0.5"/>
    <n v="120"/>
    <n v="240"/>
    <m/>
  </r>
  <r>
    <x v="6"/>
    <s v="LION PROTECTS"/>
    <s v="Maudlin"/>
    <x v="3"/>
    <n v="40"/>
    <s v="PREP"/>
    <n v="0.85"/>
    <n v="105"/>
    <n v="180"/>
    <m/>
  </r>
  <r>
    <x v="6"/>
    <s v="CCHMC"/>
    <s v="Mailroom"/>
    <x v="0"/>
    <m/>
    <s v="PREP/SCAN/QC"/>
    <m/>
    <n v="145"/>
    <n v="360"/>
    <m/>
  </r>
  <r>
    <x v="6"/>
    <s v="CCHMC"/>
    <s v="Mailroom"/>
    <x v="0"/>
    <m/>
    <s v="SCAN/QC "/>
    <n v="315"/>
    <n v="11"/>
    <n v="180"/>
    <m/>
  </r>
  <r>
    <x v="6"/>
    <s v="CCHMC"/>
    <s v="Mailroom"/>
    <x v="0"/>
    <m/>
    <s v="SCAN/QC "/>
    <n v="575"/>
    <n v="34"/>
    <n v="180"/>
    <m/>
  </r>
  <r>
    <x v="6"/>
    <s v="CCHMC"/>
    <s v="Mailroom"/>
    <x v="0"/>
    <m/>
    <s v="SCAN/QC "/>
    <n v="195"/>
    <n v="20"/>
    <n v="180"/>
    <m/>
  </r>
  <r>
    <x v="6"/>
    <s v="LION PROTECTS"/>
    <s v="Maudlin"/>
    <x v="0"/>
    <n v="25"/>
    <s v="QC/Reassemble"/>
    <m/>
    <n v="114.99999999999999"/>
    <n v="180"/>
    <m/>
  </r>
  <r>
    <x v="6"/>
    <s v="LION PROTECTS"/>
    <s v="Maudlin"/>
    <x v="0"/>
    <n v="25"/>
    <s v="QC/Reassemble"/>
    <m/>
    <n v="45"/>
    <n v="180"/>
    <m/>
  </r>
  <r>
    <x v="6"/>
    <s v="LION PROTECTS"/>
    <s v="Maudlin"/>
    <x v="0"/>
    <n v="26"/>
    <s v="QC/Reassemble"/>
    <m/>
    <n v="60"/>
    <n v="180"/>
    <m/>
  </r>
  <r>
    <x v="7"/>
    <s v="GAIG"/>
    <s v="Fast Track"/>
    <x v="1"/>
    <n v="5"/>
    <s v="QC/DATA ENTRY"/>
    <m/>
    <n v="120"/>
    <n v="120"/>
    <m/>
  </r>
  <r>
    <x v="7"/>
    <s v="GAIG"/>
    <s v="Fast Track"/>
    <x v="1"/>
    <n v="5"/>
    <s v="QC/DATA ENTRY"/>
    <m/>
    <n v="75"/>
    <n v="120"/>
    <m/>
  </r>
  <r>
    <x v="7"/>
    <s v="CCHMC"/>
    <s v="PB,HB,UR"/>
    <x v="1"/>
    <m/>
    <s v="TRAIN"/>
    <m/>
    <n v="150"/>
    <n v="120"/>
    <m/>
  </r>
  <r>
    <x v="7"/>
    <s v="THOMAS LAW"/>
    <s v="THOMAS LAW"/>
    <x v="5"/>
    <n v="1"/>
    <s v="QC/Reassemble"/>
    <m/>
    <n v="60"/>
    <n v="180"/>
    <m/>
  </r>
  <r>
    <x v="7"/>
    <s v="LOADING BOXS"/>
    <s v="LION PROTECTS "/>
    <x v="5"/>
    <m/>
    <s v="MANUAL"/>
    <m/>
    <n v="30"/>
    <n v="30"/>
    <m/>
  </r>
  <r>
    <x v="7"/>
    <s v="LION PROTECTS"/>
    <s v="MANUAL"/>
    <x v="5"/>
    <m/>
    <s v="COURIER"/>
    <m/>
    <n v="210"/>
    <n v="15"/>
    <m/>
  </r>
  <r>
    <x v="7"/>
    <s v="STOCKYARD"/>
    <s v="Deposit"/>
    <x v="5"/>
    <m/>
    <s v="PREP"/>
    <m/>
    <n v="30"/>
    <n v="180"/>
    <m/>
  </r>
  <r>
    <x v="7"/>
    <s v="LION PROTECTS"/>
    <s v="MAULDIN"/>
    <x v="5"/>
    <n v="30"/>
    <s v="SCAN"/>
    <n v="133"/>
    <n v="90"/>
    <n v="60"/>
    <m/>
  </r>
  <r>
    <x v="7"/>
    <s v="FEDEX"/>
    <s v="COURIER"/>
    <x v="5"/>
    <m/>
    <s v="COURIER"/>
    <m/>
    <n v="40"/>
    <n v="15"/>
    <m/>
  </r>
  <r>
    <x v="7"/>
    <s v="LION PROTECTS"/>
    <s v="MAULDIN"/>
    <x v="5"/>
    <n v="30"/>
    <s v="SCAN"/>
    <n v="187"/>
    <n v="30"/>
    <n v="60"/>
    <m/>
  </r>
  <r>
    <x v="7"/>
    <s v="GAIG"/>
    <s v="Fast Track"/>
    <x v="5"/>
    <m/>
    <s v="SCAN/QC"/>
    <n v="140"/>
    <n v="25"/>
    <n v="180"/>
    <m/>
  </r>
  <r>
    <x v="7"/>
    <s v="CHILDRENS "/>
    <s v="Refund Request"/>
    <x v="5"/>
    <m/>
    <s v="SCAN/QC"/>
    <n v="38"/>
    <n v="5"/>
    <n v="180"/>
    <m/>
  </r>
  <r>
    <x v="7"/>
    <s v="CHILDRENS "/>
    <s v="FINANCIAL RETURNS"/>
    <x v="5"/>
    <m/>
    <s v="SCAN"/>
    <n v="6"/>
    <n v="5"/>
    <n v="60"/>
    <m/>
  </r>
  <r>
    <x v="7"/>
    <s v="GAIG"/>
    <s v="Fast Track"/>
    <x v="5"/>
    <n v="5"/>
    <s v="SCAN/QC"/>
    <n v="125"/>
    <n v="30"/>
    <n v="180"/>
    <m/>
  </r>
  <r>
    <x v="7"/>
    <s v="CHILDRENS "/>
    <s v="FINANCIAL RETURNS"/>
    <x v="5"/>
    <m/>
    <s v="SCAN"/>
    <n v="30"/>
    <n v="10"/>
    <n v="60"/>
    <m/>
  </r>
  <r>
    <x v="7"/>
    <s v="CHILDRENS "/>
    <s v="Denials"/>
    <x v="5"/>
    <m/>
    <s v="SCAN"/>
    <n v="5"/>
    <n v="5"/>
    <n v="60"/>
    <m/>
  </r>
  <r>
    <x v="7"/>
    <s v="LION PROTECTS"/>
    <s v="MAULDIN"/>
    <x v="0"/>
    <n v="28"/>
    <s v="QC/Reassemble"/>
    <m/>
    <n v="150"/>
    <n v="180"/>
    <m/>
  </r>
  <r>
    <x v="7"/>
    <s v="LION PROTECTS"/>
    <s v="MAULDIN"/>
    <x v="0"/>
    <n v="28"/>
    <s v="QC/Reassemble"/>
    <m/>
    <n v="75"/>
    <n v="180"/>
    <m/>
  </r>
  <r>
    <x v="7"/>
    <s v="CCHMC"/>
    <s v="Mailroom"/>
    <x v="0"/>
    <m/>
    <s v="TRAINING"/>
    <m/>
    <n v="99.999999999999986"/>
    <n v="120"/>
    <m/>
  </r>
  <r>
    <x v="7"/>
    <s v="LION PROTECTS"/>
    <s v="MAULDIN"/>
    <x v="0"/>
    <n v="28"/>
    <s v="QC/Reassemble"/>
    <m/>
    <n v="50"/>
    <n v="180"/>
    <m/>
  </r>
  <r>
    <x v="7"/>
    <s v="LION PROTECTS"/>
    <s v="MAULDIN"/>
    <x v="0"/>
    <s v="28 PT2"/>
    <s v="QC/Reassemble"/>
    <m/>
    <n v="105"/>
    <n v="180"/>
    <m/>
  </r>
  <r>
    <x v="7"/>
    <s v="GAIG"/>
    <s v="Fast Track"/>
    <x v="4"/>
    <n v="4"/>
    <s v="REASSEM"/>
    <m/>
    <n v="75"/>
    <n v="60"/>
    <m/>
  </r>
  <r>
    <x v="7"/>
    <s v="GAIG"/>
    <s v="Fast Track"/>
    <x v="4"/>
    <n v="5"/>
    <s v="QC"/>
    <m/>
    <n v="165"/>
    <n v="120"/>
    <m/>
  </r>
  <r>
    <x v="8"/>
    <s v="STOCKYARD"/>
    <s v="Deposit"/>
    <x v="5"/>
    <m/>
    <s v="PREP"/>
    <m/>
    <n v="30"/>
    <n v="15"/>
    <m/>
  </r>
  <r>
    <x v="8"/>
    <s v="LION PROTECTS"/>
    <s v="MAULDIN"/>
    <x v="5"/>
    <n v="30"/>
    <s v="SCAN"/>
    <m/>
    <n v="80"/>
    <n v="60"/>
    <m/>
  </r>
  <r>
    <x v="8"/>
    <s v="DR.LEE"/>
    <s v="D/0 2 BOXES"/>
    <x v="5"/>
    <m/>
    <s v="COURIER"/>
    <m/>
    <n v="90"/>
    <n v="15"/>
    <m/>
  </r>
  <r>
    <x v="8"/>
    <s v="LION PROTECTS"/>
    <s v="MAULDIN"/>
    <x v="5"/>
    <n v="30"/>
    <s v="SCAN"/>
    <n v="1759"/>
    <n v="120"/>
    <n v="60"/>
    <m/>
  </r>
  <r>
    <x v="8"/>
    <s v="LION PROTECTS"/>
    <s v="MAULDIN"/>
    <x v="5"/>
    <n v="26"/>
    <s v="SCAN"/>
    <m/>
    <n v="55"/>
    <n v="60"/>
    <m/>
  </r>
  <r>
    <x v="8"/>
    <s v="LION PROTECTS"/>
    <s v="MAULDIN"/>
    <x v="5"/>
    <n v="26"/>
    <s v="SCAN"/>
    <m/>
    <n v="95.000000000000014"/>
    <n v="60"/>
    <m/>
  </r>
  <r>
    <x v="8"/>
    <s v="GAIG"/>
    <s v="FAST TRACK"/>
    <x v="8"/>
    <n v="3"/>
    <s v="REASSEM"/>
    <m/>
    <n v="105"/>
    <n v="60"/>
    <m/>
  </r>
  <r>
    <x v="8"/>
    <s v="GAIG"/>
    <s v="FAST TRACK"/>
    <x v="8"/>
    <n v="5"/>
    <s v="REASSEM"/>
    <m/>
    <n v="130"/>
    <n v="60"/>
    <m/>
  </r>
  <r>
    <x v="8"/>
    <s v="GARRETSON "/>
    <s v="TRONOX"/>
    <x v="8"/>
    <m/>
    <s v="QC"/>
    <m/>
    <n v="95.000000000000014"/>
    <n v="120"/>
    <m/>
  </r>
  <r>
    <x v="8"/>
    <s v="AK STEEL"/>
    <s v="PENSIONS"/>
    <x v="8"/>
    <s v="PDCO303"/>
    <s v="PREP"/>
    <m/>
    <n v="125.00000000000001"/>
    <n v="180"/>
    <m/>
  </r>
  <r>
    <x v="8"/>
    <s v="CCHMC"/>
    <s v="TRAIN"/>
    <x v="1"/>
    <m/>
    <s v="UPDATE FILES"/>
    <m/>
    <n v="180"/>
    <n v="120"/>
    <m/>
  </r>
  <r>
    <x v="8"/>
    <s v="LION PROTECTS"/>
    <s v="MAULDIN"/>
    <x v="0"/>
    <s v="28 PT2"/>
    <s v="QC/Reassemble"/>
    <m/>
    <n v="150"/>
    <n v="180"/>
    <m/>
  </r>
  <r>
    <x v="8"/>
    <s v="LION PROTECTS"/>
    <s v="MAULDIN"/>
    <x v="0"/>
    <s v="28/PT 3"/>
    <s v="QC/Reassemble"/>
    <m/>
    <n v="40"/>
    <n v="180"/>
    <m/>
  </r>
  <r>
    <x v="8"/>
    <s v="CCHMC"/>
    <s v="MAILROOM"/>
    <x v="0"/>
    <m/>
    <s v="QC/SCAN"/>
    <n v="205"/>
    <n v="30"/>
    <n v="180"/>
    <m/>
  </r>
  <r>
    <x v="8"/>
    <s v="LION PROTECTS"/>
    <s v="MAULDIN"/>
    <x v="0"/>
    <s v="28/PT 3"/>
    <s v="QC/Reassemble"/>
    <m/>
    <n v="120"/>
    <n v="180"/>
    <m/>
  </r>
  <r>
    <x v="8"/>
    <s v="LION PROTECTS"/>
    <s v="MAULDIN"/>
    <x v="0"/>
    <s v="28/PT3"/>
    <s v="QC/Reassemble"/>
    <m/>
    <n v="83"/>
    <n v="180"/>
    <m/>
  </r>
  <r>
    <x v="8"/>
    <s v="LION PROTECTS"/>
    <s v="MAULDIN"/>
    <x v="0"/>
    <s v="28/PT 3"/>
    <s v="QC/Reassemble"/>
    <m/>
    <n v="22"/>
    <n v="180"/>
    <m/>
  </r>
  <r>
    <x v="9"/>
    <s v="LION PROTECTS"/>
    <s v="MAULDIN"/>
    <x v="5"/>
    <n v="32"/>
    <s v="SCAN"/>
    <m/>
    <n v="120"/>
    <n v="60"/>
    <m/>
  </r>
  <r>
    <x v="9"/>
    <s v="GREAT AMERICAN"/>
    <s v="GAIG"/>
    <x v="5"/>
    <m/>
    <s v="COURIER"/>
    <m/>
    <n v="75"/>
    <n v="15"/>
    <m/>
  </r>
  <r>
    <x v="9"/>
    <s v="LEWIS BRIS BAS"/>
    <s v="CDS"/>
    <x v="5"/>
    <m/>
    <s v="COURIER"/>
    <m/>
    <n v="75"/>
    <n v="15"/>
    <m/>
  </r>
  <r>
    <x v="9"/>
    <s v="STOCKYARD"/>
    <s v="DEPOSIT"/>
    <x v="5"/>
    <m/>
    <s v="PREP"/>
    <m/>
    <n v="30"/>
    <n v="180"/>
    <m/>
  </r>
  <r>
    <x v="9"/>
    <m/>
    <s v="FIXING SYSTEM ERROR"/>
    <x v="5"/>
    <m/>
    <s v="MANUAL"/>
    <m/>
    <n v="20"/>
    <n v="30"/>
    <m/>
  </r>
  <r>
    <x v="9"/>
    <s v="LION PROTECTS"/>
    <s v="MAULDIN"/>
    <x v="5"/>
    <n v="32"/>
    <s v="SCAN"/>
    <n v="2195"/>
    <n v="120"/>
    <n v="60"/>
    <m/>
  </r>
  <r>
    <x v="9"/>
    <s v="AKS STEEL"/>
    <s v="PENSION"/>
    <x v="5"/>
    <n v="303"/>
    <s v="SCAN"/>
    <m/>
    <n v="40"/>
    <n v="60"/>
    <m/>
  </r>
  <r>
    <x v="9"/>
    <s v="AKS STEEL"/>
    <s v="PENSION"/>
    <x v="5"/>
    <n v="303"/>
    <s v="SCAN"/>
    <n v="843"/>
    <n v="45"/>
    <n v="60"/>
    <m/>
  </r>
  <r>
    <x v="9"/>
    <s v="LION PROTECTS"/>
    <s v="MAULDIN"/>
    <x v="0"/>
    <n v="28"/>
    <s v="REASSEMBLE"/>
    <m/>
    <n v="35"/>
    <n v="60"/>
    <m/>
  </r>
  <r>
    <x v="9"/>
    <s v="LION PROTECTS"/>
    <s v="MAULDIN"/>
    <x v="0"/>
    <n v="29"/>
    <s v="QC/Reassemble"/>
    <m/>
    <n v="114.99999999999999"/>
    <n v="180"/>
    <m/>
  </r>
  <r>
    <x v="9"/>
    <s v="LION PROTECTS"/>
    <s v="MAULDIN"/>
    <x v="0"/>
    <n v="29"/>
    <s v="QC/Reassemble"/>
    <m/>
    <n v="75"/>
    <n v="180"/>
    <m/>
  </r>
  <r>
    <x v="9"/>
    <s v="LION PROTECTS"/>
    <s v="MAULDIN"/>
    <x v="0"/>
    <n v="29"/>
    <s v="QC/Reassemble"/>
    <m/>
    <n v="80"/>
    <n v="180"/>
    <m/>
  </r>
  <r>
    <x v="9"/>
    <s v="LION PROTECTS"/>
    <s v="MAULDIN"/>
    <x v="0"/>
    <n v="29"/>
    <s v="QC/Reassemble"/>
    <m/>
    <n v="40"/>
    <n v="180"/>
    <m/>
  </r>
  <r>
    <x v="9"/>
    <s v="LION PROTECTS"/>
    <s v="MAULDIN"/>
    <x v="0"/>
    <n v="29"/>
    <s v="QC/Reassemble"/>
    <m/>
    <n v="105"/>
    <n v="180"/>
    <m/>
  </r>
  <r>
    <x v="9"/>
    <s v="CCHMC "/>
    <s v="HB,PB,UR,LUNCHBOX"/>
    <x v="1"/>
    <m/>
    <s v="DATA MGT"/>
    <m/>
    <n v="135"/>
    <m/>
    <m/>
  </r>
  <r>
    <x v="9"/>
    <s v="CCHMC "/>
    <s v="HB,PB,UR,LUNCHBOX"/>
    <x v="1"/>
    <m/>
    <s v="DATA MGT"/>
    <m/>
    <n v="60"/>
    <m/>
    <m/>
  </r>
  <r>
    <x v="9"/>
    <s v="CCHMC "/>
    <s v="HB,PB,UR,LUNCHBOX"/>
    <x v="1"/>
    <m/>
    <s v="DATA MGT"/>
    <n v="127"/>
    <n v="120"/>
    <m/>
    <m/>
  </r>
  <r>
    <x v="10"/>
    <s v="LION PROTECTS"/>
    <s v="MAULDIN"/>
    <x v="3"/>
    <n v="40"/>
    <s v="PREP "/>
    <n v="1"/>
    <n v="157"/>
    <n v="180"/>
    <m/>
  </r>
  <r>
    <x v="10"/>
    <s v="LION PROTECTS"/>
    <s v="MAULDIN"/>
    <x v="3"/>
    <n v="31"/>
    <s v="PREP "/>
    <n v="0.25"/>
    <n v="78"/>
    <n v="180"/>
    <m/>
  </r>
  <r>
    <x v="10"/>
    <s v="LION PROTECTS"/>
    <s v="MAULDIN"/>
    <x v="3"/>
    <n v="31"/>
    <s v="PREP/COPY"/>
    <n v="0.75"/>
    <n v="114.99999999999999"/>
    <n v="240"/>
    <m/>
  </r>
  <r>
    <x v="10"/>
    <s v="LION PROTECTS"/>
    <s v="MAULDIN"/>
    <x v="3"/>
    <n v="31"/>
    <s v="PREP/COPY"/>
    <n v="0.96"/>
    <n v="99.999999999999986"/>
    <n v="240"/>
    <m/>
  </r>
  <r>
    <x v="10"/>
    <s v="LION PROTECTS"/>
    <s v="MAULDIN"/>
    <x v="5"/>
    <n v="33"/>
    <s v="SCAN"/>
    <n v="841"/>
    <n v="105"/>
    <n v="60"/>
    <m/>
  </r>
  <r>
    <x v="10"/>
    <s v="GRAYDON"/>
    <s v="D/O OXES"/>
    <x v="5"/>
    <m/>
    <s v="COURIER"/>
    <m/>
    <n v="30"/>
    <n v="15"/>
    <m/>
  </r>
  <r>
    <x v="10"/>
    <s v="LION PROTECTS"/>
    <s v="MAULDIN"/>
    <x v="5"/>
    <n v="33"/>
    <s v="SCAN"/>
    <m/>
    <n v="65"/>
    <n v="60"/>
    <m/>
  </r>
  <r>
    <x v="10"/>
    <s v="OFFICE"/>
    <m/>
    <x v="5"/>
    <m/>
    <s v="MANUAL"/>
    <m/>
    <n v="20"/>
    <n v="30"/>
    <m/>
  </r>
  <r>
    <x v="10"/>
    <s v="LION PROTECTS"/>
    <s v="MAULDIN"/>
    <x v="5"/>
    <n v="33"/>
    <s v="SCAN"/>
    <n v="1747"/>
    <n v="150"/>
    <n v="60"/>
    <m/>
  </r>
  <r>
    <x v="10"/>
    <s v="LION PROTECTS"/>
    <s v="MAULDIN"/>
    <x v="5"/>
    <n v="34"/>
    <s v="SCAN"/>
    <n v="1911"/>
    <n v="110.00000000000001"/>
    <n v="60"/>
    <m/>
  </r>
  <r>
    <x v="10"/>
    <s v="LION PROTECTS"/>
    <s v="MAULDIN"/>
    <x v="0"/>
    <n v="29"/>
    <s v="QC/Reassemble"/>
    <m/>
    <n v="120"/>
    <n v="180"/>
    <m/>
  </r>
  <r>
    <x v="10"/>
    <s v="AK STEEL"/>
    <s v="EMPLOYEE BENEFIT"/>
    <x v="0"/>
    <n v="177"/>
    <s v="QC"/>
    <m/>
    <n v="40"/>
    <n v="120"/>
    <m/>
  </r>
  <r>
    <x v="10"/>
    <s v="AK STEEL"/>
    <s v="EMPLOYEE BENEFIT"/>
    <x v="0"/>
    <n v="177"/>
    <s v="QC"/>
    <m/>
    <n v="71"/>
    <n v="120"/>
    <m/>
  </r>
  <r>
    <x v="10"/>
    <s v="AK STEEL"/>
    <s v="EMPLOYEE BENEFIT"/>
    <x v="4"/>
    <n v="178"/>
    <s v="PREP"/>
    <m/>
    <n v="255"/>
    <n v="180"/>
    <m/>
  </r>
  <r>
    <x v="10"/>
    <s v="CCHMC "/>
    <s v="DATA MGT"/>
    <x v="1"/>
    <m/>
    <m/>
    <m/>
    <n v="120"/>
    <m/>
    <m/>
  </r>
  <r>
    <x v="10"/>
    <s v="CCHMC "/>
    <s v="DATA MGT"/>
    <x v="1"/>
    <m/>
    <m/>
    <m/>
    <n v="30"/>
    <m/>
    <m/>
  </r>
  <r>
    <x v="10"/>
    <s v="CCHMC "/>
    <s v="DATA MGT"/>
    <x v="1"/>
    <m/>
    <m/>
    <m/>
    <n v="45"/>
    <m/>
    <m/>
  </r>
  <r>
    <x v="10"/>
    <s v="HB,PB,LOCK BOX"/>
    <s v="PREP/SCAN/QC"/>
    <x v="1"/>
    <m/>
    <m/>
    <m/>
    <n v="150"/>
    <n v="24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1">
  <r>
    <x v="0"/>
    <s v="Maudlin"/>
    <s v="Hankerson"/>
    <s v="19/P+3"/>
    <x v="0"/>
    <n v="80"/>
    <n v="240"/>
    <n v="180"/>
    <m/>
  </r>
  <r>
    <x v="0"/>
    <s v="Maudlin"/>
    <s v="Watkins"/>
    <n v="20"/>
    <x v="0"/>
    <m/>
    <n v="450"/>
    <n v="180"/>
    <m/>
  </r>
  <r>
    <x v="1"/>
    <s v="Mailroom"/>
    <s v="Hankerson"/>
    <m/>
    <x v="1"/>
    <n v="456"/>
    <n v="240"/>
    <n v="360"/>
    <m/>
  </r>
  <r>
    <x v="1"/>
    <s v="FAA"/>
    <s v="Sheila"/>
    <m/>
    <x v="2"/>
    <m/>
    <n v="14"/>
    <n v="180"/>
    <m/>
  </r>
  <r>
    <x v="1"/>
    <s v="Mailroom"/>
    <s v="Watkins"/>
    <m/>
    <x v="1"/>
    <m/>
    <n v="150"/>
    <n v="360"/>
    <m/>
  </r>
  <r>
    <x v="1"/>
    <s v="Approvals"/>
    <s v="Sheila"/>
    <m/>
    <x v="2"/>
    <m/>
    <n v="25"/>
    <n v="180"/>
    <m/>
  </r>
  <r>
    <x v="1"/>
    <s v="Denials"/>
    <s v="Sheila"/>
    <m/>
    <x v="2"/>
    <m/>
    <n v="4"/>
    <n v="180"/>
    <m/>
  </r>
  <r>
    <x v="1"/>
    <s v="Refund Request"/>
    <s v="Sheila"/>
    <m/>
    <x v="2"/>
    <m/>
    <n v="17"/>
    <n v="180"/>
    <m/>
  </r>
  <r>
    <x v="2"/>
    <s v="TRONOX"/>
    <s v="Barber"/>
    <m/>
    <x v="1"/>
    <n v="1499"/>
    <n v="435"/>
    <n v="360"/>
    <m/>
  </r>
  <r>
    <x v="3"/>
    <s v="Fast Track"/>
    <s v="Renneker"/>
    <n v="3"/>
    <x v="3"/>
    <m/>
    <n v="285"/>
    <n v="180"/>
    <m/>
  </r>
  <r>
    <x v="4"/>
    <s v="TELECON"/>
    <s v="Walker"/>
    <m/>
    <x v="4"/>
    <n v="500"/>
    <n v="225"/>
    <n v="60"/>
    <m/>
  </r>
  <r>
    <x v="5"/>
    <s v="Deposit"/>
    <s v="Walker"/>
    <m/>
    <x v="5"/>
    <m/>
    <n v="45"/>
    <n v="15"/>
    <m/>
  </r>
  <r>
    <x v="6"/>
    <s v="DJJ"/>
    <s v="Sheila"/>
    <m/>
    <x v="2"/>
    <m/>
    <n v="94"/>
    <n v="180"/>
    <m/>
  </r>
  <r>
    <x v="7"/>
    <s v="COURIER"/>
    <s v="Walker"/>
    <m/>
    <x v="5"/>
    <n v="100"/>
    <n v="195"/>
    <n v="15"/>
    <m/>
  </r>
  <r>
    <x v="1"/>
    <s v="FAA"/>
    <s v="Felicia"/>
    <m/>
    <x v="3"/>
    <m/>
    <n v="21"/>
    <n v="180"/>
    <m/>
  </r>
  <r>
    <x v="1"/>
    <s v="Mailroom"/>
    <s v="Hankerson"/>
    <m/>
    <x v="1"/>
    <n v="310"/>
    <n v="180"/>
    <n v="360"/>
    <m/>
  </r>
  <r>
    <x v="1"/>
    <s v="Mailroom"/>
    <s v="Watkins"/>
    <m/>
    <x v="6"/>
    <m/>
    <n v="165"/>
    <m/>
    <m/>
  </r>
  <r>
    <x v="2"/>
    <s v="TRONOX"/>
    <s v="Barber"/>
    <m/>
    <x v="1"/>
    <n v="126"/>
    <n v="190"/>
    <n v="360"/>
    <m/>
  </r>
  <r>
    <x v="3"/>
    <s v="FASTTRACK"/>
    <s v="Lucy"/>
    <s v=" 2/3/4"/>
    <x v="3"/>
    <m/>
    <n v="448"/>
    <n v="180"/>
    <m/>
  </r>
  <r>
    <x v="3"/>
    <s v="FASTTRACK"/>
    <s v="Walker"/>
    <n v="2"/>
    <x v="4"/>
    <n v="803"/>
    <n v="70"/>
    <n v="60"/>
    <m/>
  </r>
  <r>
    <x v="0"/>
    <s v="Maudlin"/>
    <s v="Barber"/>
    <n v="26"/>
    <x v="1"/>
    <n v="8070"/>
    <n v="225"/>
    <n v="360"/>
    <m/>
  </r>
  <r>
    <x v="0"/>
    <s v="Maudlin"/>
    <s v="Hankerson"/>
    <n v="21"/>
    <x v="7"/>
    <m/>
    <n v="890"/>
    <n v="420"/>
    <m/>
  </r>
  <r>
    <x v="0"/>
    <s v="Maudlin"/>
    <s v="Watkins"/>
    <m/>
    <x v="0"/>
    <m/>
    <n v="120"/>
    <n v="180"/>
    <m/>
  </r>
  <r>
    <x v="7"/>
    <s v="BONEZZI/FEDEX"/>
    <s v="Walker"/>
    <m/>
    <x v="5"/>
    <m/>
    <n v="45"/>
    <n v="15"/>
    <m/>
  </r>
  <r>
    <x v="4"/>
    <s v="TELECON"/>
    <s v="Felicia"/>
    <n v="1"/>
    <x v="8"/>
    <m/>
    <n v="45"/>
    <m/>
    <m/>
  </r>
  <r>
    <x v="4"/>
    <s v="TELECON"/>
    <s v="Felicia"/>
    <s v="1,3"/>
    <x v="9"/>
    <n v="2801"/>
    <n v="224"/>
    <n v="120"/>
    <m/>
  </r>
  <r>
    <x v="4"/>
    <s v="TELECON"/>
    <s v="Walker"/>
    <n v="2"/>
    <x v="4"/>
    <n v="1100"/>
    <n v="365"/>
    <n v="60"/>
    <m/>
  </r>
  <r>
    <x v="1"/>
    <s v="Mailroom"/>
    <s v="Hankerson"/>
    <m/>
    <x v="1"/>
    <m/>
    <n v="90"/>
    <n v="360"/>
    <m/>
  </r>
  <r>
    <x v="1"/>
    <s v="MAILROOM/UR/PB/HB"/>
    <s v="Hankerson"/>
    <m/>
    <x v="9"/>
    <n v="305"/>
    <n v="30"/>
    <n v="120"/>
    <m/>
  </r>
  <r>
    <x v="1"/>
    <s v="MAILROOM/LOCKBOX"/>
    <s v="Hankerson"/>
    <m/>
    <x v="9"/>
    <n v="32"/>
    <n v="10"/>
    <n v="120"/>
    <m/>
  </r>
  <r>
    <x v="1"/>
    <s v="HB,PB,UR,LOCKBOX"/>
    <s v="Watkins"/>
    <m/>
    <x v="6"/>
    <m/>
    <n v="60"/>
    <m/>
    <m/>
  </r>
  <r>
    <x v="1"/>
    <m/>
    <s v="Sheila"/>
    <m/>
    <x v="1"/>
    <m/>
    <n v="36"/>
    <n v="360"/>
    <m/>
  </r>
  <r>
    <x v="1"/>
    <s v="HB MAILROOM"/>
    <s v="Sheila"/>
    <m/>
    <x v="10"/>
    <m/>
    <n v="15"/>
    <m/>
    <m/>
  </r>
  <r>
    <x v="6"/>
    <m/>
    <s v="Sheila"/>
    <m/>
    <x v="1"/>
    <m/>
    <n v="60"/>
    <n v="360"/>
    <m/>
  </r>
  <r>
    <x v="3"/>
    <s v="FASTTRACK"/>
    <s v="Walker"/>
    <s v="2,3"/>
    <x v="4"/>
    <n v="4586"/>
    <n v="450"/>
    <n v="60"/>
    <m/>
  </r>
  <r>
    <x v="3"/>
    <s v="FASTTRACK"/>
    <s v="Tinsley"/>
    <s v="1,2"/>
    <x v="9"/>
    <n v="2690"/>
    <n v="460"/>
    <n v="120"/>
    <m/>
  </r>
  <r>
    <x v="3"/>
    <s v="FASTTRACK"/>
    <s v="Lucy"/>
    <s v="4,5"/>
    <x v="3"/>
    <m/>
    <n v="365"/>
    <n v="180"/>
    <m/>
  </r>
  <r>
    <x v="0"/>
    <s v="Maudlin"/>
    <s v="Barber"/>
    <s v="26,30"/>
    <x v="3"/>
    <m/>
    <n v="400"/>
    <n v="180"/>
    <m/>
  </r>
  <r>
    <x v="4"/>
    <s v="TELECON"/>
    <s v="Renneker"/>
    <s v="1,3"/>
    <x v="11"/>
    <m/>
    <n v="345"/>
    <n v="60"/>
    <m/>
  </r>
  <r>
    <x v="7"/>
    <s v="COURIER"/>
    <s v="Walker"/>
    <m/>
    <x v="5"/>
    <m/>
    <n v="30"/>
    <n v="15"/>
    <m/>
  </r>
  <r>
    <x v="7"/>
    <s v="COURIER"/>
    <s v="Sheila"/>
    <m/>
    <x v="5"/>
    <m/>
    <n v="60"/>
    <n v="15"/>
    <m/>
  </r>
  <r>
    <x v="0"/>
    <s v="Maudlin"/>
    <s v="Barber"/>
    <n v="30"/>
    <x v="3"/>
    <n v="0.25"/>
    <n v="105"/>
    <n v="180"/>
    <m/>
  </r>
  <r>
    <x v="0"/>
    <s v="Maudlin"/>
    <s v="Barber"/>
    <n v="32"/>
    <x v="12"/>
    <n v="1"/>
    <n v="270"/>
    <n v="240"/>
    <m/>
  </r>
  <r>
    <x v="0"/>
    <s v="Maudlin"/>
    <s v="Barber"/>
    <n v="33"/>
    <x v="12"/>
    <n v="1"/>
    <n v="510"/>
    <n v="240"/>
    <m/>
  </r>
  <r>
    <x v="0"/>
    <s v="Maudlin"/>
    <s v="Hankerson"/>
    <n v="25"/>
    <x v="0"/>
    <m/>
    <n v="800"/>
    <n v="180"/>
    <m/>
  </r>
  <r>
    <x v="3"/>
    <s v="FASTTRACK"/>
    <s v="Walker"/>
    <n v="3"/>
    <x v="4"/>
    <n v="857"/>
    <n v="90"/>
    <n v="60"/>
    <m/>
  </r>
  <r>
    <x v="3"/>
    <s v="FASTTRACK"/>
    <s v="Walker"/>
    <n v="4"/>
    <x v="4"/>
    <n v="325"/>
    <n v="60"/>
    <n v="60"/>
    <m/>
  </r>
  <r>
    <x v="3"/>
    <s v="FASTTRACK"/>
    <s v="Walker"/>
    <n v="4"/>
    <x v="4"/>
    <n v="313"/>
    <n v="45"/>
    <n v="60"/>
    <m/>
  </r>
  <r>
    <x v="8"/>
    <s v="SHREDDING"/>
    <s v="Walker"/>
    <m/>
    <x v="13"/>
    <m/>
    <n v="35"/>
    <n v="15"/>
    <m/>
  </r>
  <r>
    <x v="7"/>
    <s v="COURIER"/>
    <s v="Walker"/>
    <m/>
    <x v="13"/>
    <m/>
    <n v="205"/>
    <n v="15"/>
    <m/>
  </r>
  <r>
    <x v="7"/>
    <s v="COURIER"/>
    <s v="Walker"/>
    <m/>
    <x v="13"/>
    <m/>
    <n v="45"/>
    <n v="15"/>
    <m/>
  </r>
  <r>
    <x v="3"/>
    <s v="FASTTRACK"/>
    <s v="Tinsley"/>
    <n v="2"/>
    <x v="9"/>
    <m/>
    <n v="175"/>
    <n v="120"/>
    <m/>
  </r>
  <r>
    <x v="2"/>
    <s v="TRONOX"/>
    <s v="Tinsley"/>
    <m/>
    <x v="1"/>
    <m/>
    <n v="175"/>
    <n v="360"/>
    <m/>
  </r>
  <r>
    <x v="2"/>
    <s v="TRONOX"/>
    <s v="Tinsley"/>
    <m/>
    <x v="1"/>
    <m/>
    <n v="114.99999999999999"/>
    <n v="360"/>
    <m/>
  </r>
  <r>
    <x v="0"/>
    <s v="Maudlin"/>
    <s v="Watkins"/>
    <n v="23"/>
    <x v="0"/>
    <m/>
    <n v="385"/>
    <n v="180"/>
    <m/>
  </r>
  <r>
    <x v="3"/>
    <s v="Fast Track"/>
    <s v="Walker"/>
    <n v="4"/>
    <x v="4"/>
    <m/>
    <n v="175"/>
    <n v="60"/>
    <m/>
  </r>
  <r>
    <x v="9"/>
    <s v="THOMPSONLTIME"/>
    <s v="Walker"/>
    <m/>
    <x v="14"/>
    <m/>
    <n v="20"/>
    <n v="15"/>
    <m/>
  </r>
  <r>
    <x v="3"/>
    <s v="Fast Track"/>
    <s v="Walker"/>
    <n v="4"/>
    <x v="4"/>
    <n v="2000"/>
    <n v="60"/>
    <n v="60"/>
    <m/>
  </r>
  <r>
    <x v="3"/>
    <s v="Fast Track"/>
    <s v="Walker"/>
    <n v="5"/>
    <x v="4"/>
    <n v="1443"/>
    <n v="135"/>
    <n v="60"/>
    <m/>
  </r>
  <r>
    <x v="3"/>
    <s v="Fast Track"/>
    <s v="Walker"/>
    <n v="5"/>
    <x v="4"/>
    <n v="537"/>
    <n v="90"/>
    <n v="60"/>
    <m/>
  </r>
  <r>
    <x v="0"/>
    <s v="Maudlin"/>
    <s v="Hankerson"/>
    <m/>
    <x v="0"/>
    <m/>
    <n v="15"/>
    <n v="180"/>
    <m/>
  </r>
  <r>
    <x v="0"/>
    <s v="Maudlin"/>
    <s v="Watkins"/>
    <m/>
    <x v="0"/>
    <m/>
    <n v="75"/>
    <n v="180"/>
    <m/>
  </r>
  <r>
    <x v="0"/>
    <s v="Maudlin"/>
    <s v="Watkins"/>
    <m/>
    <x v="0"/>
    <m/>
    <n v="90"/>
    <n v="180"/>
    <m/>
  </r>
  <r>
    <x v="1"/>
    <s v="Mailroom"/>
    <s v="Hankerson"/>
    <m/>
    <x v="1"/>
    <m/>
    <n v="125.00000000000001"/>
    <n v="360"/>
    <m/>
  </r>
  <r>
    <x v="1"/>
    <s v="Mailroom"/>
    <s v="Hankerson"/>
    <m/>
    <x v="1"/>
    <m/>
    <n v="105"/>
    <n v="360"/>
    <m/>
  </r>
  <r>
    <x v="0"/>
    <s v="Maudlin"/>
    <s v="Barber"/>
    <n v="34"/>
    <x v="12"/>
    <n v="1"/>
    <n v="340"/>
    <n v="240"/>
    <m/>
  </r>
  <r>
    <x v="0"/>
    <s v="Maudlin"/>
    <s v="Barber"/>
    <n v="39"/>
    <x v="12"/>
    <n v="1"/>
    <n v="305"/>
    <n v="240"/>
    <m/>
  </r>
  <r>
    <x v="3"/>
    <s v="Fast Track"/>
    <s v="Walker"/>
    <n v="5"/>
    <x v="4"/>
    <n v="1300"/>
    <n v="120"/>
    <n v="60"/>
    <m/>
  </r>
  <r>
    <x v="0"/>
    <s v="Maudlin"/>
    <s v="Walker"/>
    <m/>
    <x v="15"/>
    <m/>
    <n v="60"/>
    <n v="60"/>
    <m/>
  </r>
  <r>
    <x v="0"/>
    <s v="Maudlin"/>
    <s v="Walker"/>
    <n v="262"/>
    <x v="4"/>
    <n v="2542"/>
    <n v="165"/>
    <n v="60"/>
    <m/>
  </r>
  <r>
    <x v="9"/>
    <s v="BONEZZI/MARSHALL DENNEHEY"/>
    <s v="Walker"/>
    <n v="82"/>
    <x v="14"/>
    <m/>
    <n v="180"/>
    <n v="15"/>
    <m/>
  </r>
  <r>
    <x v="0"/>
    <s v="Maudlin"/>
    <s v="Walker"/>
    <m/>
    <x v="8"/>
    <m/>
    <n v="15"/>
    <n v="60"/>
    <m/>
  </r>
  <r>
    <x v="0"/>
    <s v="Maudlin"/>
    <s v="Walker"/>
    <n v="26"/>
    <x v="4"/>
    <n v="400"/>
    <n v="60"/>
    <n v="60"/>
    <m/>
  </r>
  <r>
    <x v="0"/>
    <s v="Maudlin"/>
    <s v="Walker"/>
    <n v="26"/>
    <x v="4"/>
    <n v="805"/>
    <n v="60"/>
    <n v="60"/>
    <m/>
  </r>
  <r>
    <x v="10"/>
    <s v="COURIER"/>
    <s v="Walker"/>
    <m/>
    <x v="14"/>
    <m/>
    <n v="75"/>
    <n v="15"/>
    <m/>
  </r>
  <r>
    <x v="11"/>
    <s v="THOMAS LAW-SMALL"/>
    <s v="Walker"/>
    <n v="1"/>
    <x v="16"/>
    <n v="372"/>
    <n v="370"/>
    <n v="240"/>
    <m/>
  </r>
  <r>
    <x v="1"/>
    <s v="PB, HB, UR, LOCKBOX"/>
    <s v="Watkins"/>
    <m/>
    <x v="6"/>
    <m/>
    <n v="120"/>
    <n v="120"/>
    <m/>
  </r>
  <r>
    <x v="3"/>
    <s v="Fast Track"/>
    <s v="Watkins"/>
    <m/>
    <x v="17"/>
    <m/>
    <n v="75"/>
    <n v="180"/>
    <m/>
  </r>
  <r>
    <x v="3"/>
    <s v="Fast Track"/>
    <s v="Watkins"/>
    <m/>
    <x v="17"/>
    <m/>
    <n v="90"/>
    <n v="180"/>
    <m/>
  </r>
  <r>
    <x v="3"/>
    <s v="Fast Track"/>
    <s v="Renneker"/>
    <n v="3"/>
    <x v="9"/>
    <m/>
    <n v="285"/>
    <n v="120"/>
    <m/>
  </r>
  <r>
    <x v="0"/>
    <s v="Maudlin"/>
    <s v="Barber"/>
    <n v="40"/>
    <x v="12"/>
    <n v="1"/>
    <n v="405"/>
    <n v="240"/>
    <m/>
  </r>
  <r>
    <x v="1"/>
    <s v="Mailroom"/>
    <s v="Hankerson"/>
    <m/>
    <x v="1"/>
    <m/>
    <n v="145"/>
    <n v="360"/>
    <m/>
  </r>
  <r>
    <x v="1"/>
    <s v="Mailroom"/>
    <s v="Hankerson"/>
    <m/>
    <x v="2"/>
    <n v="315"/>
    <n v="11"/>
    <n v="180"/>
    <m/>
  </r>
  <r>
    <x v="1"/>
    <s v="Mailroom"/>
    <s v="Hankerson"/>
    <m/>
    <x v="2"/>
    <n v="575"/>
    <n v="34"/>
    <n v="180"/>
    <m/>
  </r>
  <r>
    <x v="1"/>
    <s v="Mailroom"/>
    <s v="Hankerson"/>
    <m/>
    <x v="2"/>
    <n v="195"/>
    <n v="20"/>
    <n v="180"/>
    <m/>
  </r>
  <r>
    <x v="0"/>
    <s v="Maudlin"/>
    <s v="Hankerson"/>
    <n v="26"/>
    <x v="0"/>
    <m/>
    <n v="595"/>
    <n v="180"/>
    <m/>
  </r>
  <r>
    <x v="3"/>
    <s v="Fast Track"/>
    <s v="Watkins"/>
    <n v="5"/>
    <x v="17"/>
    <m/>
    <n v="195"/>
    <n v="120"/>
    <m/>
  </r>
  <r>
    <x v="1"/>
    <s v="PB,HB,UR"/>
    <s v="Watkins"/>
    <m/>
    <x v="6"/>
    <m/>
    <n v="150"/>
    <n v="120"/>
    <m/>
  </r>
  <r>
    <x v="11"/>
    <s v="THOMAS LAW"/>
    <s v="Walker"/>
    <n v="1"/>
    <x v="0"/>
    <m/>
    <n v="60"/>
    <n v="180"/>
    <m/>
  </r>
  <r>
    <x v="12"/>
    <s v="LION PROTECTS "/>
    <s v="Walker"/>
    <m/>
    <x v="18"/>
    <m/>
    <n v="30"/>
    <n v="30"/>
    <m/>
  </r>
  <r>
    <x v="0"/>
    <s v="MANUAL"/>
    <s v="Walker"/>
    <m/>
    <x v="14"/>
    <m/>
    <n v="210"/>
    <n v="15"/>
    <m/>
  </r>
  <r>
    <x v="5"/>
    <s v="Deposit"/>
    <s v="Walker"/>
    <m/>
    <x v="3"/>
    <m/>
    <n v="30"/>
    <n v="180"/>
    <m/>
  </r>
  <r>
    <x v="0"/>
    <s v="MAULDIN"/>
    <s v="Walker"/>
    <n v="30"/>
    <x v="4"/>
    <n v="133"/>
    <n v="90"/>
    <n v="60"/>
    <m/>
  </r>
  <r>
    <x v="13"/>
    <s v="COURIER"/>
    <s v="Walker"/>
    <m/>
    <x v="14"/>
    <m/>
    <n v="40"/>
    <n v="15"/>
    <m/>
  </r>
  <r>
    <x v="0"/>
    <s v="MAULDIN"/>
    <s v="Walker"/>
    <n v="30"/>
    <x v="4"/>
    <n v="187"/>
    <n v="30"/>
    <n v="60"/>
    <m/>
  </r>
  <r>
    <x v="3"/>
    <s v="Fast Track"/>
    <s v="Walker"/>
    <m/>
    <x v="2"/>
    <n v="140"/>
    <n v="25"/>
    <n v="180"/>
    <m/>
  </r>
  <r>
    <x v="14"/>
    <s v="Refund Request"/>
    <s v="Walker"/>
    <m/>
    <x v="2"/>
    <n v="38"/>
    <n v="5"/>
    <n v="180"/>
    <m/>
  </r>
  <r>
    <x v="14"/>
    <s v="FINANCIAL RETURNS"/>
    <s v="Walker"/>
    <m/>
    <x v="4"/>
    <n v="6"/>
    <n v="5"/>
    <n v="60"/>
    <m/>
  </r>
  <r>
    <x v="3"/>
    <s v="Fast Track"/>
    <s v="Walker"/>
    <n v="5"/>
    <x v="2"/>
    <n v="125"/>
    <n v="30"/>
    <n v="180"/>
    <m/>
  </r>
  <r>
    <x v="14"/>
    <s v="FINANCIAL RETURNS"/>
    <s v="Walker"/>
    <m/>
    <x v="4"/>
    <n v="30"/>
    <n v="10"/>
    <n v="60"/>
    <m/>
  </r>
  <r>
    <x v="14"/>
    <s v="Denials"/>
    <s v="Walker"/>
    <m/>
    <x v="4"/>
    <n v="5"/>
    <n v="5"/>
    <n v="60"/>
    <m/>
  </r>
  <r>
    <x v="0"/>
    <s v="MAULDIN"/>
    <s v="Hankerson"/>
    <n v="28"/>
    <x v="0"/>
    <m/>
    <n v="830"/>
    <n v="180"/>
    <m/>
  </r>
  <r>
    <x v="1"/>
    <s v="Mailroom"/>
    <s v="Hankerson"/>
    <m/>
    <x v="6"/>
    <m/>
    <n v="99.999999999999986"/>
    <n v="120"/>
    <m/>
  </r>
  <r>
    <x v="3"/>
    <s v="Fast Track"/>
    <s v="Renneker"/>
    <n v="4"/>
    <x v="11"/>
    <m/>
    <n v="75"/>
    <n v="60"/>
    <m/>
  </r>
  <r>
    <x v="3"/>
    <s v="Fast Track"/>
    <s v="Renneker"/>
    <n v="5"/>
    <x v="9"/>
    <m/>
    <n v="165"/>
    <n v="120"/>
    <m/>
  </r>
  <r>
    <x v="5"/>
    <s v="Deposit"/>
    <s v="Walker"/>
    <m/>
    <x v="3"/>
    <m/>
    <n v="30"/>
    <n v="15"/>
    <m/>
  </r>
  <r>
    <x v="0"/>
    <s v="MAULDIN"/>
    <s v="Walker"/>
    <n v="30"/>
    <x v="4"/>
    <m/>
    <n v="80"/>
    <n v="60"/>
    <m/>
  </r>
  <r>
    <x v="15"/>
    <s v="D/0 2 BOXES"/>
    <s v="Walker"/>
    <m/>
    <x v="14"/>
    <m/>
    <n v="90"/>
    <n v="15"/>
    <m/>
  </r>
  <r>
    <x v="0"/>
    <s v="MAULDIN"/>
    <s v="Walker"/>
    <n v="30"/>
    <x v="4"/>
    <n v="1759"/>
    <n v="120"/>
    <n v="60"/>
    <m/>
  </r>
  <r>
    <x v="0"/>
    <s v="MAULDIN"/>
    <s v="Walker"/>
    <n v="26"/>
    <x v="4"/>
    <m/>
    <n v="55"/>
    <n v="60"/>
    <m/>
  </r>
  <r>
    <x v="0"/>
    <s v="MAULDIN"/>
    <s v="Walker"/>
    <n v="26"/>
    <x v="4"/>
    <m/>
    <n v="95.000000000000014"/>
    <n v="60"/>
    <m/>
  </r>
  <r>
    <x v="3"/>
    <s v="FAST TRACK"/>
    <s v="Tinsley"/>
    <n v="3"/>
    <x v="11"/>
    <m/>
    <n v="105"/>
    <n v="60"/>
    <m/>
  </r>
  <r>
    <x v="3"/>
    <s v="FAST TRACK"/>
    <s v="Tinsley"/>
    <n v="5"/>
    <x v="11"/>
    <m/>
    <n v="130"/>
    <n v="60"/>
    <m/>
  </r>
  <r>
    <x v="16"/>
    <s v="TRONOX"/>
    <s v="Tinsley"/>
    <m/>
    <x v="9"/>
    <m/>
    <n v="95.000000000000014"/>
    <n v="120"/>
    <m/>
  </r>
  <r>
    <x v="17"/>
    <s v="PENSIONS"/>
    <s v="Tinsley"/>
    <s v="PDCO303"/>
    <x v="3"/>
    <m/>
    <n v="125.00000000000001"/>
    <n v="180"/>
    <m/>
  </r>
  <r>
    <x v="1"/>
    <s v="TRAIN"/>
    <s v="Watkins"/>
    <m/>
    <x v="19"/>
    <m/>
    <n v="180"/>
    <n v="120"/>
    <m/>
  </r>
  <r>
    <x v="1"/>
    <s v="MAILROOM"/>
    <s v="Hankerson"/>
    <m/>
    <x v="2"/>
    <n v="205"/>
    <n v="30"/>
    <n v="180"/>
    <m/>
  </r>
  <r>
    <x v="0"/>
    <s v="MAULDIN"/>
    <s v="Walker"/>
    <n v="32"/>
    <x v="4"/>
    <m/>
    <n v="120"/>
    <n v="60"/>
    <m/>
  </r>
  <r>
    <x v="18"/>
    <s v="GAIG"/>
    <s v="Walker"/>
    <m/>
    <x v="14"/>
    <m/>
    <n v="75"/>
    <n v="15"/>
    <m/>
  </r>
  <r>
    <x v="19"/>
    <s v="CDS"/>
    <s v="Walker"/>
    <m/>
    <x v="14"/>
    <m/>
    <n v="75"/>
    <n v="15"/>
    <m/>
  </r>
  <r>
    <x v="5"/>
    <s v="DEPOSIT"/>
    <s v="Walker"/>
    <m/>
    <x v="3"/>
    <m/>
    <n v="30"/>
    <n v="180"/>
    <m/>
  </r>
  <r>
    <x v="9"/>
    <s v="FIXING SYSTEM ERROR"/>
    <s v="Walker"/>
    <m/>
    <x v="18"/>
    <m/>
    <n v="20"/>
    <n v="30"/>
    <m/>
  </r>
  <r>
    <x v="0"/>
    <s v="MAULDIN"/>
    <s v="Walker"/>
    <n v="32"/>
    <x v="4"/>
    <n v="2195"/>
    <n v="120"/>
    <n v="60"/>
    <m/>
  </r>
  <r>
    <x v="17"/>
    <s v="PENSION"/>
    <s v="Walker"/>
    <n v="303"/>
    <x v="4"/>
    <m/>
    <n v="40"/>
    <n v="60"/>
    <m/>
  </r>
  <r>
    <x v="17"/>
    <s v="PENSION"/>
    <s v="Walker"/>
    <n v="303"/>
    <x v="4"/>
    <n v="843"/>
    <n v="45"/>
    <n v="60"/>
    <m/>
  </r>
  <r>
    <x v="14"/>
    <s v="HB,PB,UR,LUNCHBOX"/>
    <s v="Watkins"/>
    <m/>
    <x v="20"/>
    <m/>
    <n v="135"/>
    <m/>
    <m/>
  </r>
  <r>
    <x v="14"/>
    <s v="HB,PB,UR,LUNCHBOX"/>
    <s v="Watkins"/>
    <m/>
    <x v="20"/>
    <m/>
    <n v="60"/>
    <m/>
    <m/>
  </r>
  <r>
    <x v="14"/>
    <s v="HB,PB,UR,LUNCHBOX"/>
    <s v="Watkins"/>
    <m/>
    <x v="20"/>
    <n v="127"/>
    <n v="120"/>
    <m/>
    <m/>
  </r>
  <r>
    <x v="0"/>
    <s v="MAULDIN"/>
    <s v="Barber"/>
    <n v="31"/>
    <x v="21"/>
    <n v="0.96"/>
    <n v="293"/>
    <n v="180"/>
    <m/>
  </r>
  <r>
    <x v="0"/>
    <s v="MAULDIN"/>
    <s v="Walker"/>
    <n v="33"/>
    <x v="4"/>
    <n v="841"/>
    <n v="105"/>
    <n v="60"/>
    <m/>
  </r>
  <r>
    <x v="20"/>
    <s v="D/O OXES"/>
    <s v="Walker"/>
    <m/>
    <x v="14"/>
    <m/>
    <n v="30"/>
    <n v="15"/>
    <m/>
  </r>
  <r>
    <x v="0"/>
    <s v="MAULDIN"/>
    <s v="Walker"/>
    <n v="33"/>
    <x v="4"/>
    <m/>
    <n v="65"/>
    <n v="60"/>
    <m/>
  </r>
  <r>
    <x v="21"/>
    <m/>
    <s v="Walker"/>
    <m/>
    <x v="18"/>
    <m/>
    <n v="20"/>
    <n v="30"/>
    <m/>
  </r>
  <r>
    <x v="0"/>
    <s v="MAULDIN"/>
    <s v="Walker"/>
    <n v="33"/>
    <x v="4"/>
    <n v="1747"/>
    <n v="150"/>
    <n v="60"/>
    <m/>
  </r>
  <r>
    <x v="0"/>
    <s v="MAULDIN"/>
    <s v="Walker"/>
    <n v="34"/>
    <x v="4"/>
    <n v="1911"/>
    <n v="110.00000000000001"/>
    <n v="60"/>
    <m/>
  </r>
  <r>
    <x v="17"/>
    <s v="EMPLOYEE BENEFIT"/>
    <s v="Hankerson"/>
    <n v="177"/>
    <x v="9"/>
    <m/>
    <n v="111"/>
    <n v="120"/>
    <m/>
  </r>
  <r>
    <x v="17"/>
    <s v="EMPLOYEE BENEFIT"/>
    <s v="Renneker"/>
    <n v="178"/>
    <x v="3"/>
    <m/>
    <n v="255"/>
    <n v="180"/>
    <m/>
  </r>
  <r>
    <x v="14"/>
    <s v="DATA MGT"/>
    <s v="Watkins"/>
    <m/>
    <x v="5"/>
    <m/>
    <n v="120"/>
    <m/>
    <m/>
  </r>
  <r>
    <x v="14"/>
    <s v="DATA MGT"/>
    <s v="Watkins"/>
    <m/>
    <x v="5"/>
    <m/>
    <n v="30"/>
    <m/>
    <m/>
  </r>
  <r>
    <x v="14"/>
    <s v="DATA MGT"/>
    <s v="Watkins"/>
    <m/>
    <x v="5"/>
    <m/>
    <n v="45"/>
    <m/>
    <m/>
  </r>
  <r>
    <x v="1"/>
    <s v="PREP/SCAN/QC"/>
    <s v="Watkins"/>
    <m/>
    <x v="5"/>
    <m/>
    <n v="150"/>
    <n v="24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2056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2" firstHeaderRow="1" firstDataRow="1" firstDataCol="1"/>
  <pivotFields count="9">
    <pivotField axis="axisRow" showAll="0">
      <items count="28">
        <item x="17"/>
        <item x="1"/>
        <item x="14"/>
        <item m="1" x="24"/>
        <item x="7"/>
        <item x="6"/>
        <item x="15"/>
        <item x="2"/>
        <item x="13"/>
        <item x="3"/>
        <item m="1" x="26"/>
        <item x="20"/>
        <item x="18"/>
        <item x="8"/>
        <item x="19"/>
        <item x="0"/>
        <item x="12"/>
        <item x="21"/>
        <item x="4"/>
        <item x="10"/>
        <item x="5"/>
        <item x="11"/>
        <item x="9"/>
        <item m="1" x="23"/>
        <item m="1" x="25"/>
        <item m="1" x="22"/>
        <item x="16"/>
        <item t="default"/>
      </items>
    </pivotField>
    <pivotField showAll="0"/>
    <pivotField showAll="0"/>
    <pivotField showAll="0"/>
    <pivotField axis="axisRow" showAll="0">
      <items count="30">
        <item x="14"/>
        <item x="8"/>
        <item x="20"/>
        <item x="13"/>
        <item x="18"/>
        <item x="15"/>
        <item x="10"/>
        <item x="3"/>
        <item x="21"/>
        <item m="1" x="22"/>
        <item x="12"/>
        <item m="1" x="28"/>
        <item x="1"/>
        <item x="7"/>
        <item x="9"/>
        <item x="17"/>
        <item x="0"/>
        <item m="1" x="23"/>
        <item m="1" x="27"/>
        <item m="1" x="24"/>
        <item x="11"/>
        <item x="4"/>
        <item x="2"/>
        <item m="1" x="26"/>
        <item m="1" x="25"/>
        <item x="6"/>
        <item x="19"/>
        <item x="5"/>
        <item x="16"/>
        <item t="default"/>
      </items>
    </pivotField>
    <pivotField showAll="0"/>
    <pivotField dataField="1" showAll="0"/>
    <pivotField showAll="0"/>
    <pivotField showAll="0"/>
  </pivotFields>
  <rowFields count="2">
    <field x="0"/>
    <field x="4"/>
  </rowFields>
  <rowItems count="79">
    <i>
      <x/>
    </i>
    <i r="1">
      <x v="7"/>
    </i>
    <i r="1">
      <x v="14"/>
    </i>
    <i r="1">
      <x v="21"/>
    </i>
    <i>
      <x v="1"/>
    </i>
    <i r="1">
      <x v="6"/>
    </i>
    <i r="1">
      <x v="7"/>
    </i>
    <i r="1">
      <x v="12"/>
    </i>
    <i r="1">
      <x v="14"/>
    </i>
    <i r="1">
      <x v="22"/>
    </i>
    <i r="1">
      <x v="25"/>
    </i>
    <i r="1">
      <x v="26"/>
    </i>
    <i r="1">
      <x v="27"/>
    </i>
    <i>
      <x v="2"/>
    </i>
    <i r="1">
      <x v="2"/>
    </i>
    <i r="1">
      <x v="21"/>
    </i>
    <i r="1">
      <x v="22"/>
    </i>
    <i r="1">
      <x v="27"/>
    </i>
    <i>
      <x v="4"/>
    </i>
    <i r="1">
      <x v="3"/>
    </i>
    <i r="1">
      <x v="27"/>
    </i>
    <i>
      <x v="5"/>
    </i>
    <i r="1">
      <x v="12"/>
    </i>
    <i r="1">
      <x v="22"/>
    </i>
    <i>
      <x v="6"/>
    </i>
    <i r="1">
      <x/>
    </i>
    <i>
      <x v="7"/>
    </i>
    <i r="1">
      <x v="12"/>
    </i>
    <i>
      <x v="8"/>
    </i>
    <i r="1">
      <x/>
    </i>
    <i>
      <x v="9"/>
    </i>
    <i r="1">
      <x v="7"/>
    </i>
    <i r="1">
      <x v="14"/>
    </i>
    <i r="1">
      <x v="15"/>
    </i>
    <i r="1">
      <x v="20"/>
    </i>
    <i r="1">
      <x v="21"/>
    </i>
    <i r="1">
      <x v="22"/>
    </i>
    <i>
      <x v="11"/>
    </i>
    <i r="1">
      <x/>
    </i>
    <i>
      <x v="12"/>
    </i>
    <i r="1">
      <x/>
    </i>
    <i>
      <x v="13"/>
    </i>
    <i r="1">
      <x v="3"/>
    </i>
    <i>
      <x v="14"/>
    </i>
    <i r="1">
      <x/>
    </i>
    <i>
      <x v="15"/>
    </i>
    <i r="1">
      <x/>
    </i>
    <i r="1">
      <x v="1"/>
    </i>
    <i r="1">
      <x v="5"/>
    </i>
    <i r="1">
      <x v="7"/>
    </i>
    <i r="1">
      <x v="8"/>
    </i>
    <i r="1">
      <x v="10"/>
    </i>
    <i r="1">
      <x v="12"/>
    </i>
    <i r="1">
      <x v="13"/>
    </i>
    <i r="1">
      <x v="16"/>
    </i>
    <i r="1">
      <x v="21"/>
    </i>
    <i>
      <x v="16"/>
    </i>
    <i r="1">
      <x v="4"/>
    </i>
    <i>
      <x v="17"/>
    </i>
    <i r="1">
      <x v="4"/>
    </i>
    <i>
      <x v="18"/>
    </i>
    <i r="1">
      <x v="1"/>
    </i>
    <i r="1">
      <x v="14"/>
    </i>
    <i r="1">
      <x v="20"/>
    </i>
    <i r="1">
      <x v="21"/>
    </i>
    <i>
      <x v="19"/>
    </i>
    <i r="1">
      <x/>
    </i>
    <i>
      <x v="20"/>
    </i>
    <i r="1">
      <x v="7"/>
    </i>
    <i r="1">
      <x v="27"/>
    </i>
    <i>
      <x v="21"/>
    </i>
    <i r="1">
      <x v="16"/>
    </i>
    <i r="1">
      <x v="28"/>
    </i>
    <i>
      <x v="22"/>
    </i>
    <i r="1">
      <x/>
    </i>
    <i r="1">
      <x v="4"/>
    </i>
    <i>
      <x v="26"/>
    </i>
    <i r="1">
      <x v="14"/>
    </i>
    <i t="grand">
      <x/>
    </i>
  </rowItems>
  <colItems count="1">
    <i/>
  </colItems>
  <dataFields count="1">
    <dataField name="Average of Time (minutes)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2056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8" firstHeaderRow="1" firstDataRow="1" firstDataCol="1"/>
  <pivotFields count="10">
    <pivotField axis="axisRow" numFmtId="14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axis="axisRow" showAll="0">
      <items count="10">
        <item x="3"/>
        <item x="6"/>
        <item x="0"/>
        <item x="7"/>
        <item x="4"/>
        <item x="2"/>
        <item x="8"/>
        <item x="5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2">
    <field x="0"/>
    <field x="3"/>
  </rowFields>
  <rowItems count="65">
    <i>
      <x/>
    </i>
    <i r="1">
      <x/>
    </i>
    <i r="1">
      <x v="2"/>
    </i>
    <i r="1">
      <x v="4"/>
    </i>
    <i r="1">
      <x v="5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7"/>
    </i>
    <i r="1">
      <x v="8"/>
    </i>
    <i>
      <x v="2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3"/>
    </i>
    <i r="1">
      <x/>
    </i>
    <i r="1">
      <x v="2"/>
    </i>
    <i r="1">
      <x v="6"/>
    </i>
    <i r="1">
      <x v="7"/>
    </i>
    <i r="1">
      <x v="8"/>
    </i>
    <i>
      <x v="4"/>
    </i>
    <i r="1">
      <x/>
    </i>
    <i r="1">
      <x v="2"/>
    </i>
    <i r="1">
      <x v="7"/>
    </i>
    <i r="1">
      <x v="8"/>
    </i>
    <i>
      <x v="5"/>
    </i>
    <i r="1">
      <x/>
    </i>
    <i r="1">
      <x v="2"/>
    </i>
    <i r="1">
      <x v="7"/>
    </i>
    <i>
      <x v="6"/>
    </i>
    <i r="1">
      <x/>
    </i>
    <i r="1">
      <x v="2"/>
    </i>
    <i r="1">
      <x v="4"/>
    </i>
    <i r="1">
      <x v="7"/>
    </i>
    <i r="1">
      <x v="8"/>
    </i>
    <i>
      <x v="7"/>
    </i>
    <i r="1">
      <x v="2"/>
    </i>
    <i r="1">
      <x v="4"/>
    </i>
    <i r="1">
      <x v="7"/>
    </i>
    <i r="1">
      <x v="8"/>
    </i>
    <i>
      <x v="8"/>
    </i>
    <i r="1">
      <x v="2"/>
    </i>
    <i r="1">
      <x v="6"/>
    </i>
    <i r="1">
      <x v="7"/>
    </i>
    <i r="1">
      <x v="8"/>
    </i>
    <i>
      <x v="9"/>
    </i>
    <i r="1">
      <x v="2"/>
    </i>
    <i r="1">
      <x v="7"/>
    </i>
    <i r="1">
      <x v="8"/>
    </i>
    <i>
      <x v="10"/>
    </i>
    <i r="1">
      <x/>
    </i>
    <i r="1">
      <x v="2"/>
    </i>
    <i r="1">
      <x v="4"/>
    </i>
    <i r="1">
      <x v="7"/>
    </i>
    <i r="1">
      <x v="8"/>
    </i>
    <i t="grand">
      <x/>
    </i>
  </rowItems>
  <colItems count="1">
    <i/>
  </colItems>
  <dataFields count="1">
    <dataField name="Sum of Time (minutes)" fld="7" baseField="3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82"/>
  <sheetViews>
    <sheetView topLeftCell="A22" workbookViewId="0">
      <selection activeCell="B35" sqref="B35"/>
    </sheetView>
  </sheetViews>
  <sheetFormatPr defaultRowHeight="15"/>
  <cols>
    <col min="1" max="1" width="30.85546875" bestFit="1" customWidth="1"/>
    <col min="2" max="2" width="25" bestFit="1" customWidth="1"/>
  </cols>
  <sheetData>
    <row r="3" spans="1:2">
      <c r="A3" s="21" t="s">
        <v>0</v>
      </c>
      <c r="B3" t="s">
        <v>1</v>
      </c>
    </row>
    <row r="4" spans="1:2">
      <c r="A4" s="42" t="s">
        <v>2</v>
      </c>
      <c r="B4">
        <v>115.2</v>
      </c>
    </row>
    <row r="5" spans="1:2">
      <c r="A5" s="23" t="s">
        <v>3</v>
      </c>
      <c r="B5">
        <v>190</v>
      </c>
    </row>
    <row r="6" spans="1:2">
      <c r="A6" s="23" t="s">
        <v>4</v>
      </c>
      <c r="B6">
        <v>111</v>
      </c>
    </row>
    <row r="7" spans="1:2">
      <c r="A7" s="23" t="s">
        <v>5</v>
      </c>
      <c r="B7">
        <v>42.5</v>
      </c>
    </row>
    <row r="8" spans="1:2">
      <c r="A8" s="42" t="s">
        <v>6</v>
      </c>
      <c r="B8">
        <v>82.481481481481481</v>
      </c>
    </row>
    <row r="9" spans="1:2">
      <c r="A9" s="23" t="s">
        <v>7</v>
      </c>
      <c r="B9">
        <v>15</v>
      </c>
    </row>
    <row r="10" spans="1:2">
      <c r="A10" s="23" t="s">
        <v>3</v>
      </c>
      <c r="B10">
        <v>21</v>
      </c>
    </row>
    <row r="11" spans="1:2">
      <c r="A11" s="23" t="s">
        <v>8</v>
      </c>
      <c r="B11">
        <v>133.875</v>
      </c>
    </row>
    <row r="12" spans="1:2">
      <c r="A12" s="23" t="s">
        <v>4</v>
      </c>
      <c r="B12">
        <v>20</v>
      </c>
    </row>
    <row r="13" spans="1:2">
      <c r="A13" s="23" t="s">
        <v>9</v>
      </c>
      <c r="B13">
        <v>19.375</v>
      </c>
    </row>
    <row r="14" spans="1:2">
      <c r="A14" s="23" t="s">
        <v>10</v>
      </c>
      <c r="B14">
        <v>119</v>
      </c>
    </row>
    <row r="15" spans="1:2">
      <c r="A15" s="23" t="s">
        <v>11</v>
      </c>
      <c r="B15">
        <v>180</v>
      </c>
    </row>
    <row r="16" spans="1:2">
      <c r="A16" s="23" t="s">
        <v>12</v>
      </c>
      <c r="B16">
        <v>150</v>
      </c>
    </row>
    <row r="17" spans="1:2">
      <c r="A17" s="42" t="s">
        <v>13</v>
      </c>
      <c r="B17">
        <v>53.5</v>
      </c>
    </row>
    <row r="18" spans="1:2">
      <c r="A18" s="23" t="s">
        <v>14</v>
      </c>
      <c r="B18">
        <v>105</v>
      </c>
    </row>
    <row r="19" spans="1:2">
      <c r="A19" s="23" t="s">
        <v>5</v>
      </c>
      <c r="B19">
        <v>6.666666666666667</v>
      </c>
    </row>
    <row r="20" spans="1:2">
      <c r="A20" s="23" t="s">
        <v>9</v>
      </c>
      <c r="B20">
        <v>5</v>
      </c>
    </row>
    <row r="21" spans="1:2">
      <c r="A21" s="23" t="s">
        <v>12</v>
      </c>
      <c r="B21">
        <v>65</v>
      </c>
    </row>
    <row r="22" spans="1:2">
      <c r="A22" s="42" t="s">
        <v>15</v>
      </c>
      <c r="B22">
        <v>96.666666666666671</v>
      </c>
    </row>
    <row r="23" spans="1:2">
      <c r="A23" s="23" t="s">
        <v>16</v>
      </c>
      <c r="B23">
        <v>125</v>
      </c>
    </row>
    <row r="24" spans="1:2">
      <c r="A24" s="23" t="s">
        <v>12</v>
      </c>
      <c r="B24">
        <v>82.5</v>
      </c>
    </row>
    <row r="25" spans="1:2">
      <c r="A25" s="42" t="s">
        <v>17</v>
      </c>
      <c r="B25">
        <v>77</v>
      </c>
    </row>
    <row r="26" spans="1:2">
      <c r="A26" s="23" t="s">
        <v>8</v>
      </c>
      <c r="B26">
        <v>60</v>
      </c>
    </row>
    <row r="27" spans="1:2">
      <c r="A27" s="23" t="s">
        <v>9</v>
      </c>
      <c r="B27">
        <v>94</v>
      </c>
    </row>
    <row r="28" spans="1:2">
      <c r="A28" s="42" t="s">
        <v>18</v>
      </c>
      <c r="B28">
        <v>90</v>
      </c>
    </row>
    <row r="29" spans="1:2">
      <c r="A29" s="23" t="s">
        <v>15</v>
      </c>
      <c r="B29">
        <v>90</v>
      </c>
    </row>
    <row r="30" spans="1:2">
      <c r="A30" s="42" t="s">
        <v>19</v>
      </c>
      <c r="B30">
        <v>228.75</v>
      </c>
    </row>
    <row r="31" spans="1:2">
      <c r="A31" s="23" t="s">
        <v>8</v>
      </c>
      <c r="B31">
        <v>228.75</v>
      </c>
    </row>
    <row r="32" spans="1:2">
      <c r="A32" s="42" t="s">
        <v>20</v>
      </c>
      <c r="B32">
        <v>40</v>
      </c>
    </row>
    <row r="33" spans="1:2">
      <c r="A33" s="23" t="s">
        <v>15</v>
      </c>
      <c r="B33">
        <v>40</v>
      </c>
    </row>
    <row r="34" spans="1:2">
      <c r="A34" s="42" t="s">
        <v>21</v>
      </c>
      <c r="B34">
        <v>168.12</v>
      </c>
    </row>
    <row r="35" spans="1:2">
      <c r="A35" s="23" t="s">
        <v>3</v>
      </c>
      <c r="B35">
        <v>366</v>
      </c>
    </row>
    <row r="36" spans="1:2">
      <c r="A36" s="23" t="s">
        <v>4</v>
      </c>
      <c r="B36">
        <v>271.25</v>
      </c>
    </row>
    <row r="37" spans="1:2">
      <c r="A37" s="23" t="s">
        <v>22</v>
      </c>
      <c r="B37">
        <v>120</v>
      </c>
    </row>
    <row r="38" spans="1:2">
      <c r="A38" s="23" t="s">
        <v>23</v>
      </c>
      <c r="B38">
        <v>103.33333333333333</v>
      </c>
    </row>
    <row r="39" spans="1:2">
      <c r="A39" s="23" t="s">
        <v>5</v>
      </c>
      <c r="B39">
        <v>129.5</v>
      </c>
    </row>
    <row r="40" spans="1:2">
      <c r="A40" s="23" t="s">
        <v>9</v>
      </c>
      <c r="B40">
        <v>27.5</v>
      </c>
    </row>
    <row r="41" spans="1:2">
      <c r="A41" s="42" t="s">
        <v>24</v>
      </c>
      <c r="B41">
        <v>30</v>
      </c>
    </row>
    <row r="42" spans="1:2">
      <c r="A42" s="23" t="s">
        <v>15</v>
      </c>
      <c r="B42">
        <v>30</v>
      </c>
    </row>
    <row r="43" spans="1:2">
      <c r="A43" s="42" t="s">
        <v>25</v>
      </c>
      <c r="B43">
        <v>75</v>
      </c>
    </row>
    <row r="44" spans="1:2">
      <c r="A44" s="23" t="s">
        <v>15</v>
      </c>
      <c r="B44">
        <v>75</v>
      </c>
    </row>
    <row r="45" spans="1:2">
      <c r="A45" s="42" t="s">
        <v>16</v>
      </c>
      <c r="B45">
        <v>35</v>
      </c>
    </row>
    <row r="46" spans="1:2">
      <c r="A46" s="23" t="s">
        <v>16</v>
      </c>
      <c r="B46">
        <v>35</v>
      </c>
    </row>
    <row r="47" spans="1:2">
      <c r="A47" s="42" t="s">
        <v>26</v>
      </c>
      <c r="B47">
        <v>75</v>
      </c>
    </row>
    <row r="48" spans="1:2">
      <c r="A48" s="23" t="s">
        <v>15</v>
      </c>
      <c r="B48">
        <v>75</v>
      </c>
    </row>
    <row r="49" spans="1:2">
      <c r="A49" s="42" t="s">
        <v>27</v>
      </c>
      <c r="B49">
        <v>238.23684210526315</v>
      </c>
    </row>
    <row r="50" spans="1:2">
      <c r="A50" s="23" t="s">
        <v>15</v>
      </c>
      <c r="B50">
        <v>210</v>
      </c>
    </row>
    <row r="51" spans="1:2">
      <c r="A51" s="23" t="s">
        <v>28</v>
      </c>
      <c r="B51">
        <v>15</v>
      </c>
    </row>
    <row r="52" spans="1:2">
      <c r="A52" s="23" t="s">
        <v>29</v>
      </c>
      <c r="B52">
        <v>60</v>
      </c>
    </row>
    <row r="53" spans="1:2">
      <c r="A53" s="23" t="s">
        <v>3</v>
      </c>
      <c r="B53">
        <v>252.5</v>
      </c>
    </row>
    <row r="54" spans="1:2">
      <c r="A54" s="23" t="s">
        <v>30</v>
      </c>
      <c r="B54">
        <v>293</v>
      </c>
    </row>
    <row r="55" spans="1:2">
      <c r="A55" s="23" t="s">
        <v>31</v>
      </c>
      <c r="B55">
        <v>366</v>
      </c>
    </row>
    <row r="56" spans="1:2">
      <c r="A56" s="23" t="s">
        <v>8</v>
      </c>
      <c r="B56">
        <v>225</v>
      </c>
    </row>
    <row r="57" spans="1:2">
      <c r="A57" s="23" t="s">
        <v>32</v>
      </c>
      <c r="B57">
        <v>890</v>
      </c>
    </row>
    <row r="58" spans="1:2">
      <c r="A58" s="23" t="s">
        <v>33</v>
      </c>
      <c r="B58">
        <v>360</v>
      </c>
    </row>
    <row r="59" spans="1:2">
      <c r="A59" s="23" t="s">
        <v>5</v>
      </c>
      <c r="B59">
        <v>95</v>
      </c>
    </row>
    <row r="60" spans="1:2">
      <c r="A60" s="42" t="s">
        <v>34</v>
      </c>
      <c r="B60">
        <v>30</v>
      </c>
    </row>
    <row r="61" spans="1:2">
      <c r="A61" s="23" t="s">
        <v>35</v>
      </c>
      <c r="B61">
        <v>30</v>
      </c>
    </row>
    <row r="62" spans="1:2">
      <c r="A62" s="42" t="s">
        <v>36</v>
      </c>
      <c r="B62">
        <v>20</v>
      </c>
    </row>
    <row r="63" spans="1:2">
      <c r="A63" s="23" t="s">
        <v>35</v>
      </c>
      <c r="B63">
        <v>20</v>
      </c>
    </row>
    <row r="64" spans="1:2">
      <c r="A64" s="42" t="s">
        <v>37</v>
      </c>
      <c r="B64">
        <v>240.8</v>
      </c>
    </row>
    <row r="65" spans="1:2">
      <c r="A65" s="23" t="s">
        <v>28</v>
      </c>
      <c r="B65">
        <v>45</v>
      </c>
    </row>
    <row r="66" spans="1:2">
      <c r="A66" s="23" t="s">
        <v>4</v>
      </c>
      <c r="B66">
        <v>224</v>
      </c>
    </row>
    <row r="67" spans="1:2">
      <c r="A67" s="23" t="s">
        <v>23</v>
      </c>
      <c r="B67">
        <v>345</v>
      </c>
    </row>
    <row r="68" spans="1:2">
      <c r="A68" s="23" t="s">
        <v>5</v>
      </c>
      <c r="B68">
        <v>295</v>
      </c>
    </row>
    <row r="69" spans="1:2">
      <c r="A69" s="42" t="s">
        <v>38</v>
      </c>
      <c r="B69">
        <v>75</v>
      </c>
    </row>
    <row r="70" spans="1:2">
      <c r="A70" s="23" t="s">
        <v>15</v>
      </c>
      <c r="B70">
        <v>75</v>
      </c>
    </row>
    <row r="71" spans="1:2">
      <c r="A71" s="42" t="s">
        <v>39</v>
      </c>
      <c r="B71">
        <v>33.75</v>
      </c>
    </row>
    <row r="72" spans="1:2">
      <c r="A72" s="23" t="s">
        <v>3</v>
      </c>
      <c r="B72">
        <v>30</v>
      </c>
    </row>
    <row r="73" spans="1:2">
      <c r="A73" s="23" t="s">
        <v>12</v>
      </c>
      <c r="B73">
        <v>45</v>
      </c>
    </row>
    <row r="74" spans="1:2">
      <c r="A74" s="42" t="s">
        <v>40</v>
      </c>
      <c r="B74">
        <v>215</v>
      </c>
    </row>
    <row r="75" spans="1:2">
      <c r="A75" s="23" t="s">
        <v>33</v>
      </c>
      <c r="B75">
        <v>60</v>
      </c>
    </row>
    <row r="76" spans="1:2">
      <c r="A76" s="23" t="s">
        <v>41</v>
      </c>
      <c r="B76">
        <v>370</v>
      </c>
    </row>
    <row r="77" spans="1:2">
      <c r="A77" s="42" t="s">
        <v>12</v>
      </c>
      <c r="B77">
        <v>73.333333333333329</v>
      </c>
    </row>
    <row r="78" spans="1:2">
      <c r="A78" s="23" t="s">
        <v>15</v>
      </c>
      <c r="B78">
        <v>100</v>
      </c>
    </row>
    <row r="79" spans="1:2">
      <c r="A79" s="23" t="s">
        <v>35</v>
      </c>
      <c r="B79">
        <v>20</v>
      </c>
    </row>
    <row r="80" spans="1:2">
      <c r="A80" s="42" t="s">
        <v>42</v>
      </c>
      <c r="B80">
        <v>95.000000000000014</v>
      </c>
    </row>
    <row r="81" spans="1:2">
      <c r="A81" s="23" t="s">
        <v>4</v>
      </c>
      <c r="B81">
        <v>95.000000000000014</v>
      </c>
    </row>
    <row r="82" spans="1:2">
      <c r="A82" s="42" t="s">
        <v>43</v>
      </c>
      <c r="B82">
        <v>147.49645390070921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5"/>
  <sheetViews>
    <sheetView workbookViewId="0">
      <selection activeCell="G49" sqref="G49"/>
    </sheetView>
  </sheetViews>
  <sheetFormatPr defaultRowHeight="15"/>
  <cols>
    <col min="1" max="1" width="14.7109375" bestFit="1" customWidth="1"/>
    <col min="2" max="2" width="26.5703125" bestFit="1" customWidth="1"/>
    <col min="3" max="3" width="18.140625" bestFit="1" customWidth="1"/>
    <col min="4" max="4" width="15.28515625" style="40" bestFit="1" customWidth="1"/>
    <col min="5" max="5" width="27.140625" bestFit="1" customWidth="1"/>
    <col min="6" max="6" width="19.85546875" style="40" customWidth="1"/>
    <col min="7" max="7" width="22.85546875" customWidth="1"/>
    <col min="8" max="8" width="14.28515625" customWidth="1"/>
    <col min="9" max="9" width="16.28515625" bestFit="1" customWidth="1"/>
    <col min="10" max="10" width="34" bestFit="1" customWidth="1"/>
    <col min="11" max="11" width="31" customWidth="1"/>
    <col min="12" max="13" width="16" bestFit="1" customWidth="1"/>
  </cols>
  <sheetData>
    <row r="1" spans="1:15">
      <c r="A1" s="50"/>
      <c r="B1" s="50"/>
      <c r="C1" s="50"/>
      <c r="D1" s="51"/>
      <c r="E1" s="50"/>
      <c r="F1" s="51"/>
      <c r="G1" s="50"/>
      <c r="H1" s="50"/>
    </row>
    <row r="2" spans="1:15">
      <c r="A2" s="4"/>
      <c r="B2" s="4"/>
      <c r="C2" s="4"/>
      <c r="D2" s="17"/>
      <c r="E2" s="4"/>
      <c r="F2" s="17"/>
      <c r="G2" s="4"/>
      <c r="H2" s="4"/>
      <c r="I2" s="4"/>
      <c r="J2" s="4"/>
      <c r="K2" s="4"/>
    </row>
    <row r="3" spans="1:15">
      <c r="A3" s="52"/>
      <c r="B3" s="52"/>
      <c r="C3" s="52"/>
      <c r="D3" s="53"/>
      <c r="E3" s="52"/>
      <c r="F3" s="53"/>
      <c r="G3" s="52"/>
      <c r="H3" s="52"/>
      <c r="I3" s="52"/>
      <c r="J3" s="52"/>
      <c r="K3" s="54"/>
      <c r="L3" s="3" t="s">
        <v>44</v>
      </c>
      <c r="M3" s="3" t="s">
        <v>45</v>
      </c>
      <c r="N3" s="3" t="s">
        <v>46</v>
      </c>
    </row>
    <row r="4" spans="1:15">
      <c r="A4" s="7" t="s">
        <v>47</v>
      </c>
      <c r="B4" s="7" t="s">
        <v>48</v>
      </c>
      <c r="C4" s="7" t="s">
        <v>49</v>
      </c>
      <c r="D4" s="19" t="s">
        <v>50</v>
      </c>
      <c r="E4" s="7" t="s">
        <v>51</v>
      </c>
      <c r="F4" s="19" t="s">
        <v>52</v>
      </c>
      <c r="G4" s="7" t="s">
        <v>53</v>
      </c>
      <c r="H4" s="7" t="s">
        <v>44</v>
      </c>
      <c r="I4" s="7" t="s">
        <v>54</v>
      </c>
      <c r="J4" s="7"/>
      <c r="K4" s="7"/>
      <c r="M4" t="s">
        <v>55</v>
      </c>
      <c r="N4">
        <v>3</v>
      </c>
      <c r="O4">
        <f>N4*60</f>
        <v>180</v>
      </c>
    </row>
    <row r="5" spans="1:15">
      <c r="A5" s="4" t="s">
        <v>27</v>
      </c>
      <c r="B5" s="4" t="s">
        <v>56</v>
      </c>
      <c r="C5" s="4" t="s">
        <v>57</v>
      </c>
      <c r="D5" s="17" t="s">
        <v>58</v>
      </c>
      <c r="E5" s="4" t="s">
        <v>33</v>
      </c>
      <c r="F5" s="17">
        <v>80</v>
      </c>
      <c r="G5" s="6">
        <f>225+15</f>
        <v>240</v>
      </c>
      <c r="H5" s="6">
        <v>180</v>
      </c>
      <c r="I5" s="4"/>
      <c r="J5" s="4" t="s">
        <v>59</v>
      </c>
      <c r="K5" s="4"/>
      <c r="M5" t="s">
        <v>60</v>
      </c>
      <c r="N5">
        <v>1</v>
      </c>
      <c r="O5">
        <f t="shared" ref="O5" si="0">N5*60</f>
        <v>60</v>
      </c>
    </row>
    <row r="6" spans="1:15">
      <c r="A6" s="4" t="s">
        <v>27</v>
      </c>
      <c r="B6" s="4" t="s">
        <v>56</v>
      </c>
      <c r="C6" s="4" t="s">
        <v>61</v>
      </c>
      <c r="D6" s="17">
        <v>20</v>
      </c>
      <c r="E6" s="4" t="s">
        <v>33</v>
      </c>
      <c r="F6" s="17"/>
      <c r="G6" s="6">
        <v>450</v>
      </c>
      <c r="H6" s="6">
        <v>180</v>
      </c>
      <c r="I6" s="4"/>
      <c r="J6" s="4" t="s">
        <v>62</v>
      </c>
      <c r="K6" s="4" t="s">
        <v>63</v>
      </c>
      <c r="M6" t="s">
        <v>64</v>
      </c>
      <c r="N6">
        <v>1</v>
      </c>
      <c r="O6">
        <f>N6*60</f>
        <v>60</v>
      </c>
    </row>
    <row r="7" spans="1:15">
      <c r="A7" s="4" t="s">
        <v>6</v>
      </c>
      <c r="B7" s="4" t="s">
        <v>65</v>
      </c>
      <c r="C7" s="4" t="s">
        <v>57</v>
      </c>
      <c r="D7" s="17"/>
      <c r="E7" s="4" t="s">
        <v>8</v>
      </c>
      <c r="F7" s="17">
        <v>456</v>
      </c>
      <c r="G7" s="6">
        <v>240</v>
      </c>
      <c r="H7" s="6">
        <v>360</v>
      </c>
      <c r="I7" s="4"/>
      <c r="J7" s="4" t="s">
        <v>62</v>
      </c>
      <c r="K7" s="4"/>
      <c r="M7" t="s">
        <v>66</v>
      </c>
      <c r="N7">
        <v>0.25</v>
      </c>
      <c r="O7">
        <f>N7*60</f>
        <v>15</v>
      </c>
    </row>
    <row r="8" spans="1:15">
      <c r="A8" s="4" t="s">
        <v>6</v>
      </c>
      <c r="B8" s="4" t="s">
        <v>67</v>
      </c>
      <c r="C8" s="4" t="s">
        <v>68</v>
      </c>
      <c r="D8" s="17"/>
      <c r="E8" s="4" t="s">
        <v>9</v>
      </c>
      <c r="F8" s="17"/>
      <c r="G8" s="6">
        <v>14</v>
      </c>
      <c r="H8" s="6">
        <v>180</v>
      </c>
      <c r="I8" s="4"/>
      <c r="J8" s="4" t="s">
        <v>59</v>
      </c>
      <c r="K8" s="4"/>
      <c r="M8" t="s">
        <v>69</v>
      </c>
      <c r="N8">
        <f>SUM(N4:N6)</f>
        <v>5</v>
      </c>
      <c r="O8">
        <f>N8*60</f>
        <v>300</v>
      </c>
    </row>
    <row r="9" spans="1:15">
      <c r="A9" s="4" t="s">
        <v>6</v>
      </c>
      <c r="B9" s="4" t="s">
        <v>65</v>
      </c>
      <c r="C9" s="4" t="s">
        <v>61</v>
      </c>
      <c r="D9" s="17"/>
      <c r="E9" s="4" t="s">
        <v>8</v>
      </c>
      <c r="F9" s="17"/>
      <c r="G9" s="6">
        <v>150</v>
      </c>
      <c r="H9" s="6">
        <v>360</v>
      </c>
      <c r="I9" s="4"/>
      <c r="J9" s="4" t="s">
        <v>62</v>
      </c>
      <c r="K9" s="4"/>
    </row>
    <row r="10" spans="1:15">
      <c r="A10" s="4" t="s">
        <v>6</v>
      </c>
      <c r="B10" s="4" t="s">
        <v>70</v>
      </c>
      <c r="C10" s="4" t="s">
        <v>68</v>
      </c>
      <c r="D10" s="17"/>
      <c r="E10" s="4" t="s">
        <v>9</v>
      </c>
      <c r="F10" s="17"/>
      <c r="G10" s="6">
        <v>25</v>
      </c>
      <c r="H10" s="6">
        <v>180</v>
      </c>
      <c r="I10" s="4"/>
      <c r="J10" s="4" t="s">
        <v>59</v>
      </c>
      <c r="K10" s="4"/>
    </row>
    <row r="11" spans="1:15">
      <c r="A11" s="4" t="s">
        <v>6</v>
      </c>
      <c r="B11" s="4" t="s">
        <v>71</v>
      </c>
      <c r="C11" s="4" t="s">
        <v>68</v>
      </c>
      <c r="D11" s="17"/>
      <c r="E11" s="4" t="s">
        <v>9</v>
      </c>
      <c r="F11" s="17"/>
      <c r="G11" s="6">
        <v>4</v>
      </c>
      <c r="H11" s="6">
        <v>180</v>
      </c>
      <c r="I11" s="4"/>
      <c r="J11" s="4" t="s">
        <v>59</v>
      </c>
      <c r="K11" s="4"/>
    </row>
    <row r="12" spans="1:15">
      <c r="A12" s="4" t="s">
        <v>6</v>
      </c>
      <c r="B12" s="4" t="s">
        <v>72</v>
      </c>
      <c r="C12" s="4" t="s">
        <v>68</v>
      </c>
      <c r="D12" s="17"/>
      <c r="E12" s="4" t="s">
        <v>9</v>
      </c>
      <c r="F12" s="17"/>
      <c r="G12" s="6">
        <v>17</v>
      </c>
      <c r="H12" s="6">
        <v>180</v>
      </c>
      <c r="I12" s="4"/>
      <c r="J12" s="4" t="s">
        <v>59</v>
      </c>
      <c r="K12" s="4"/>
    </row>
    <row r="13" spans="1:15">
      <c r="A13" s="6" t="s">
        <v>19</v>
      </c>
      <c r="B13" s="6" t="s">
        <v>73</v>
      </c>
      <c r="C13" s="6" t="s">
        <v>74</v>
      </c>
      <c r="D13" s="18"/>
      <c r="E13" s="4" t="s">
        <v>8</v>
      </c>
      <c r="F13" s="18">
        <v>1499</v>
      </c>
      <c r="G13" s="6">
        <v>435</v>
      </c>
      <c r="H13" s="6">
        <v>360</v>
      </c>
      <c r="I13" s="6"/>
      <c r="J13" s="6" t="s">
        <v>75</v>
      </c>
      <c r="K13" s="4" t="s">
        <v>76</v>
      </c>
    </row>
    <row r="14" spans="1:15">
      <c r="A14" s="4" t="s">
        <v>21</v>
      </c>
      <c r="B14" s="4" t="s">
        <v>77</v>
      </c>
      <c r="C14" s="4" t="s">
        <v>78</v>
      </c>
      <c r="D14" s="17">
        <v>3</v>
      </c>
      <c r="E14" s="4" t="s">
        <v>3</v>
      </c>
      <c r="F14" s="17"/>
      <c r="G14" s="6">
        <v>285</v>
      </c>
      <c r="H14" s="6">
        <v>180</v>
      </c>
      <c r="I14" s="4"/>
      <c r="J14" s="4" t="s">
        <v>62</v>
      </c>
      <c r="K14" s="4"/>
    </row>
    <row r="15" spans="1:15">
      <c r="A15" s="6" t="s">
        <v>37</v>
      </c>
      <c r="B15" s="6" t="s">
        <v>79</v>
      </c>
      <c r="C15" s="6" t="s">
        <v>80</v>
      </c>
      <c r="D15" s="18"/>
      <c r="E15" s="6" t="s">
        <v>5</v>
      </c>
      <c r="F15" s="18">
        <v>500</v>
      </c>
      <c r="G15" s="6">
        <v>225</v>
      </c>
      <c r="H15" s="6">
        <v>60</v>
      </c>
      <c r="I15" s="6"/>
      <c r="J15" s="6" t="s">
        <v>59</v>
      </c>
      <c r="K15" s="4"/>
    </row>
    <row r="16" spans="1:15">
      <c r="A16" s="4" t="s">
        <v>39</v>
      </c>
      <c r="B16" s="4" t="s">
        <v>81</v>
      </c>
      <c r="C16" s="6" t="s">
        <v>80</v>
      </c>
      <c r="D16" s="17"/>
      <c r="E16" s="4"/>
      <c r="F16" s="17"/>
      <c r="G16" s="6">
        <v>45</v>
      </c>
      <c r="H16" s="6">
        <v>15</v>
      </c>
      <c r="I16" s="4"/>
      <c r="J16" s="4"/>
      <c r="K16" s="4"/>
    </row>
    <row r="17" spans="1:13">
      <c r="A17" s="6" t="s">
        <v>17</v>
      </c>
      <c r="B17" s="6" t="s">
        <v>17</v>
      </c>
      <c r="C17" s="6" t="s">
        <v>68</v>
      </c>
      <c r="D17" s="18"/>
      <c r="E17" s="4" t="s">
        <v>9</v>
      </c>
      <c r="F17" s="18"/>
      <c r="G17" s="6">
        <v>94</v>
      </c>
      <c r="H17" s="6">
        <v>180</v>
      </c>
      <c r="I17" s="6"/>
      <c r="J17" s="6" t="s">
        <v>59</v>
      </c>
      <c r="K17" s="4"/>
    </row>
    <row r="18" spans="1:13">
      <c r="A18" s="4" t="s">
        <v>15</v>
      </c>
      <c r="B18" s="4" t="s">
        <v>15</v>
      </c>
      <c r="C18" s="4" t="s">
        <v>80</v>
      </c>
      <c r="D18" s="17"/>
      <c r="E18" s="4"/>
      <c r="F18" s="17">
        <v>100</v>
      </c>
      <c r="G18" s="6">
        <v>195</v>
      </c>
      <c r="H18" s="6">
        <v>15</v>
      </c>
      <c r="I18" s="4"/>
      <c r="J18" s="4"/>
      <c r="K18" s="4"/>
    </row>
    <row r="19" spans="1:13">
      <c r="A19" s="4" t="s">
        <v>6</v>
      </c>
      <c r="B19" s="4" t="s">
        <v>67</v>
      </c>
      <c r="C19" s="4" t="s">
        <v>82</v>
      </c>
      <c r="D19" s="17"/>
      <c r="E19" s="4" t="s">
        <v>3</v>
      </c>
      <c r="F19" s="17"/>
      <c r="G19" s="6">
        <v>21</v>
      </c>
      <c r="H19" s="6">
        <v>180</v>
      </c>
      <c r="I19" s="4"/>
      <c r="J19" s="4"/>
      <c r="K19" s="4"/>
    </row>
    <row r="20" spans="1:13">
      <c r="A20" s="4" t="s">
        <v>6</v>
      </c>
      <c r="B20" s="4" t="s">
        <v>83</v>
      </c>
      <c r="C20" s="4" t="s">
        <v>57</v>
      </c>
      <c r="D20" s="17"/>
      <c r="E20" s="4" t="s">
        <v>8</v>
      </c>
      <c r="F20" s="17">
        <v>310</v>
      </c>
      <c r="G20" s="6">
        <v>180</v>
      </c>
      <c r="H20" s="6">
        <v>360</v>
      </c>
      <c r="I20" s="4"/>
      <c r="J20" s="4"/>
      <c r="K20" s="4"/>
    </row>
    <row r="21" spans="1:13">
      <c r="A21" s="4" t="s">
        <v>6</v>
      </c>
      <c r="B21" s="4" t="s">
        <v>83</v>
      </c>
      <c r="C21" s="4" t="s">
        <v>61</v>
      </c>
      <c r="D21" s="17"/>
      <c r="E21" s="4" t="s">
        <v>10</v>
      </c>
      <c r="F21" s="17"/>
      <c r="G21" s="6">
        <v>165</v>
      </c>
      <c r="H21" s="6"/>
      <c r="I21" s="4"/>
      <c r="J21" s="4"/>
      <c r="K21" s="4"/>
    </row>
    <row r="22" spans="1:13">
      <c r="A22" s="4" t="s">
        <v>19</v>
      </c>
      <c r="B22" s="4" t="s">
        <v>73</v>
      </c>
      <c r="C22" s="4" t="s">
        <v>74</v>
      </c>
      <c r="D22" s="17"/>
      <c r="E22" s="4" t="s">
        <v>8</v>
      </c>
      <c r="F22" s="17">
        <v>126</v>
      </c>
      <c r="G22" s="6">
        <v>190</v>
      </c>
      <c r="H22" s="6">
        <v>360</v>
      </c>
      <c r="I22" s="4"/>
      <c r="J22" s="4"/>
      <c r="K22" s="4"/>
    </row>
    <row r="23" spans="1:13">
      <c r="A23" s="4" t="s">
        <v>21</v>
      </c>
      <c r="B23" s="4" t="s">
        <v>84</v>
      </c>
      <c r="C23" s="4" t="s">
        <v>85</v>
      </c>
      <c r="D23" s="20" t="s">
        <v>86</v>
      </c>
      <c r="E23" s="4" t="s">
        <v>3</v>
      </c>
      <c r="F23" s="17"/>
      <c r="G23" s="6">
        <v>448</v>
      </c>
      <c r="H23" s="6">
        <v>180</v>
      </c>
      <c r="I23" s="4"/>
      <c r="J23" s="4" t="s">
        <v>87</v>
      </c>
      <c r="K23" s="4"/>
    </row>
    <row r="24" spans="1:13">
      <c r="A24" s="4" t="s">
        <v>21</v>
      </c>
      <c r="B24" s="4" t="s">
        <v>84</v>
      </c>
      <c r="C24" s="4" t="s">
        <v>80</v>
      </c>
      <c r="D24" s="17">
        <v>2</v>
      </c>
      <c r="E24" s="4" t="s">
        <v>5</v>
      </c>
      <c r="F24" s="17">
        <v>803</v>
      </c>
      <c r="G24" s="6">
        <v>70</v>
      </c>
      <c r="H24" s="6">
        <v>60</v>
      </c>
      <c r="I24" s="4"/>
      <c r="J24" s="4"/>
      <c r="K24" s="4"/>
    </row>
    <row r="25" spans="1:13">
      <c r="A25" s="4" t="s">
        <v>27</v>
      </c>
      <c r="B25" s="4" t="s">
        <v>88</v>
      </c>
      <c r="C25" s="4" t="s">
        <v>74</v>
      </c>
      <c r="D25" s="17">
        <v>26</v>
      </c>
      <c r="E25" s="4" t="s">
        <v>8</v>
      </c>
      <c r="F25" s="17">
        <v>8070</v>
      </c>
      <c r="G25" s="6">
        <v>225</v>
      </c>
      <c r="H25" s="6">
        <v>360</v>
      </c>
      <c r="I25" s="4"/>
      <c r="J25" s="4" t="s">
        <v>62</v>
      </c>
      <c r="K25" s="4"/>
      <c r="M25" s="3" t="s">
        <v>89</v>
      </c>
    </row>
    <row r="26" spans="1:13">
      <c r="A26" s="4" t="s">
        <v>27</v>
      </c>
      <c r="B26" s="4" t="s">
        <v>88</v>
      </c>
      <c r="C26" s="4" t="s">
        <v>57</v>
      </c>
      <c r="D26" s="17">
        <v>21</v>
      </c>
      <c r="E26" s="4" t="s">
        <v>32</v>
      </c>
      <c r="F26" s="17"/>
      <c r="G26" s="6">
        <v>890</v>
      </c>
      <c r="H26" s="6">
        <v>420</v>
      </c>
      <c r="I26" s="4"/>
      <c r="J26" s="4" t="s">
        <v>62</v>
      </c>
      <c r="K26" s="4"/>
    </row>
    <row r="27" spans="1:13">
      <c r="A27" s="4" t="s">
        <v>27</v>
      </c>
      <c r="B27" s="4" t="s">
        <v>88</v>
      </c>
      <c r="C27" s="4" t="s">
        <v>61</v>
      </c>
      <c r="D27" s="17"/>
      <c r="E27" s="4" t="s">
        <v>33</v>
      </c>
      <c r="F27" s="17"/>
      <c r="G27" s="6">
        <v>120</v>
      </c>
      <c r="H27" s="6">
        <v>180</v>
      </c>
      <c r="I27" s="4"/>
      <c r="J27" s="4" t="s">
        <v>62</v>
      </c>
      <c r="K27" s="4"/>
    </row>
    <row r="28" spans="1:13">
      <c r="A28" s="4" t="s">
        <v>15</v>
      </c>
      <c r="B28" s="4" t="s">
        <v>90</v>
      </c>
      <c r="C28" s="4" t="s">
        <v>80</v>
      </c>
      <c r="D28" s="17"/>
      <c r="E28" s="4"/>
      <c r="F28" s="17"/>
      <c r="G28" s="6">
        <v>45</v>
      </c>
      <c r="H28" s="6">
        <v>15</v>
      </c>
      <c r="I28" s="4"/>
      <c r="J28" s="4"/>
      <c r="K28" s="4"/>
    </row>
    <row r="29" spans="1:13">
      <c r="A29" s="4" t="s">
        <v>37</v>
      </c>
      <c r="B29" s="4" t="s">
        <v>79</v>
      </c>
      <c r="C29" s="4" t="s">
        <v>82</v>
      </c>
      <c r="D29" s="17">
        <v>1</v>
      </c>
      <c r="E29" s="4" t="s">
        <v>28</v>
      </c>
      <c r="F29" s="17"/>
      <c r="G29" s="6">
        <v>45</v>
      </c>
      <c r="H29" s="6"/>
      <c r="I29" s="4"/>
      <c r="J29" s="4"/>
      <c r="K29" s="4"/>
    </row>
    <row r="30" spans="1:13">
      <c r="A30" s="4" t="s">
        <v>37</v>
      </c>
      <c r="B30" s="4" t="s">
        <v>79</v>
      </c>
      <c r="C30" s="4" t="s">
        <v>82</v>
      </c>
      <c r="D30" s="17" t="s">
        <v>91</v>
      </c>
      <c r="E30" s="4" t="s">
        <v>4</v>
      </c>
      <c r="F30" s="17">
        <v>2801</v>
      </c>
      <c r="G30" s="6">
        <v>224</v>
      </c>
      <c r="H30" s="6">
        <v>120</v>
      </c>
      <c r="I30" s="4"/>
      <c r="J30" s="4" t="s">
        <v>92</v>
      </c>
      <c r="K30" s="4"/>
    </row>
    <row r="31" spans="1:13">
      <c r="A31" s="4" t="s">
        <v>37</v>
      </c>
      <c r="B31" s="4" t="s">
        <v>79</v>
      </c>
      <c r="C31" s="4" t="s">
        <v>80</v>
      </c>
      <c r="D31" s="17">
        <v>2</v>
      </c>
      <c r="E31" s="4" t="s">
        <v>5</v>
      </c>
      <c r="F31" s="17">
        <v>1100</v>
      </c>
      <c r="G31" s="6">
        <v>365</v>
      </c>
      <c r="H31" s="6">
        <v>60</v>
      </c>
      <c r="I31" s="4"/>
      <c r="J31" s="4"/>
      <c r="K31" s="4"/>
    </row>
    <row r="32" spans="1:13">
      <c r="A32" s="4" t="s">
        <v>6</v>
      </c>
      <c r="B32" s="4" t="s">
        <v>83</v>
      </c>
      <c r="C32" s="4" t="s">
        <v>57</v>
      </c>
      <c r="D32" s="17"/>
      <c r="E32" s="4" t="s">
        <v>8</v>
      </c>
      <c r="F32" s="17"/>
      <c r="G32" s="6">
        <v>90</v>
      </c>
      <c r="H32" s="6">
        <v>360</v>
      </c>
      <c r="I32" s="4"/>
      <c r="J32" s="4"/>
      <c r="K32" s="4"/>
    </row>
    <row r="33" spans="1:11">
      <c r="A33" s="4" t="s">
        <v>6</v>
      </c>
      <c r="B33" s="4" t="s">
        <v>93</v>
      </c>
      <c r="C33" s="4" t="s">
        <v>57</v>
      </c>
      <c r="D33" s="17"/>
      <c r="E33" s="4" t="s">
        <v>4</v>
      </c>
      <c r="F33" s="17">
        <v>305</v>
      </c>
      <c r="G33" s="6">
        <v>30</v>
      </c>
      <c r="H33" s="6">
        <v>120</v>
      </c>
      <c r="I33" s="4"/>
      <c r="J33" s="4" t="s">
        <v>59</v>
      </c>
      <c r="K33" s="4"/>
    </row>
    <row r="34" spans="1:11">
      <c r="A34" s="4" t="s">
        <v>6</v>
      </c>
      <c r="B34" s="4" t="s">
        <v>94</v>
      </c>
      <c r="C34" s="4" t="s">
        <v>57</v>
      </c>
      <c r="D34" s="17"/>
      <c r="E34" s="4" t="s">
        <v>4</v>
      </c>
      <c r="F34" s="17">
        <v>32</v>
      </c>
      <c r="G34" s="6">
        <v>10</v>
      </c>
      <c r="H34" s="6">
        <v>120</v>
      </c>
      <c r="I34" s="4"/>
      <c r="J34" s="4" t="s">
        <v>59</v>
      </c>
      <c r="K34" s="4"/>
    </row>
    <row r="35" spans="1:11">
      <c r="A35" s="4" t="s">
        <v>6</v>
      </c>
      <c r="B35" s="4" t="s">
        <v>95</v>
      </c>
      <c r="C35" s="4" t="s">
        <v>61</v>
      </c>
      <c r="D35" s="4"/>
      <c r="E35" s="4" t="s">
        <v>10</v>
      </c>
      <c r="F35" s="17"/>
      <c r="G35" s="6">
        <v>60</v>
      </c>
      <c r="H35" s="6"/>
      <c r="I35" s="4"/>
      <c r="J35" s="4" t="s">
        <v>59</v>
      </c>
      <c r="K35" s="4"/>
    </row>
    <row r="36" spans="1:11">
      <c r="A36" s="4" t="s">
        <v>6</v>
      </c>
      <c r="B36" s="4"/>
      <c r="C36" s="4" t="s">
        <v>68</v>
      </c>
      <c r="D36" s="4"/>
      <c r="E36" s="4" t="s">
        <v>8</v>
      </c>
      <c r="F36" s="17"/>
      <c r="G36" s="6">
        <v>36</v>
      </c>
      <c r="H36" s="6">
        <v>360</v>
      </c>
      <c r="I36" s="4"/>
      <c r="J36" s="4" t="s">
        <v>59</v>
      </c>
      <c r="K36" s="4"/>
    </row>
    <row r="37" spans="1:11">
      <c r="A37" s="4" t="s">
        <v>6</v>
      </c>
      <c r="B37" s="4" t="s">
        <v>96</v>
      </c>
      <c r="C37" s="4" t="s">
        <v>68</v>
      </c>
      <c r="D37" s="4"/>
      <c r="E37" s="4" t="s">
        <v>7</v>
      </c>
      <c r="F37" s="17"/>
      <c r="G37" s="6">
        <v>15</v>
      </c>
      <c r="H37" s="6"/>
      <c r="I37" s="4"/>
      <c r="J37" s="4" t="s">
        <v>59</v>
      </c>
      <c r="K37" s="4"/>
    </row>
    <row r="38" spans="1:11">
      <c r="A38" s="4" t="s">
        <v>17</v>
      </c>
      <c r="B38" s="4"/>
      <c r="C38" s="4" t="s">
        <v>68</v>
      </c>
      <c r="D38" s="4"/>
      <c r="E38" s="4" t="s">
        <v>8</v>
      </c>
      <c r="F38" s="17"/>
      <c r="G38" s="6">
        <v>60</v>
      </c>
      <c r="H38" s="6">
        <v>360</v>
      </c>
      <c r="I38" s="4"/>
      <c r="J38" s="4" t="s">
        <v>59</v>
      </c>
      <c r="K38" s="4"/>
    </row>
    <row r="39" spans="1:11">
      <c r="A39" s="4" t="s">
        <v>21</v>
      </c>
      <c r="B39" s="4" t="s">
        <v>84</v>
      </c>
      <c r="C39" s="4" t="s">
        <v>80</v>
      </c>
      <c r="D39" s="17" t="s">
        <v>97</v>
      </c>
      <c r="E39" s="4" t="s">
        <v>5</v>
      </c>
      <c r="F39" s="17">
        <v>4586</v>
      </c>
      <c r="G39" s="6">
        <v>450</v>
      </c>
      <c r="H39" s="6">
        <v>60</v>
      </c>
      <c r="I39" s="4"/>
      <c r="J39" s="4" t="s">
        <v>92</v>
      </c>
      <c r="K39" s="4"/>
    </row>
    <row r="40" spans="1:11">
      <c r="A40" s="4" t="s">
        <v>21</v>
      </c>
      <c r="B40" s="4" t="s">
        <v>84</v>
      </c>
      <c r="C40" s="4" t="s">
        <v>98</v>
      </c>
      <c r="D40" s="17" t="s">
        <v>99</v>
      </c>
      <c r="E40" s="4" t="s">
        <v>4</v>
      </c>
      <c r="F40" s="17">
        <v>2690</v>
      </c>
      <c r="G40" s="6">
        <v>460</v>
      </c>
      <c r="H40" s="6">
        <v>120</v>
      </c>
      <c r="I40" s="4"/>
      <c r="J40" s="4" t="s">
        <v>62</v>
      </c>
      <c r="K40" s="4"/>
    </row>
    <row r="41" spans="1:11">
      <c r="A41" s="4" t="s">
        <v>21</v>
      </c>
      <c r="B41" s="4" t="s">
        <v>84</v>
      </c>
      <c r="C41" s="4" t="s">
        <v>85</v>
      </c>
      <c r="D41" s="4" t="s">
        <v>100</v>
      </c>
      <c r="E41" s="4" t="s">
        <v>3</v>
      </c>
      <c r="F41" s="17"/>
      <c r="G41" s="6">
        <v>365</v>
      </c>
      <c r="H41" s="6">
        <v>180</v>
      </c>
      <c r="I41" s="4"/>
      <c r="J41" s="4" t="s">
        <v>59</v>
      </c>
      <c r="K41" s="4"/>
    </row>
    <row r="42" spans="1:11">
      <c r="A42" s="4" t="s">
        <v>27</v>
      </c>
      <c r="B42" s="4" t="s">
        <v>88</v>
      </c>
      <c r="C42" s="4" t="s">
        <v>74</v>
      </c>
      <c r="D42" s="17" t="s">
        <v>101</v>
      </c>
      <c r="E42" s="4" t="s">
        <v>3</v>
      </c>
      <c r="F42" s="17"/>
      <c r="G42" s="6">
        <v>400</v>
      </c>
      <c r="H42" s="6">
        <v>180</v>
      </c>
      <c r="I42" s="4"/>
      <c r="J42" s="4" t="s">
        <v>62</v>
      </c>
      <c r="K42" s="4"/>
    </row>
    <row r="43" spans="1:11">
      <c r="A43" s="4" t="s">
        <v>37</v>
      </c>
      <c r="B43" s="4" t="s">
        <v>79</v>
      </c>
      <c r="C43" s="4" t="s">
        <v>78</v>
      </c>
      <c r="D43" s="4" t="s">
        <v>91</v>
      </c>
      <c r="E43" s="4" t="s">
        <v>23</v>
      </c>
      <c r="F43" s="17"/>
      <c r="G43" s="6">
        <v>345</v>
      </c>
      <c r="H43" s="6">
        <v>60</v>
      </c>
      <c r="I43" s="4"/>
      <c r="J43" s="4" t="s">
        <v>59</v>
      </c>
      <c r="K43" s="4"/>
    </row>
    <row r="44" spans="1:11">
      <c r="A44" s="4" t="s">
        <v>15</v>
      </c>
      <c r="B44" s="4" t="s">
        <v>15</v>
      </c>
      <c r="C44" s="4" t="s">
        <v>80</v>
      </c>
      <c r="D44" s="4"/>
      <c r="E44" s="4"/>
      <c r="F44" s="17"/>
      <c r="G44" s="6">
        <v>30</v>
      </c>
      <c r="H44" s="6">
        <v>15</v>
      </c>
      <c r="I44" s="4"/>
      <c r="J44" s="4"/>
      <c r="K44" s="4"/>
    </row>
    <row r="45" spans="1:11">
      <c r="A45" s="4" t="s">
        <v>15</v>
      </c>
      <c r="B45" s="4" t="s">
        <v>15</v>
      </c>
      <c r="C45" s="4" t="s">
        <v>68</v>
      </c>
      <c r="D45" s="4"/>
      <c r="E45" s="4"/>
      <c r="F45" s="17"/>
      <c r="G45" s="6">
        <v>60</v>
      </c>
      <c r="H45" s="6">
        <v>15</v>
      </c>
      <c r="I45" s="4"/>
      <c r="J45" s="4"/>
      <c r="K45" s="4"/>
    </row>
    <row r="46" spans="1:11">
      <c r="A46" s="4" t="s">
        <v>27</v>
      </c>
      <c r="B46" s="4" t="s">
        <v>88</v>
      </c>
      <c r="C46" s="4" t="s">
        <v>74</v>
      </c>
      <c r="D46" s="17">
        <v>30</v>
      </c>
      <c r="E46" s="4" t="s">
        <v>3</v>
      </c>
      <c r="F46" s="41">
        <v>0.25</v>
      </c>
      <c r="G46" s="6">
        <v>105</v>
      </c>
      <c r="H46" s="6">
        <f>180*0.5</f>
        <v>90</v>
      </c>
      <c r="I46" s="4"/>
      <c r="J46" s="4"/>
      <c r="K46" s="4"/>
    </row>
    <row r="47" spans="1:11">
      <c r="A47" s="4" t="s">
        <v>27</v>
      </c>
      <c r="B47" s="4" t="s">
        <v>88</v>
      </c>
      <c r="C47" s="4" t="s">
        <v>74</v>
      </c>
      <c r="D47" s="17">
        <v>32</v>
      </c>
      <c r="E47" s="4" t="s">
        <v>31</v>
      </c>
      <c r="F47" s="41">
        <v>1</v>
      </c>
      <c r="G47" s="6">
        <v>270</v>
      </c>
      <c r="H47" s="6">
        <v>240</v>
      </c>
      <c r="I47" s="4"/>
      <c r="J47" s="4"/>
      <c r="K47" s="4"/>
    </row>
    <row r="48" spans="1:11">
      <c r="A48" s="4" t="s">
        <v>27</v>
      </c>
      <c r="B48" s="4" t="s">
        <v>88</v>
      </c>
      <c r="C48" s="4" t="s">
        <v>74</v>
      </c>
      <c r="D48" s="17">
        <v>33</v>
      </c>
      <c r="E48" s="4" t="s">
        <v>31</v>
      </c>
      <c r="F48" s="41">
        <v>1</v>
      </c>
      <c r="G48" s="6">
        <v>510</v>
      </c>
      <c r="H48" s="6">
        <v>240</v>
      </c>
      <c r="I48" s="4"/>
      <c r="J48" s="4"/>
      <c r="K48" s="4"/>
    </row>
    <row r="49" spans="1:11">
      <c r="A49" s="4" t="s">
        <v>27</v>
      </c>
      <c r="B49" s="4" t="s">
        <v>88</v>
      </c>
      <c r="C49" s="4" t="s">
        <v>57</v>
      </c>
      <c r="D49" s="17">
        <v>25</v>
      </c>
      <c r="E49" s="4" t="s">
        <v>33</v>
      </c>
      <c r="F49" s="17"/>
      <c r="G49" s="6">
        <v>800</v>
      </c>
      <c r="H49" s="6">
        <v>180</v>
      </c>
      <c r="I49" s="4"/>
      <c r="J49" s="4"/>
      <c r="K49" s="4" t="s">
        <v>102</v>
      </c>
    </row>
    <row r="50" spans="1:11">
      <c r="A50" s="4" t="s">
        <v>21</v>
      </c>
      <c r="B50" s="4" t="s">
        <v>84</v>
      </c>
      <c r="C50" s="4" t="s">
        <v>80</v>
      </c>
      <c r="D50" s="4">
        <v>3</v>
      </c>
      <c r="E50" s="4" t="s">
        <v>5</v>
      </c>
      <c r="F50" s="17">
        <v>857</v>
      </c>
      <c r="G50" s="6">
        <v>90</v>
      </c>
      <c r="H50" s="6">
        <v>60</v>
      </c>
      <c r="I50" s="4"/>
      <c r="J50" s="4"/>
      <c r="K50" s="4"/>
    </row>
    <row r="51" spans="1:11">
      <c r="A51" s="4" t="s">
        <v>21</v>
      </c>
      <c r="B51" s="4" t="s">
        <v>84</v>
      </c>
      <c r="C51" s="4" t="s">
        <v>80</v>
      </c>
      <c r="D51" s="4">
        <v>4</v>
      </c>
      <c r="E51" s="4" t="s">
        <v>5</v>
      </c>
      <c r="F51" s="17">
        <v>325</v>
      </c>
      <c r="G51" s="6">
        <v>60</v>
      </c>
      <c r="H51" s="6">
        <v>60</v>
      </c>
      <c r="I51" s="4"/>
      <c r="J51" s="4"/>
      <c r="K51" s="4"/>
    </row>
    <row r="52" spans="1:11">
      <c r="A52" s="4" t="s">
        <v>21</v>
      </c>
      <c r="B52" s="4" t="s">
        <v>84</v>
      </c>
      <c r="C52" s="4" t="s">
        <v>80</v>
      </c>
      <c r="D52" s="4">
        <v>4</v>
      </c>
      <c r="E52" s="4" t="s">
        <v>5</v>
      </c>
      <c r="F52" s="17">
        <v>313</v>
      </c>
      <c r="G52" s="6">
        <v>45</v>
      </c>
      <c r="H52" s="6">
        <v>60</v>
      </c>
      <c r="I52" s="4"/>
      <c r="J52" s="4"/>
      <c r="K52" s="4"/>
    </row>
    <row r="53" spans="1:11">
      <c r="A53" s="4" t="s">
        <v>16</v>
      </c>
      <c r="B53" s="4" t="s">
        <v>103</v>
      </c>
      <c r="C53" s="4" t="s">
        <v>80</v>
      </c>
      <c r="D53" s="4"/>
      <c r="E53" s="4" t="s">
        <v>16</v>
      </c>
      <c r="F53" s="17"/>
      <c r="G53" s="6">
        <v>35</v>
      </c>
      <c r="H53" s="6">
        <v>15</v>
      </c>
      <c r="I53" s="4"/>
      <c r="J53" s="4"/>
      <c r="K53" s="4"/>
    </row>
    <row r="54" spans="1:11">
      <c r="A54" s="4" t="s">
        <v>15</v>
      </c>
      <c r="B54" s="4" t="s">
        <v>15</v>
      </c>
      <c r="C54" s="4" t="s">
        <v>80</v>
      </c>
      <c r="D54" s="4"/>
      <c r="E54" s="4" t="s">
        <v>16</v>
      </c>
      <c r="F54" s="17"/>
      <c r="G54" s="6">
        <v>205</v>
      </c>
      <c r="H54" s="6">
        <v>15</v>
      </c>
      <c r="I54" s="4"/>
      <c r="J54" s="4"/>
      <c r="K54" s="4" t="s">
        <v>104</v>
      </c>
    </row>
    <row r="55" spans="1:11">
      <c r="A55" s="4" t="s">
        <v>15</v>
      </c>
      <c r="B55" s="4" t="s">
        <v>15</v>
      </c>
      <c r="C55" s="4" t="s">
        <v>80</v>
      </c>
      <c r="D55" s="4"/>
      <c r="E55" s="4" t="s">
        <v>16</v>
      </c>
      <c r="F55" s="17"/>
      <c r="G55" s="6">
        <v>45</v>
      </c>
      <c r="H55" s="6">
        <v>15</v>
      </c>
      <c r="I55" s="4"/>
      <c r="J55" s="4"/>
      <c r="K55" s="4" t="s">
        <v>105</v>
      </c>
    </row>
    <row r="56" spans="1:11">
      <c r="A56" s="4" t="s">
        <v>21</v>
      </c>
      <c r="B56" s="4" t="s">
        <v>84</v>
      </c>
      <c r="C56" s="4" t="s">
        <v>98</v>
      </c>
      <c r="D56" s="17">
        <v>2</v>
      </c>
      <c r="E56" s="4" t="s">
        <v>4</v>
      </c>
      <c r="F56" s="17"/>
      <c r="G56" s="6">
        <v>175</v>
      </c>
      <c r="H56" s="6">
        <v>120</v>
      </c>
      <c r="I56" s="4"/>
      <c r="J56" s="4"/>
      <c r="K56" s="4"/>
    </row>
    <row r="57" spans="1:11">
      <c r="A57" s="4" t="s">
        <v>19</v>
      </c>
      <c r="B57" s="4" t="s">
        <v>73</v>
      </c>
      <c r="C57" s="4" t="s">
        <v>98</v>
      </c>
      <c r="D57" s="17"/>
      <c r="E57" s="4" t="s">
        <v>8</v>
      </c>
      <c r="F57" s="17"/>
      <c r="G57" s="6">
        <v>175</v>
      </c>
      <c r="H57" s="6">
        <v>360</v>
      </c>
      <c r="I57" s="4"/>
      <c r="J57" s="4"/>
      <c r="K57" s="4"/>
    </row>
    <row r="58" spans="1:11">
      <c r="A58" s="4" t="s">
        <v>19</v>
      </c>
      <c r="B58" s="4" t="s">
        <v>73</v>
      </c>
      <c r="C58" s="4" t="s">
        <v>98</v>
      </c>
      <c r="D58" s="17"/>
      <c r="E58" s="4" t="s">
        <v>8</v>
      </c>
      <c r="F58" s="17"/>
      <c r="G58" s="6">
        <v>114.99999999999999</v>
      </c>
      <c r="H58" s="6">
        <v>360</v>
      </c>
      <c r="I58" s="4"/>
      <c r="J58" s="4"/>
      <c r="K58" s="4"/>
    </row>
    <row r="59" spans="1:11">
      <c r="A59" s="4" t="s">
        <v>27</v>
      </c>
      <c r="B59" s="4" t="s">
        <v>88</v>
      </c>
      <c r="C59" s="4" t="s">
        <v>61</v>
      </c>
      <c r="D59" s="17">
        <v>23</v>
      </c>
      <c r="E59" s="4" t="s">
        <v>33</v>
      </c>
      <c r="F59" s="17"/>
      <c r="G59" s="6">
        <v>385</v>
      </c>
      <c r="H59" s="6">
        <v>180</v>
      </c>
      <c r="I59" s="4"/>
      <c r="J59" s="4"/>
      <c r="K59" s="4"/>
    </row>
    <row r="60" spans="1:11">
      <c r="A60" s="4" t="s">
        <v>21</v>
      </c>
      <c r="B60" s="4" t="s">
        <v>106</v>
      </c>
      <c r="C60" s="4" t="s">
        <v>80</v>
      </c>
      <c r="D60" s="4">
        <v>4</v>
      </c>
      <c r="E60" s="4" t="s">
        <v>5</v>
      </c>
      <c r="F60" s="17"/>
      <c r="G60" s="6">
        <v>175</v>
      </c>
      <c r="H60" s="6">
        <v>60</v>
      </c>
      <c r="I60" s="4"/>
      <c r="J60" s="4"/>
      <c r="K60" s="4"/>
    </row>
    <row r="61" spans="1:11">
      <c r="A61" s="4"/>
      <c r="B61" s="4" t="s">
        <v>107</v>
      </c>
      <c r="C61" s="4" t="s">
        <v>80</v>
      </c>
      <c r="D61" s="4"/>
      <c r="E61" s="4" t="s">
        <v>15</v>
      </c>
      <c r="F61" s="17"/>
      <c r="G61" s="6">
        <v>20</v>
      </c>
      <c r="H61" s="6">
        <v>15</v>
      </c>
      <c r="I61" s="4"/>
      <c r="J61" s="4"/>
      <c r="K61" s="4"/>
    </row>
    <row r="62" spans="1:11">
      <c r="A62" s="4" t="s">
        <v>21</v>
      </c>
      <c r="B62" s="4" t="s">
        <v>106</v>
      </c>
      <c r="C62" s="4" t="s">
        <v>80</v>
      </c>
      <c r="D62" s="4">
        <v>4</v>
      </c>
      <c r="E62" s="4" t="s">
        <v>5</v>
      </c>
      <c r="F62" s="17">
        <v>2000</v>
      </c>
      <c r="G62" s="6">
        <v>60</v>
      </c>
      <c r="H62" s="6">
        <v>60</v>
      </c>
      <c r="I62" s="4"/>
      <c r="J62" s="4"/>
      <c r="K62" s="4"/>
    </row>
    <row r="63" spans="1:11">
      <c r="A63" s="4" t="s">
        <v>21</v>
      </c>
      <c r="B63" s="4" t="s">
        <v>106</v>
      </c>
      <c r="C63" s="4" t="s">
        <v>80</v>
      </c>
      <c r="D63" s="4">
        <v>5</v>
      </c>
      <c r="E63" s="4" t="s">
        <v>5</v>
      </c>
      <c r="F63" s="17">
        <v>1443</v>
      </c>
      <c r="G63" s="6">
        <v>135</v>
      </c>
      <c r="H63" s="6">
        <v>60</v>
      </c>
      <c r="I63" s="4"/>
      <c r="J63" s="4"/>
      <c r="K63" s="4"/>
    </row>
    <row r="64" spans="1:11">
      <c r="A64" s="4" t="s">
        <v>21</v>
      </c>
      <c r="B64" s="4" t="s">
        <v>106</v>
      </c>
      <c r="C64" s="4" t="s">
        <v>80</v>
      </c>
      <c r="D64" s="4">
        <v>5</v>
      </c>
      <c r="E64" s="4" t="s">
        <v>5</v>
      </c>
      <c r="F64" s="17">
        <v>537</v>
      </c>
      <c r="G64" s="6">
        <v>90</v>
      </c>
      <c r="H64" s="6">
        <v>60</v>
      </c>
      <c r="I64" s="4"/>
      <c r="J64" s="4"/>
      <c r="K64" s="4"/>
    </row>
    <row r="65" spans="1:11">
      <c r="A65" s="4" t="s">
        <v>27</v>
      </c>
      <c r="B65" s="4" t="s">
        <v>88</v>
      </c>
      <c r="C65" s="4" t="s">
        <v>57</v>
      </c>
      <c r="D65" s="17"/>
      <c r="E65" s="4" t="s">
        <v>33</v>
      </c>
      <c r="F65" s="17"/>
      <c r="G65" s="6">
        <v>15</v>
      </c>
      <c r="H65" s="6">
        <v>180</v>
      </c>
      <c r="I65" s="4"/>
      <c r="J65" s="4"/>
      <c r="K65" s="4"/>
    </row>
    <row r="66" spans="1:11">
      <c r="A66" s="4" t="s">
        <v>27</v>
      </c>
      <c r="B66" s="4" t="s">
        <v>88</v>
      </c>
      <c r="C66" s="4" t="s">
        <v>61</v>
      </c>
      <c r="D66" s="17"/>
      <c r="E66" s="4" t="s">
        <v>33</v>
      </c>
      <c r="F66" s="17"/>
      <c r="G66" s="6">
        <v>75</v>
      </c>
      <c r="H66" s="6">
        <v>180</v>
      </c>
      <c r="I66" s="4"/>
      <c r="J66" s="4"/>
      <c r="K66" s="4"/>
    </row>
    <row r="67" spans="1:11">
      <c r="A67" s="4" t="s">
        <v>27</v>
      </c>
      <c r="B67" s="4" t="s">
        <v>88</v>
      </c>
      <c r="C67" s="4" t="s">
        <v>61</v>
      </c>
      <c r="D67" s="17"/>
      <c r="E67" s="4" t="s">
        <v>33</v>
      </c>
      <c r="F67" s="17"/>
      <c r="G67" s="6">
        <v>90</v>
      </c>
      <c r="H67" s="6">
        <v>180</v>
      </c>
      <c r="I67" s="4"/>
      <c r="J67" s="4"/>
      <c r="K67" s="4"/>
    </row>
    <row r="68" spans="1:11">
      <c r="A68" s="4" t="s">
        <v>6</v>
      </c>
      <c r="B68" s="4" t="s">
        <v>83</v>
      </c>
      <c r="C68" s="4" t="s">
        <v>57</v>
      </c>
      <c r="D68" s="17"/>
      <c r="E68" s="4" t="s">
        <v>8</v>
      </c>
      <c r="F68" s="17"/>
      <c r="G68" s="6">
        <v>125.00000000000001</v>
      </c>
      <c r="H68" s="6">
        <v>360</v>
      </c>
      <c r="I68" s="4"/>
      <c r="J68" s="4"/>
      <c r="K68" s="4"/>
    </row>
    <row r="69" spans="1:11">
      <c r="A69" s="4" t="s">
        <v>6</v>
      </c>
      <c r="B69" s="4" t="s">
        <v>83</v>
      </c>
      <c r="C69" s="4" t="s">
        <v>57</v>
      </c>
      <c r="D69" s="17"/>
      <c r="E69" s="4" t="s">
        <v>8</v>
      </c>
      <c r="F69" s="17"/>
      <c r="G69" s="6">
        <v>105</v>
      </c>
      <c r="H69" s="6">
        <v>360</v>
      </c>
      <c r="I69" s="4"/>
      <c r="J69" s="4"/>
      <c r="K69" s="4"/>
    </row>
    <row r="70" spans="1:11">
      <c r="A70" s="4" t="s">
        <v>27</v>
      </c>
      <c r="B70" s="4" t="s">
        <v>88</v>
      </c>
      <c r="C70" s="4" t="s">
        <v>74</v>
      </c>
      <c r="D70" s="17">
        <v>34</v>
      </c>
      <c r="E70" s="4" t="s">
        <v>31</v>
      </c>
      <c r="F70" s="41">
        <v>1</v>
      </c>
      <c r="G70" s="6">
        <v>340</v>
      </c>
      <c r="H70" s="6">
        <v>240</v>
      </c>
      <c r="I70" s="4"/>
      <c r="J70" s="4"/>
      <c r="K70" s="4"/>
    </row>
    <row r="71" spans="1:11">
      <c r="A71" s="4" t="s">
        <v>27</v>
      </c>
      <c r="B71" s="4" t="s">
        <v>88</v>
      </c>
      <c r="C71" s="4" t="s">
        <v>74</v>
      </c>
      <c r="D71" s="17">
        <v>39</v>
      </c>
      <c r="E71" s="4" t="s">
        <v>31</v>
      </c>
      <c r="F71" s="41">
        <v>1</v>
      </c>
      <c r="G71" s="6">
        <v>305</v>
      </c>
      <c r="H71" s="6">
        <v>240</v>
      </c>
      <c r="I71" s="4"/>
      <c r="J71" s="4"/>
      <c r="K71" s="4"/>
    </row>
    <row r="72" spans="1:11">
      <c r="A72" s="4" t="s">
        <v>21</v>
      </c>
      <c r="B72" s="4" t="s">
        <v>106</v>
      </c>
      <c r="C72" s="4" t="s">
        <v>80</v>
      </c>
      <c r="D72" s="4">
        <v>5</v>
      </c>
      <c r="E72" s="4" t="s">
        <v>5</v>
      </c>
      <c r="F72" s="17">
        <v>1300</v>
      </c>
      <c r="G72" s="6">
        <v>120</v>
      </c>
      <c r="H72" s="6">
        <v>60</v>
      </c>
      <c r="I72" s="4"/>
      <c r="J72" s="4"/>
      <c r="K72" s="4"/>
    </row>
    <row r="73" spans="1:11">
      <c r="A73" s="4" t="s">
        <v>27</v>
      </c>
      <c r="B73" s="4" t="s">
        <v>88</v>
      </c>
      <c r="C73" s="4" t="s">
        <v>80</v>
      </c>
      <c r="D73" s="17"/>
      <c r="E73" s="4" t="s">
        <v>29</v>
      </c>
      <c r="F73" s="17"/>
      <c r="G73" s="6">
        <v>60</v>
      </c>
      <c r="H73" s="6">
        <v>60</v>
      </c>
      <c r="I73" s="4"/>
      <c r="J73" s="4"/>
      <c r="K73" s="4" t="s">
        <v>108</v>
      </c>
    </row>
    <row r="74" spans="1:11">
      <c r="A74" s="4" t="s">
        <v>27</v>
      </c>
      <c r="B74" s="4" t="s">
        <v>88</v>
      </c>
      <c r="C74" s="4" t="s">
        <v>80</v>
      </c>
      <c r="D74" s="17">
        <v>262</v>
      </c>
      <c r="E74" s="4" t="s">
        <v>5</v>
      </c>
      <c r="F74" s="17">
        <v>2542</v>
      </c>
      <c r="G74" s="6">
        <v>165</v>
      </c>
      <c r="H74" s="6">
        <v>60</v>
      </c>
      <c r="I74" s="4"/>
      <c r="J74" s="4"/>
      <c r="K74" s="4"/>
    </row>
    <row r="75" spans="1:11">
      <c r="A75" s="4"/>
      <c r="B75" s="4" t="s">
        <v>109</v>
      </c>
      <c r="C75" s="4" t="s">
        <v>80</v>
      </c>
      <c r="D75" s="4">
        <v>82</v>
      </c>
      <c r="E75" s="4" t="s">
        <v>15</v>
      </c>
      <c r="F75" s="17"/>
      <c r="G75" s="6">
        <v>180</v>
      </c>
      <c r="H75" s="6">
        <v>15</v>
      </c>
      <c r="I75" s="4"/>
      <c r="J75" s="4"/>
      <c r="K75" s="4"/>
    </row>
    <row r="76" spans="1:11">
      <c r="A76" s="4" t="s">
        <v>27</v>
      </c>
      <c r="B76" s="4" t="s">
        <v>88</v>
      </c>
      <c r="C76" s="4" t="s">
        <v>80</v>
      </c>
      <c r="D76" s="17"/>
      <c r="E76" s="4" t="s">
        <v>28</v>
      </c>
      <c r="F76" s="17"/>
      <c r="G76" s="6">
        <v>15</v>
      </c>
      <c r="H76" s="6">
        <v>60</v>
      </c>
      <c r="I76" s="4"/>
      <c r="J76" s="4"/>
      <c r="K76" s="4" t="s">
        <v>110</v>
      </c>
    </row>
    <row r="77" spans="1:11">
      <c r="A77" s="4" t="s">
        <v>27</v>
      </c>
      <c r="B77" s="4" t="s">
        <v>88</v>
      </c>
      <c r="C77" s="4" t="s">
        <v>80</v>
      </c>
      <c r="D77" s="17">
        <v>26</v>
      </c>
      <c r="E77" s="4" t="s">
        <v>5</v>
      </c>
      <c r="F77" s="17">
        <v>400</v>
      </c>
      <c r="G77" s="6">
        <v>60</v>
      </c>
      <c r="H77" s="6">
        <v>60</v>
      </c>
      <c r="I77" s="4"/>
      <c r="J77" s="4"/>
      <c r="K77" s="4"/>
    </row>
    <row r="78" spans="1:11">
      <c r="A78" s="6" t="s">
        <v>27</v>
      </c>
      <c r="B78" s="6" t="s">
        <v>88</v>
      </c>
      <c r="C78" s="6" t="s">
        <v>80</v>
      </c>
      <c r="D78" s="18">
        <v>26</v>
      </c>
      <c r="E78" s="6" t="s">
        <v>5</v>
      </c>
      <c r="F78" s="18">
        <v>805</v>
      </c>
      <c r="G78" s="6">
        <v>60</v>
      </c>
      <c r="H78" s="6">
        <v>60</v>
      </c>
      <c r="I78" s="4"/>
      <c r="J78" s="4"/>
      <c r="K78" s="6"/>
    </row>
    <row r="79" spans="1:11">
      <c r="A79" s="4" t="s">
        <v>38</v>
      </c>
      <c r="B79" s="4" t="s">
        <v>15</v>
      </c>
      <c r="C79" s="6" t="s">
        <v>80</v>
      </c>
      <c r="D79" s="4"/>
      <c r="E79" s="4" t="s">
        <v>15</v>
      </c>
      <c r="F79" s="17"/>
      <c r="G79" s="6">
        <v>75</v>
      </c>
      <c r="H79" s="6">
        <v>15</v>
      </c>
      <c r="I79" s="4"/>
      <c r="J79" s="4"/>
      <c r="K79" s="4"/>
    </row>
    <row r="80" spans="1:11">
      <c r="A80" s="4" t="s">
        <v>40</v>
      </c>
      <c r="B80" s="4" t="s">
        <v>111</v>
      </c>
      <c r="C80" s="6" t="s">
        <v>80</v>
      </c>
      <c r="D80" s="4">
        <v>1</v>
      </c>
      <c r="E80" s="4" t="s">
        <v>41</v>
      </c>
      <c r="F80" s="17">
        <v>372</v>
      </c>
      <c r="G80" s="6">
        <v>370</v>
      </c>
      <c r="H80" s="6">
        <v>240</v>
      </c>
      <c r="I80" s="4"/>
      <c r="J80" s="4"/>
      <c r="K80" s="4" t="s">
        <v>112</v>
      </c>
    </row>
    <row r="81" spans="1:11">
      <c r="A81" s="4" t="s">
        <v>6</v>
      </c>
      <c r="B81" s="4" t="s">
        <v>113</v>
      </c>
      <c r="C81" s="4" t="s">
        <v>61</v>
      </c>
      <c r="D81" s="4"/>
      <c r="E81" s="4" t="s">
        <v>10</v>
      </c>
      <c r="F81" s="17"/>
      <c r="G81" s="6">
        <v>120</v>
      </c>
      <c r="H81" s="6">
        <v>120</v>
      </c>
      <c r="I81" s="4"/>
      <c r="J81" s="4"/>
      <c r="K81" s="4"/>
    </row>
    <row r="82" spans="1:11">
      <c r="A82" s="4" t="s">
        <v>21</v>
      </c>
      <c r="B82" s="4" t="s">
        <v>106</v>
      </c>
      <c r="C82" s="4" t="s">
        <v>61</v>
      </c>
      <c r="D82" s="4"/>
      <c r="E82" s="27" t="s">
        <v>22</v>
      </c>
      <c r="F82" s="17"/>
      <c r="G82" s="6">
        <v>75</v>
      </c>
      <c r="H82" s="6">
        <v>180</v>
      </c>
      <c r="I82" s="4"/>
      <c r="J82" s="4"/>
      <c r="K82" s="4"/>
    </row>
    <row r="83" spans="1:11">
      <c r="A83" s="4" t="s">
        <v>21</v>
      </c>
      <c r="B83" s="4" t="s">
        <v>106</v>
      </c>
      <c r="C83" s="4" t="s">
        <v>61</v>
      </c>
      <c r="D83" s="4"/>
      <c r="E83" s="27" t="s">
        <v>22</v>
      </c>
      <c r="F83" s="17"/>
      <c r="G83" s="6">
        <v>90</v>
      </c>
      <c r="H83" s="6">
        <v>180</v>
      </c>
      <c r="I83" s="4"/>
      <c r="J83" s="4"/>
      <c r="K83" s="4" t="s">
        <v>114</v>
      </c>
    </row>
    <row r="84" spans="1:11">
      <c r="A84" s="4" t="s">
        <v>21</v>
      </c>
      <c r="B84" s="4" t="s">
        <v>106</v>
      </c>
      <c r="C84" s="4" t="s">
        <v>78</v>
      </c>
      <c r="D84" s="4">
        <v>3</v>
      </c>
      <c r="E84" s="4" t="s">
        <v>4</v>
      </c>
      <c r="F84" s="17"/>
      <c r="G84" s="6">
        <v>285</v>
      </c>
      <c r="H84" s="6">
        <v>120</v>
      </c>
      <c r="I84" s="4"/>
      <c r="J84" s="4"/>
      <c r="K84" s="4"/>
    </row>
    <row r="85" spans="1:11">
      <c r="A85" s="4" t="s">
        <v>27</v>
      </c>
      <c r="B85" s="4" t="s">
        <v>88</v>
      </c>
      <c r="C85" s="4" t="s">
        <v>74</v>
      </c>
      <c r="D85" s="17">
        <v>40</v>
      </c>
      <c r="E85" s="4" t="s">
        <v>31</v>
      </c>
      <c r="F85" s="41">
        <v>1</v>
      </c>
      <c r="G85" s="6">
        <v>405</v>
      </c>
      <c r="H85" s="6">
        <v>240</v>
      </c>
      <c r="I85" s="4"/>
      <c r="J85" s="4"/>
      <c r="K85" s="4"/>
    </row>
    <row r="86" spans="1:11">
      <c r="A86" s="4" t="s">
        <v>6</v>
      </c>
      <c r="B86" s="4" t="s">
        <v>83</v>
      </c>
      <c r="C86" s="4" t="s">
        <v>57</v>
      </c>
      <c r="D86" s="17"/>
      <c r="E86" s="4" t="s">
        <v>8</v>
      </c>
      <c r="F86" s="17"/>
      <c r="G86" s="6">
        <v>145</v>
      </c>
      <c r="H86" s="6">
        <v>360</v>
      </c>
      <c r="I86" s="4"/>
      <c r="J86" s="4"/>
      <c r="K86" s="4" t="s">
        <v>10</v>
      </c>
    </row>
    <row r="87" spans="1:11">
      <c r="A87" s="4" t="s">
        <v>6</v>
      </c>
      <c r="B87" s="4" t="s">
        <v>83</v>
      </c>
      <c r="C87" s="4" t="s">
        <v>57</v>
      </c>
      <c r="D87" s="17"/>
      <c r="E87" s="4" t="s">
        <v>9</v>
      </c>
      <c r="F87" s="17">
        <v>315</v>
      </c>
      <c r="G87" s="6">
        <v>11</v>
      </c>
      <c r="H87" s="6">
        <v>180</v>
      </c>
      <c r="I87" s="4"/>
      <c r="J87" s="4"/>
      <c r="K87" s="4" t="s">
        <v>115</v>
      </c>
    </row>
    <row r="88" spans="1:11">
      <c r="A88" s="4" t="s">
        <v>6</v>
      </c>
      <c r="B88" s="4" t="s">
        <v>83</v>
      </c>
      <c r="C88" s="4" t="s">
        <v>57</v>
      </c>
      <c r="D88" s="17"/>
      <c r="E88" s="4" t="s">
        <v>9</v>
      </c>
      <c r="F88" s="17">
        <v>575</v>
      </c>
      <c r="G88" s="6">
        <v>34</v>
      </c>
      <c r="H88" s="6">
        <v>180</v>
      </c>
      <c r="I88" s="4"/>
      <c r="J88" s="4"/>
      <c r="K88" s="4" t="s">
        <v>116</v>
      </c>
    </row>
    <row r="89" spans="1:11">
      <c r="A89" s="4" t="s">
        <v>6</v>
      </c>
      <c r="B89" s="4" t="s">
        <v>83</v>
      </c>
      <c r="C89" s="4" t="s">
        <v>57</v>
      </c>
      <c r="D89" s="17"/>
      <c r="E89" s="4" t="s">
        <v>9</v>
      </c>
      <c r="F89" s="17">
        <v>195</v>
      </c>
      <c r="G89" s="6">
        <v>20</v>
      </c>
      <c r="H89" s="6">
        <v>180</v>
      </c>
      <c r="I89" s="4"/>
      <c r="J89" s="4"/>
      <c r="K89" s="4"/>
    </row>
    <row r="90" spans="1:11">
      <c r="A90" s="4" t="s">
        <v>27</v>
      </c>
      <c r="B90" s="4" t="s">
        <v>88</v>
      </c>
      <c r="C90" s="4" t="s">
        <v>57</v>
      </c>
      <c r="D90" s="17">
        <v>26</v>
      </c>
      <c r="E90" s="4" t="s">
        <v>33</v>
      </c>
      <c r="F90" s="17"/>
      <c r="G90" s="6">
        <v>595</v>
      </c>
      <c r="H90" s="6">
        <v>180</v>
      </c>
      <c r="I90" s="4"/>
      <c r="J90" s="4"/>
      <c r="K90" s="4"/>
    </row>
    <row r="91" spans="1:11">
      <c r="A91" s="27" t="s">
        <v>21</v>
      </c>
      <c r="B91" s="27" t="s">
        <v>106</v>
      </c>
      <c r="C91" s="27" t="s">
        <v>61</v>
      </c>
      <c r="D91" s="27">
        <v>5</v>
      </c>
      <c r="E91" s="27" t="s">
        <v>22</v>
      </c>
      <c r="F91" s="17"/>
      <c r="G91" s="6">
        <v>195</v>
      </c>
      <c r="H91" s="6">
        <v>120</v>
      </c>
      <c r="I91" s="4"/>
      <c r="J91" s="4"/>
      <c r="K91" s="27"/>
    </row>
    <row r="92" spans="1:11">
      <c r="A92" s="27" t="s">
        <v>6</v>
      </c>
      <c r="B92" s="27" t="s">
        <v>117</v>
      </c>
      <c r="C92" s="27" t="s">
        <v>61</v>
      </c>
      <c r="D92" s="27"/>
      <c r="E92" s="4" t="s">
        <v>10</v>
      </c>
      <c r="F92" s="17"/>
      <c r="G92" s="6">
        <v>150</v>
      </c>
      <c r="H92" s="6">
        <v>120</v>
      </c>
      <c r="I92" s="4"/>
      <c r="J92" s="4"/>
      <c r="K92" s="27"/>
    </row>
    <row r="93" spans="1:11">
      <c r="A93" s="27" t="s">
        <v>40</v>
      </c>
      <c r="B93" s="27" t="s">
        <v>40</v>
      </c>
      <c r="C93" s="27" t="s">
        <v>80</v>
      </c>
      <c r="D93" s="27">
        <v>1</v>
      </c>
      <c r="E93" s="4" t="s">
        <v>33</v>
      </c>
      <c r="F93" s="17"/>
      <c r="G93" s="6">
        <v>60</v>
      </c>
      <c r="H93" s="6">
        <v>180</v>
      </c>
      <c r="I93" s="4"/>
      <c r="J93" s="4"/>
      <c r="K93" s="27"/>
    </row>
    <row r="94" spans="1:11">
      <c r="A94" s="27" t="s">
        <v>34</v>
      </c>
      <c r="B94" s="27" t="s">
        <v>118</v>
      </c>
      <c r="C94" s="27" t="s">
        <v>80</v>
      </c>
      <c r="D94" s="27"/>
      <c r="E94" s="27" t="s">
        <v>35</v>
      </c>
      <c r="F94" s="17"/>
      <c r="G94" s="6">
        <v>30</v>
      </c>
      <c r="H94" s="6">
        <v>30</v>
      </c>
      <c r="I94" s="4"/>
      <c r="J94" s="4"/>
      <c r="K94" s="27"/>
    </row>
    <row r="95" spans="1:11">
      <c r="A95" s="27" t="s">
        <v>27</v>
      </c>
      <c r="B95" s="27" t="s">
        <v>35</v>
      </c>
      <c r="C95" s="27" t="s">
        <v>80</v>
      </c>
      <c r="D95" s="17"/>
      <c r="E95" s="27" t="s">
        <v>15</v>
      </c>
      <c r="F95" s="17"/>
      <c r="G95" s="6">
        <v>210</v>
      </c>
      <c r="H95" s="6">
        <v>15</v>
      </c>
      <c r="I95" s="4"/>
      <c r="J95" s="4"/>
      <c r="K95" s="27"/>
    </row>
    <row r="96" spans="1:11">
      <c r="A96" s="27" t="s">
        <v>39</v>
      </c>
      <c r="B96" s="27" t="s">
        <v>119</v>
      </c>
      <c r="C96" s="27" t="s">
        <v>80</v>
      </c>
      <c r="D96" s="27"/>
      <c r="E96" s="27" t="s">
        <v>3</v>
      </c>
      <c r="F96" s="17"/>
      <c r="G96" s="6">
        <v>30</v>
      </c>
      <c r="H96" s="6">
        <v>180</v>
      </c>
      <c r="I96" s="4"/>
      <c r="J96" s="4"/>
      <c r="K96" s="27"/>
    </row>
    <row r="97" spans="1:11">
      <c r="A97" s="27" t="s">
        <v>27</v>
      </c>
      <c r="B97" s="27" t="s">
        <v>120</v>
      </c>
      <c r="C97" s="27" t="s">
        <v>80</v>
      </c>
      <c r="D97" s="17">
        <v>30</v>
      </c>
      <c r="E97" s="27" t="s">
        <v>5</v>
      </c>
      <c r="F97" s="17">
        <v>133</v>
      </c>
      <c r="G97" s="6">
        <v>90</v>
      </c>
      <c r="H97" s="6">
        <v>60</v>
      </c>
      <c r="I97" s="4"/>
      <c r="J97" s="4"/>
      <c r="K97" s="27"/>
    </row>
    <row r="98" spans="1:11">
      <c r="A98" s="27" t="s">
        <v>20</v>
      </c>
      <c r="B98" s="27" t="s">
        <v>15</v>
      </c>
      <c r="C98" s="27" t="s">
        <v>80</v>
      </c>
      <c r="D98" s="27"/>
      <c r="E98" s="27" t="s">
        <v>15</v>
      </c>
      <c r="F98" s="17"/>
      <c r="G98" s="6">
        <v>40</v>
      </c>
      <c r="H98" s="6">
        <v>15</v>
      </c>
      <c r="I98" s="4"/>
      <c r="J98" s="4"/>
      <c r="K98" s="27"/>
    </row>
    <row r="99" spans="1:11">
      <c r="A99" s="27" t="s">
        <v>27</v>
      </c>
      <c r="B99" s="27" t="s">
        <v>120</v>
      </c>
      <c r="C99" s="27" t="s">
        <v>80</v>
      </c>
      <c r="D99" s="17">
        <v>30</v>
      </c>
      <c r="E99" s="27" t="s">
        <v>5</v>
      </c>
      <c r="F99" s="17">
        <v>187</v>
      </c>
      <c r="G99" s="6">
        <v>30</v>
      </c>
      <c r="H99" s="6">
        <v>60</v>
      </c>
      <c r="I99" s="4"/>
      <c r="J99" s="4"/>
      <c r="K99" s="27"/>
    </row>
    <row r="100" spans="1:11">
      <c r="A100" s="27" t="s">
        <v>21</v>
      </c>
      <c r="B100" s="27" t="s">
        <v>106</v>
      </c>
      <c r="C100" s="27" t="s">
        <v>80</v>
      </c>
      <c r="D100" s="27"/>
      <c r="E100" s="4" t="s">
        <v>9</v>
      </c>
      <c r="F100" s="17">
        <v>140</v>
      </c>
      <c r="G100" s="6">
        <v>25</v>
      </c>
      <c r="H100" s="6">
        <v>180</v>
      </c>
      <c r="I100" s="4"/>
      <c r="J100" s="4"/>
      <c r="K100" s="27"/>
    </row>
    <row r="101" spans="1:11">
      <c r="A101" s="27" t="s">
        <v>13</v>
      </c>
      <c r="B101" s="27" t="s">
        <v>121</v>
      </c>
      <c r="C101" s="27" t="s">
        <v>80</v>
      </c>
      <c r="D101" s="27"/>
      <c r="E101" s="4" t="s">
        <v>9</v>
      </c>
      <c r="F101" s="17">
        <v>38</v>
      </c>
      <c r="G101" s="6">
        <v>5</v>
      </c>
      <c r="H101" s="6">
        <v>180</v>
      </c>
      <c r="I101" s="4"/>
      <c r="J101" s="4"/>
      <c r="K101" s="27"/>
    </row>
    <row r="102" spans="1:11">
      <c r="A102" s="27" t="s">
        <v>13</v>
      </c>
      <c r="B102" s="27" t="s">
        <v>122</v>
      </c>
      <c r="C102" s="27" t="s">
        <v>80</v>
      </c>
      <c r="D102" s="27"/>
      <c r="E102" s="27" t="s">
        <v>5</v>
      </c>
      <c r="F102" s="17">
        <v>6</v>
      </c>
      <c r="G102" s="6">
        <v>5</v>
      </c>
      <c r="H102" s="6">
        <v>60</v>
      </c>
      <c r="I102" s="4"/>
      <c r="J102" s="4"/>
      <c r="K102" s="27"/>
    </row>
    <row r="103" spans="1:11">
      <c r="A103" s="27" t="s">
        <v>21</v>
      </c>
      <c r="B103" s="27" t="s">
        <v>106</v>
      </c>
      <c r="C103" s="27" t="s">
        <v>80</v>
      </c>
      <c r="D103" s="27">
        <v>5</v>
      </c>
      <c r="E103" s="4" t="s">
        <v>9</v>
      </c>
      <c r="F103" s="17">
        <v>125</v>
      </c>
      <c r="G103" s="6">
        <v>30</v>
      </c>
      <c r="H103" s="6">
        <v>180</v>
      </c>
      <c r="I103" s="4"/>
      <c r="J103" s="4"/>
      <c r="K103" s="27"/>
    </row>
    <row r="104" spans="1:11">
      <c r="A104" s="27" t="s">
        <v>13</v>
      </c>
      <c r="B104" s="27" t="s">
        <v>122</v>
      </c>
      <c r="C104" s="27" t="s">
        <v>80</v>
      </c>
      <c r="D104" s="27"/>
      <c r="E104" s="27" t="s">
        <v>5</v>
      </c>
      <c r="F104" s="17">
        <v>30</v>
      </c>
      <c r="G104" s="6">
        <v>10</v>
      </c>
      <c r="H104" s="6">
        <v>60</v>
      </c>
      <c r="I104" s="4"/>
      <c r="J104" s="4"/>
      <c r="K104" s="27"/>
    </row>
    <row r="105" spans="1:11">
      <c r="A105" s="27" t="s">
        <v>13</v>
      </c>
      <c r="B105" s="27" t="s">
        <v>123</v>
      </c>
      <c r="C105" s="27" t="s">
        <v>80</v>
      </c>
      <c r="D105" s="27"/>
      <c r="E105" s="27" t="s">
        <v>5</v>
      </c>
      <c r="F105" s="17">
        <v>5</v>
      </c>
      <c r="G105" s="6">
        <v>5</v>
      </c>
      <c r="H105" s="6">
        <v>60</v>
      </c>
      <c r="I105" s="4"/>
      <c r="J105" s="4"/>
      <c r="K105" s="27"/>
    </row>
    <row r="106" spans="1:11">
      <c r="A106" s="27" t="s">
        <v>27</v>
      </c>
      <c r="B106" s="27" t="s">
        <v>120</v>
      </c>
      <c r="C106" s="27" t="s">
        <v>57</v>
      </c>
      <c r="D106" s="17">
        <v>28</v>
      </c>
      <c r="E106" s="4" t="s">
        <v>33</v>
      </c>
      <c r="F106" s="17"/>
      <c r="G106" s="6">
        <v>830</v>
      </c>
      <c r="H106" s="6">
        <v>180</v>
      </c>
      <c r="I106" s="4"/>
      <c r="J106" s="4"/>
      <c r="K106" s="27" t="s">
        <v>124</v>
      </c>
    </row>
    <row r="107" spans="1:11">
      <c r="A107" s="27" t="s">
        <v>6</v>
      </c>
      <c r="B107" s="27" t="s">
        <v>83</v>
      </c>
      <c r="C107" s="27" t="s">
        <v>57</v>
      </c>
      <c r="D107" s="17"/>
      <c r="E107" s="4" t="s">
        <v>10</v>
      </c>
      <c r="F107" s="17"/>
      <c r="G107" s="6">
        <v>99.999999999999986</v>
      </c>
      <c r="H107" s="6">
        <v>120</v>
      </c>
      <c r="I107" s="4"/>
      <c r="J107" s="4"/>
      <c r="K107" s="27" t="s">
        <v>125</v>
      </c>
    </row>
    <row r="108" spans="1:11">
      <c r="A108" s="27" t="s">
        <v>21</v>
      </c>
      <c r="B108" s="27" t="s">
        <v>106</v>
      </c>
      <c r="C108" s="27" t="s">
        <v>78</v>
      </c>
      <c r="D108" s="27">
        <v>4</v>
      </c>
      <c r="E108" s="4" t="s">
        <v>23</v>
      </c>
      <c r="F108" s="17"/>
      <c r="G108" s="6">
        <v>75</v>
      </c>
      <c r="H108" s="6">
        <v>60</v>
      </c>
      <c r="I108" s="4"/>
      <c r="J108" s="4"/>
      <c r="K108" s="27" t="s">
        <v>126</v>
      </c>
    </row>
    <row r="109" spans="1:11">
      <c r="A109" s="27" t="s">
        <v>21</v>
      </c>
      <c r="B109" s="27" t="s">
        <v>106</v>
      </c>
      <c r="C109" s="27" t="s">
        <v>78</v>
      </c>
      <c r="D109" s="27">
        <v>5</v>
      </c>
      <c r="E109" s="27" t="s">
        <v>4</v>
      </c>
      <c r="F109" s="17"/>
      <c r="G109" s="6">
        <v>165</v>
      </c>
      <c r="H109" s="6">
        <v>120</v>
      </c>
      <c r="I109" s="4"/>
      <c r="J109" s="4"/>
      <c r="K109" s="27"/>
    </row>
    <row r="110" spans="1:11">
      <c r="A110" s="27" t="s">
        <v>39</v>
      </c>
      <c r="B110" s="27" t="s">
        <v>119</v>
      </c>
      <c r="C110" s="27" t="s">
        <v>80</v>
      </c>
      <c r="D110" s="27"/>
      <c r="E110" s="27" t="s">
        <v>3</v>
      </c>
      <c r="F110" s="17"/>
      <c r="G110" s="6">
        <v>30</v>
      </c>
      <c r="H110" s="6">
        <v>15</v>
      </c>
      <c r="I110" s="4"/>
      <c r="J110" s="4"/>
      <c r="K110" s="27"/>
    </row>
    <row r="111" spans="1:11">
      <c r="A111" s="27" t="s">
        <v>27</v>
      </c>
      <c r="B111" s="27" t="s">
        <v>120</v>
      </c>
      <c r="C111" s="27" t="s">
        <v>80</v>
      </c>
      <c r="D111" s="17">
        <v>30</v>
      </c>
      <c r="E111" s="27" t="s">
        <v>5</v>
      </c>
      <c r="F111" s="17"/>
      <c r="G111" s="6">
        <v>80</v>
      </c>
      <c r="H111" s="6">
        <v>60</v>
      </c>
      <c r="I111" s="4"/>
      <c r="J111" s="4"/>
      <c r="K111" s="27"/>
    </row>
    <row r="112" spans="1:11">
      <c r="A112" s="27" t="s">
        <v>18</v>
      </c>
      <c r="B112" s="27" t="s">
        <v>127</v>
      </c>
      <c r="C112" s="27" t="s">
        <v>80</v>
      </c>
      <c r="D112" s="27"/>
      <c r="E112" s="27" t="s">
        <v>15</v>
      </c>
      <c r="F112" s="17"/>
      <c r="G112" s="6">
        <v>90</v>
      </c>
      <c r="H112" s="6">
        <v>15</v>
      </c>
      <c r="I112" s="4"/>
      <c r="J112" s="4"/>
      <c r="K112" s="27"/>
    </row>
    <row r="113" spans="1:11">
      <c r="A113" s="27" t="s">
        <v>27</v>
      </c>
      <c r="B113" s="27" t="s">
        <v>120</v>
      </c>
      <c r="C113" s="27" t="s">
        <v>80</v>
      </c>
      <c r="D113" s="17">
        <v>30</v>
      </c>
      <c r="E113" s="27" t="s">
        <v>5</v>
      </c>
      <c r="F113" s="17">
        <v>1759</v>
      </c>
      <c r="G113" s="6">
        <v>120</v>
      </c>
      <c r="H113" s="6">
        <v>60</v>
      </c>
      <c r="I113" s="4"/>
      <c r="J113" s="4"/>
      <c r="K113" s="27"/>
    </row>
    <row r="114" spans="1:11">
      <c r="A114" s="27" t="s">
        <v>27</v>
      </c>
      <c r="B114" s="27" t="s">
        <v>120</v>
      </c>
      <c r="C114" s="27" t="s">
        <v>80</v>
      </c>
      <c r="D114" s="17">
        <v>26</v>
      </c>
      <c r="E114" s="27" t="s">
        <v>5</v>
      </c>
      <c r="F114" s="17"/>
      <c r="G114" s="6">
        <v>55</v>
      </c>
      <c r="H114" s="6">
        <v>60</v>
      </c>
      <c r="I114" s="4"/>
      <c r="J114" s="4"/>
      <c r="K114" s="27"/>
    </row>
    <row r="115" spans="1:11">
      <c r="A115" s="27" t="s">
        <v>27</v>
      </c>
      <c r="B115" s="27" t="s">
        <v>120</v>
      </c>
      <c r="C115" s="27" t="s">
        <v>80</v>
      </c>
      <c r="D115" s="17">
        <v>26</v>
      </c>
      <c r="E115" s="27" t="s">
        <v>5</v>
      </c>
      <c r="F115" s="17"/>
      <c r="G115" s="6">
        <v>95.000000000000014</v>
      </c>
      <c r="H115" s="6">
        <v>60</v>
      </c>
      <c r="I115" s="4"/>
      <c r="J115" s="4"/>
      <c r="K115" s="27"/>
    </row>
    <row r="116" spans="1:11">
      <c r="A116" s="27" t="s">
        <v>21</v>
      </c>
      <c r="B116" s="27" t="s">
        <v>106</v>
      </c>
      <c r="C116" s="27" t="s">
        <v>98</v>
      </c>
      <c r="D116" s="17">
        <v>3</v>
      </c>
      <c r="E116" s="4" t="s">
        <v>23</v>
      </c>
      <c r="F116" s="17"/>
      <c r="G116" s="6">
        <v>105</v>
      </c>
      <c r="H116" s="6">
        <v>60</v>
      </c>
      <c r="I116" s="4"/>
      <c r="J116" s="4"/>
      <c r="K116" s="27"/>
    </row>
    <row r="117" spans="1:11">
      <c r="A117" s="27" t="s">
        <v>21</v>
      </c>
      <c r="B117" s="27" t="s">
        <v>106</v>
      </c>
      <c r="C117" s="27" t="s">
        <v>98</v>
      </c>
      <c r="D117" s="17">
        <v>5</v>
      </c>
      <c r="E117" s="4" t="s">
        <v>23</v>
      </c>
      <c r="F117" s="17"/>
      <c r="G117" s="6">
        <v>130</v>
      </c>
      <c r="H117" s="6">
        <v>60</v>
      </c>
      <c r="I117" s="4"/>
      <c r="J117" s="4"/>
      <c r="K117" s="27"/>
    </row>
    <row r="118" spans="1:11">
      <c r="A118" s="27" t="s">
        <v>42</v>
      </c>
      <c r="B118" s="27" t="s">
        <v>73</v>
      </c>
      <c r="C118" s="27" t="s">
        <v>98</v>
      </c>
      <c r="D118" s="17"/>
      <c r="E118" s="27" t="s">
        <v>4</v>
      </c>
      <c r="F118" s="17"/>
      <c r="G118" s="6">
        <v>95.000000000000014</v>
      </c>
      <c r="H118" s="6">
        <v>120</v>
      </c>
      <c r="I118" s="4"/>
      <c r="J118" s="4"/>
      <c r="K118" s="27"/>
    </row>
    <row r="119" spans="1:11">
      <c r="A119" s="27" t="s">
        <v>2</v>
      </c>
      <c r="B119" s="27" t="s">
        <v>128</v>
      </c>
      <c r="C119" s="27" t="s">
        <v>98</v>
      </c>
      <c r="D119" s="17" t="s">
        <v>129</v>
      </c>
      <c r="E119" s="27" t="s">
        <v>3</v>
      </c>
      <c r="F119" s="17"/>
      <c r="G119" s="6">
        <v>125.00000000000001</v>
      </c>
      <c r="H119" s="6">
        <v>180</v>
      </c>
      <c r="I119" s="4"/>
      <c r="J119" s="4"/>
      <c r="K119" s="27"/>
    </row>
    <row r="120" spans="1:11">
      <c r="A120" s="27" t="s">
        <v>6</v>
      </c>
      <c r="B120" s="27" t="s">
        <v>130</v>
      </c>
      <c r="C120" s="27" t="s">
        <v>61</v>
      </c>
      <c r="D120" s="27"/>
      <c r="E120" s="27" t="s">
        <v>11</v>
      </c>
      <c r="F120" s="17"/>
      <c r="G120" s="6">
        <v>180</v>
      </c>
      <c r="H120" s="6">
        <v>120</v>
      </c>
      <c r="I120" s="4"/>
      <c r="J120" s="4"/>
      <c r="K120" s="27"/>
    </row>
    <row r="121" spans="1:11">
      <c r="A121" s="27" t="s">
        <v>6</v>
      </c>
      <c r="B121" s="27" t="s">
        <v>83</v>
      </c>
      <c r="C121" s="27" t="s">
        <v>57</v>
      </c>
      <c r="D121" s="17"/>
      <c r="E121" s="4" t="s">
        <v>9</v>
      </c>
      <c r="F121" s="17">
        <v>205</v>
      </c>
      <c r="G121" s="6">
        <v>30</v>
      </c>
      <c r="H121" s="6">
        <v>180</v>
      </c>
      <c r="I121" s="4"/>
      <c r="J121" s="4"/>
      <c r="K121" s="27" t="s">
        <v>131</v>
      </c>
    </row>
    <row r="122" spans="1:11">
      <c r="A122" s="4" t="s">
        <v>27</v>
      </c>
      <c r="B122" s="4" t="s">
        <v>120</v>
      </c>
      <c r="C122" s="4" t="s">
        <v>80</v>
      </c>
      <c r="D122" s="17">
        <v>32</v>
      </c>
      <c r="E122" s="4" t="s">
        <v>5</v>
      </c>
      <c r="F122" s="17"/>
      <c r="G122" s="6">
        <v>120</v>
      </c>
      <c r="H122" s="6">
        <v>60</v>
      </c>
      <c r="I122" s="4"/>
      <c r="J122" s="4"/>
      <c r="K122" s="27" t="s">
        <v>132</v>
      </c>
    </row>
    <row r="123" spans="1:11">
      <c r="A123" s="4" t="s">
        <v>25</v>
      </c>
      <c r="B123" s="4" t="s">
        <v>21</v>
      </c>
      <c r="C123" s="4" t="s">
        <v>80</v>
      </c>
      <c r="D123" s="4"/>
      <c r="E123" s="4" t="s">
        <v>15</v>
      </c>
      <c r="F123" s="17"/>
      <c r="G123" s="6">
        <v>75</v>
      </c>
      <c r="H123" s="6">
        <v>15</v>
      </c>
      <c r="I123" s="4"/>
      <c r="J123" s="4"/>
      <c r="K123" s="4"/>
    </row>
    <row r="124" spans="1:11">
      <c r="A124" s="4" t="s">
        <v>26</v>
      </c>
      <c r="B124" s="4" t="s">
        <v>133</v>
      </c>
      <c r="C124" s="4" t="s">
        <v>80</v>
      </c>
      <c r="D124" s="4"/>
      <c r="E124" s="4" t="s">
        <v>15</v>
      </c>
      <c r="F124" s="17"/>
      <c r="G124" s="6">
        <v>75</v>
      </c>
      <c r="H124" s="6">
        <v>15</v>
      </c>
      <c r="I124" s="4"/>
      <c r="J124" s="4"/>
      <c r="K124" s="4"/>
    </row>
    <row r="125" spans="1:11">
      <c r="A125" s="4" t="s">
        <v>39</v>
      </c>
      <c r="B125" s="4" t="s">
        <v>119</v>
      </c>
      <c r="C125" s="4" t="s">
        <v>80</v>
      </c>
      <c r="D125" s="4"/>
      <c r="E125" s="4" t="s">
        <v>3</v>
      </c>
      <c r="F125" s="17"/>
      <c r="G125" s="6">
        <v>30</v>
      </c>
      <c r="H125" s="6">
        <v>180</v>
      </c>
      <c r="I125" s="4"/>
      <c r="J125" s="4"/>
      <c r="K125" s="4"/>
    </row>
    <row r="126" spans="1:11">
      <c r="A126" s="4"/>
      <c r="B126" s="4" t="s">
        <v>134</v>
      </c>
      <c r="C126" s="4" t="s">
        <v>80</v>
      </c>
      <c r="D126" s="4"/>
      <c r="E126" s="4" t="s">
        <v>35</v>
      </c>
      <c r="F126" s="17"/>
      <c r="G126" s="6">
        <v>20</v>
      </c>
      <c r="H126" s="6">
        <v>30</v>
      </c>
      <c r="I126" s="4"/>
      <c r="J126" s="4"/>
      <c r="K126" s="4"/>
    </row>
    <row r="127" spans="1:11">
      <c r="A127" s="4" t="s">
        <v>27</v>
      </c>
      <c r="B127" s="4" t="s">
        <v>120</v>
      </c>
      <c r="C127" s="4" t="s">
        <v>80</v>
      </c>
      <c r="D127" s="17">
        <v>32</v>
      </c>
      <c r="E127" s="4" t="s">
        <v>5</v>
      </c>
      <c r="F127" s="17">
        <v>2195</v>
      </c>
      <c r="G127" s="6">
        <v>120</v>
      </c>
      <c r="H127" s="6">
        <v>60</v>
      </c>
      <c r="I127" s="4"/>
      <c r="J127" s="4"/>
      <c r="K127" s="4"/>
    </row>
    <row r="128" spans="1:11">
      <c r="A128" s="4" t="s">
        <v>2</v>
      </c>
      <c r="B128" s="4" t="s">
        <v>135</v>
      </c>
      <c r="C128" s="4" t="s">
        <v>80</v>
      </c>
      <c r="D128" s="4">
        <v>303</v>
      </c>
      <c r="E128" s="4" t="s">
        <v>5</v>
      </c>
      <c r="F128" s="17"/>
      <c r="G128" s="6">
        <v>40</v>
      </c>
      <c r="H128" s="6">
        <v>60</v>
      </c>
      <c r="I128" s="4"/>
      <c r="J128" s="4"/>
      <c r="K128" s="4"/>
    </row>
    <row r="129" spans="1:11">
      <c r="A129" s="4" t="s">
        <v>2</v>
      </c>
      <c r="B129" s="4" t="s">
        <v>135</v>
      </c>
      <c r="C129" s="4" t="s">
        <v>80</v>
      </c>
      <c r="D129" s="4">
        <v>303</v>
      </c>
      <c r="E129" s="4" t="s">
        <v>5</v>
      </c>
      <c r="F129" s="17">
        <v>843</v>
      </c>
      <c r="G129" s="6">
        <v>45</v>
      </c>
      <c r="H129" s="6">
        <v>60</v>
      </c>
      <c r="I129" s="4"/>
      <c r="J129" s="4"/>
      <c r="K129" s="4"/>
    </row>
    <row r="130" spans="1:11">
      <c r="A130" s="4" t="s">
        <v>13</v>
      </c>
      <c r="B130" s="4" t="s">
        <v>136</v>
      </c>
      <c r="C130" s="4" t="s">
        <v>61</v>
      </c>
      <c r="D130" s="4"/>
      <c r="E130" s="39" t="s">
        <v>14</v>
      </c>
      <c r="F130" s="17"/>
      <c r="G130" s="6">
        <v>135</v>
      </c>
      <c r="H130" s="6"/>
      <c r="I130" s="4"/>
      <c r="J130" s="4"/>
      <c r="K130" s="4"/>
    </row>
    <row r="131" spans="1:11">
      <c r="A131" s="4" t="s">
        <v>13</v>
      </c>
      <c r="B131" s="4" t="s">
        <v>136</v>
      </c>
      <c r="C131" s="4" t="s">
        <v>61</v>
      </c>
      <c r="D131" s="4"/>
      <c r="E131" s="39" t="s">
        <v>14</v>
      </c>
      <c r="F131" s="17"/>
      <c r="G131" s="6">
        <v>60</v>
      </c>
      <c r="H131" s="6"/>
      <c r="I131" s="4"/>
      <c r="J131" s="4"/>
      <c r="K131" s="4"/>
    </row>
    <row r="132" spans="1:11">
      <c r="A132" s="4" t="s">
        <v>13</v>
      </c>
      <c r="B132" s="4" t="s">
        <v>136</v>
      </c>
      <c r="C132" s="4" t="s">
        <v>61</v>
      </c>
      <c r="D132" s="4"/>
      <c r="E132" s="39" t="s">
        <v>14</v>
      </c>
      <c r="F132" s="17">
        <v>127</v>
      </c>
      <c r="G132" s="6">
        <v>120</v>
      </c>
      <c r="H132" s="6"/>
      <c r="I132" s="4"/>
      <c r="J132" s="4"/>
      <c r="K132" s="4"/>
    </row>
    <row r="133" spans="1:11">
      <c r="A133" s="27" t="s">
        <v>27</v>
      </c>
      <c r="B133" s="27" t="s">
        <v>120</v>
      </c>
      <c r="C133" s="27" t="s">
        <v>74</v>
      </c>
      <c r="D133" s="17">
        <v>31</v>
      </c>
      <c r="E133" s="27" t="s">
        <v>30</v>
      </c>
      <c r="F133" s="41">
        <v>0.96</v>
      </c>
      <c r="G133" s="6">
        <v>293</v>
      </c>
      <c r="H133" s="6">
        <v>180</v>
      </c>
      <c r="I133" s="4"/>
      <c r="J133" s="4"/>
      <c r="K133" s="4"/>
    </row>
    <row r="134" spans="1:11">
      <c r="A134" s="27" t="s">
        <v>27</v>
      </c>
      <c r="B134" s="27" t="s">
        <v>120</v>
      </c>
      <c r="C134" s="27" t="s">
        <v>80</v>
      </c>
      <c r="D134" s="17">
        <v>33</v>
      </c>
      <c r="E134" s="27" t="s">
        <v>5</v>
      </c>
      <c r="F134" s="17">
        <v>841</v>
      </c>
      <c r="G134" s="6">
        <v>105</v>
      </c>
      <c r="H134" s="6">
        <v>60</v>
      </c>
      <c r="I134" s="4"/>
      <c r="J134" s="4"/>
      <c r="K134" s="27"/>
    </row>
    <row r="135" spans="1:11">
      <c r="A135" s="27" t="s">
        <v>24</v>
      </c>
      <c r="B135" s="27" t="s">
        <v>137</v>
      </c>
      <c r="C135" s="27" t="s">
        <v>80</v>
      </c>
      <c r="D135" s="27"/>
      <c r="E135" s="27" t="s">
        <v>15</v>
      </c>
      <c r="F135" s="17"/>
      <c r="G135" s="6">
        <v>30</v>
      </c>
      <c r="H135" s="6">
        <v>15</v>
      </c>
      <c r="I135" s="4"/>
      <c r="J135" s="4"/>
      <c r="K135" s="27" t="s">
        <v>138</v>
      </c>
    </row>
    <row r="136" spans="1:11">
      <c r="A136" s="27" t="s">
        <v>27</v>
      </c>
      <c r="B136" s="27" t="s">
        <v>120</v>
      </c>
      <c r="C136" s="27" t="s">
        <v>80</v>
      </c>
      <c r="D136" s="17">
        <v>33</v>
      </c>
      <c r="E136" s="27" t="s">
        <v>5</v>
      </c>
      <c r="F136" s="17"/>
      <c r="G136" s="6">
        <v>65</v>
      </c>
      <c r="H136" s="6">
        <v>60</v>
      </c>
      <c r="I136" s="4"/>
      <c r="J136" s="4"/>
      <c r="K136" s="27"/>
    </row>
    <row r="137" spans="1:11">
      <c r="A137" s="27" t="s">
        <v>36</v>
      </c>
      <c r="B137" s="27"/>
      <c r="C137" s="27" t="s">
        <v>80</v>
      </c>
      <c r="D137" s="27"/>
      <c r="E137" s="27" t="s">
        <v>35</v>
      </c>
      <c r="F137" s="17"/>
      <c r="G137" s="6">
        <v>20</v>
      </c>
      <c r="H137" s="6">
        <v>30</v>
      </c>
      <c r="I137" s="4"/>
      <c r="J137" s="4"/>
      <c r="K137" s="27"/>
    </row>
    <row r="138" spans="1:11">
      <c r="A138" s="27" t="s">
        <v>27</v>
      </c>
      <c r="B138" s="27" t="s">
        <v>120</v>
      </c>
      <c r="C138" s="27" t="s">
        <v>80</v>
      </c>
      <c r="D138" s="17">
        <v>33</v>
      </c>
      <c r="E138" s="27" t="s">
        <v>5</v>
      </c>
      <c r="F138" s="17">
        <v>1747</v>
      </c>
      <c r="G138" s="6">
        <v>150</v>
      </c>
      <c r="H138" s="6">
        <v>60</v>
      </c>
      <c r="I138" s="4"/>
      <c r="J138" s="4"/>
      <c r="K138" s="27"/>
    </row>
    <row r="139" spans="1:11">
      <c r="A139" s="27" t="s">
        <v>27</v>
      </c>
      <c r="B139" s="27" t="s">
        <v>120</v>
      </c>
      <c r="C139" s="27" t="s">
        <v>80</v>
      </c>
      <c r="D139" s="17">
        <v>34</v>
      </c>
      <c r="E139" s="27" t="s">
        <v>5</v>
      </c>
      <c r="F139" s="17">
        <v>1911</v>
      </c>
      <c r="G139" s="6">
        <v>110.00000000000001</v>
      </c>
      <c r="H139" s="6">
        <v>60</v>
      </c>
      <c r="I139" s="4"/>
      <c r="J139" s="4"/>
      <c r="K139" s="27"/>
    </row>
    <row r="140" spans="1:11">
      <c r="A140" s="27" t="s">
        <v>2</v>
      </c>
      <c r="B140" s="27" t="s">
        <v>139</v>
      </c>
      <c r="C140" s="27" t="s">
        <v>57</v>
      </c>
      <c r="D140" s="17">
        <v>177</v>
      </c>
      <c r="E140" s="27" t="s">
        <v>4</v>
      </c>
      <c r="F140" s="17"/>
      <c r="G140" s="6">
        <v>111</v>
      </c>
      <c r="H140" s="6">
        <v>120</v>
      </c>
      <c r="I140" s="4"/>
      <c r="J140" s="4"/>
      <c r="K140" s="27"/>
    </row>
    <row r="141" spans="1:11">
      <c r="A141" s="27" t="s">
        <v>2</v>
      </c>
      <c r="B141" s="27" t="s">
        <v>139</v>
      </c>
      <c r="C141" s="27" t="s">
        <v>78</v>
      </c>
      <c r="D141" s="27">
        <v>178</v>
      </c>
      <c r="E141" s="27" t="s">
        <v>3</v>
      </c>
      <c r="F141" s="17"/>
      <c r="G141" s="6">
        <v>255</v>
      </c>
      <c r="H141" s="6">
        <v>180</v>
      </c>
      <c r="I141" s="4"/>
      <c r="J141" s="4"/>
      <c r="K141" s="27"/>
    </row>
    <row r="142" spans="1:11">
      <c r="A142" s="27" t="s">
        <v>13</v>
      </c>
      <c r="B142" s="27" t="s">
        <v>14</v>
      </c>
      <c r="C142" s="27" t="s">
        <v>61</v>
      </c>
      <c r="D142" s="27"/>
      <c r="E142" s="27"/>
      <c r="F142" s="17"/>
      <c r="G142" s="6">
        <v>120</v>
      </c>
      <c r="H142" s="6"/>
      <c r="I142" s="4"/>
      <c r="J142" s="4"/>
      <c r="K142" s="27"/>
    </row>
    <row r="143" spans="1:11">
      <c r="A143" s="27" t="s">
        <v>13</v>
      </c>
      <c r="B143" s="27" t="s">
        <v>14</v>
      </c>
      <c r="C143" s="27" t="s">
        <v>61</v>
      </c>
      <c r="D143" s="27"/>
      <c r="E143" s="27"/>
      <c r="F143" s="17"/>
      <c r="G143" s="6">
        <v>30</v>
      </c>
      <c r="H143" s="6"/>
      <c r="I143" s="4"/>
      <c r="J143" s="4"/>
      <c r="K143" s="27"/>
    </row>
    <row r="144" spans="1:11">
      <c r="A144" s="27" t="s">
        <v>13</v>
      </c>
      <c r="B144" s="27" t="s">
        <v>14</v>
      </c>
      <c r="C144" s="27" t="s">
        <v>61</v>
      </c>
      <c r="D144" s="27"/>
      <c r="E144" s="27"/>
      <c r="F144" s="17"/>
      <c r="G144" s="6">
        <v>45</v>
      </c>
      <c r="H144" s="6"/>
      <c r="I144" s="4"/>
      <c r="J144" s="4"/>
      <c r="K144" s="27"/>
    </row>
    <row r="145" spans="1:11">
      <c r="A145" s="27" t="s">
        <v>6</v>
      </c>
      <c r="B145" s="27" t="s">
        <v>8</v>
      </c>
      <c r="C145" s="27" t="s">
        <v>61</v>
      </c>
      <c r="D145" s="27"/>
      <c r="E145" s="27"/>
      <c r="F145" s="17"/>
      <c r="G145" s="6">
        <v>150</v>
      </c>
      <c r="H145" s="6">
        <v>240</v>
      </c>
      <c r="I145" s="4"/>
      <c r="J145" s="4"/>
      <c r="K145" s="27" t="s">
        <v>140</v>
      </c>
    </row>
  </sheetData>
  <autoFilter ref="A4:O145" xr:uid="{00000000-0009-0000-0000-000001000000}"/>
  <mergeCells count="2">
    <mergeCell ref="A1:H1"/>
    <mergeCell ref="A3:K3"/>
  </mergeCells>
  <conditionalFormatting sqref="G5:G145">
    <cfRule type="expression" dxfId="5" priority="1">
      <formula>$G5&lt;$H5</formula>
    </cfRule>
    <cfRule type="expression" dxfId="4" priority="3">
      <formula>$G5&gt;$H5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68"/>
  <sheetViews>
    <sheetView topLeftCell="A52" workbookViewId="0">
      <selection activeCell="B63" sqref="B63:B67"/>
    </sheetView>
  </sheetViews>
  <sheetFormatPr defaultRowHeight="15"/>
  <cols>
    <col min="1" max="1" width="14.140625" bestFit="1" customWidth="1"/>
    <col min="2" max="2" width="21.5703125" bestFit="1" customWidth="1"/>
  </cols>
  <sheetData>
    <row r="3" spans="1:2">
      <c r="A3" s="21" t="s">
        <v>0</v>
      </c>
      <c r="B3" t="s">
        <v>141</v>
      </c>
    </row>
    <row r="4" spans="1:2">
      <c r="A4" s="22">
        <v>45139</v>
      </c>
      <c r="B4">
        <v>2149</v>
      </c>
    </row>
    <row r="5" spans="1:2">
      <c r="A5" s="23" t="s">
        <v>74</v>
      </c>
      <c r="B5">
        <v>435</v>
      </c>
    </row>
    <row r="6" spans="1:2">
      <c r="A6" s="23" t="s">
        <v>57</v>
      </c>
      <c r="B6">
        <v>465</v>
      </c>
    </row>
    <row r="7" spans="1:2">
      <c r="A7" s="23" t="s">
        <v>78</v>
      </c>
      <c r="B7">
        <v>285</v>
      </c>
    </row>
    <row r="8" spans="1:2">
      <c r="A8" s="23" t="s">
        <v>68</v>
      </c>
      <c r="B8">
        <v>154</v>
      </c>
    </row>
    <row r="9" spans="1:2">
      <c r="A9" s="23" t="s">
        <v>80</v>
      </c>
      <c r="B9">
        <v>465</v>
      </c>
    </row>
    <row r="10" spans="1:2">
      <c r="A10" s="23" t="s">
        <v>61</v>
      </c>
      <c r="B10">
        <v>345</v>
      </c>
    </row>
    <row r="11" spans="1:2">
      <c r="A11" s="22">
        <v>45140</v>
      </c>
      <c r="B11">
        <v>2378</v>
      </c>
    </row>
    <row r="12" spans="1:2">
      <c r="A12" s="23" t="s">
        <v>74</v>
      </c>
      <c r="B12">
        <v>445</v>
      </c>
    </row>
    <row r="13" spans="1:2">
      <c r="A13" s="23" t="s">
        <v>82</v>
      </c>
      <c r="B13">
        <v>290</v>
      </c>
    </row>
    <row r="14" spans="1:2">
      <c r="A14" s="23" t="s">
        <v>57</v>
      </c>
      <c r="B14">
        <v>430</v>
      </c>
    </row>
    <row r="15" spans="1:2">
      <c r="A15" s="23" t="s">
        <v>85</v>
      </c>
      <c r="B15">
        <v>448</v>
      </c>
    </row>
    <row r="16" spans="1:2">
      <c r="A16" s="23" t="s">
        <v>80</v>
      </c>
      <c r="B16">
        <v>480</v>
      </c>
    </row>
    <row r="17" spans="1:2">
      <c r="A17" s="23" t="s">
        <v>61</v>
      </c>
      <c r="B17">
        <v>285</v>
      </c>
    </row>
    <row r="18" spans="1:2">
      <c r="A18" s="22">
        <v>45141</v>
      </c>
      <c r="B18">
        <v>2951</v>
      </c>
    </row>
    <row r="19" spans="1:2">
      <c r="A19" s="23" t="s">
        <v>74</v>
      </c>
      <c r="B19">
        <v>400</v>
      </c>
    </row>
    <row r="20" spans="1:2">
      <c r="A20" s="23" t="s">
        <v>57</v>
      </c>
      <c r="B20">
        <v>415</v>
      </c>
    </row>
    <row r="21" spans="1:2">
      <c r="A21" s="23" t="s">
        <v>85</v>
      </c>
      <c r="B21">
        <v>365</v>
      </c>
    </row>
    <row r="22" spans="1:2">
      <c r="A22" s="23" t="s">
        <v>78</v>
      </c>
      <c r="B22">
        <v>345</v>
      </c>
    </row>
    <row r="23" spans="1:2">
      <c r="A23" s="23" t="s">
        <v>68</v>
      </c>
      <c r="B23">
        <v>171</v>
      </c>
    </row>
    <row r="24" spans="1:2">
      <c r="A24" s="23" t="s">
        <v>98</v>
      </c>
      <c r="B24">
        <v>460</v>
      </c>
    </row>
    <row r="25" spans="1:2">
      <c r="A25" s="23" t="s">
        <v>80</v>
      </c>
      <c r="B25">
        <v>480</v>
      </c>
    </row>
    <row r="26" spans="1:2">
      <c r="A26" s="23" t="s">
        <v>61</v>
      </c>
      <c r="B26">
        <v>315</v>
      </c>
    </row>
    <row r="27" spans="1:2">
      <c r="A27" s="22">
        <v>45142</v>
      </c>
      <c r="B27">
        <v>2840</v>
      </c>
    </row>
    <row r="28" spans="1:2">
      <c r="A28" s="23" t="s">
        <v>74</v>
      </c>
      <c r="B28">
        <v>440</v>
      </c>
    </row>
    <row r="29" spans="1:2">
      <c r="A29" s="23" t="s">
        <v>57</v>
      </c>
      <c r="B29">
        <v>1170</v>
      </c>
    </row>
    <row r="30" spans="1:2">
      <c r="A30" s="23" t="s">
        <v>98</v>
      </c>
      <c r="B30">
        <v>465</v>
      </c>
    </row>
    <row r="31" spans="1:2">
      <c r="A31" s="23" t="s">
        <v>80</v>
      </c>
      <c r="B31">
        <v>480</v>
      </c>
    </row>
    <row r="32" spans="1:2">
      <c r="A32" s="23" t="s">
        <v>61</v>
      </c>
      <c r="B32">
        <v>285</v>
      </c>
    </row>
    <row r="33" spans="1:2">
      <c r="A33" s="22">
        <v>45145</v>
      </c>
      <c r="B33">
        <v>1640</v>
      </c>
    </row>
    <row r="34" spans="1:2">
      <c r="A34" s="23" t="s">
        <v>74</v>
      </c>
      <c r="B34">
        <v>445</v>
      </c>
    </row>
    <row r="35" spans="1:2">
      <c r="A35" s="23" t="s">
        <v>57</v>
      </c>
      <c r="B35">
        <v>450</v>
      </c>
    </row>
    <row r="36" spans="1:2">
      <c r="A36" s="23" t="s">
        <v>80</v>
      </c>
      <c r="B36">
        <v>480</v>
      </c>
    </row>
    <row r="37" spans="1:2">
      <c r="A37" s="23" t="s">
        <v>61</v>
      </c>
      <c r="B37">
        <v>265</v>
      </c>
    </row>
    <row r="38" spans="1:2">
      <c r="A38" s="22">
        <v>45146</v>
      </c>
      <c r="B38">
        <v>1510</v>
      </c>
    </row>
    <row r="39" spans="1:2">
      <c r="A39" s="23" t="s">
        <v>74</v>
      </c>
      <c r="B39">
        <v>445</v>
      </c>
    </row>
    <row r="40" spans="1:2">
      <c r="A40" s="23" t="s">
        <v>57</v>
      </c>
      <c r="B40">
        <v>465</v>
      </c>
    </row>
    <row r="41" spans="1:2">
      <c r="A41" s="23" t="s">
        <v>80</v>
      </c>
      <c r="B41">
        <v>600</v>
      </c>
    </row>
    <row r="42" spans="1:2">
      <c r="A42" s="22">
        <v>45147</v>
      </c>
      <c r="B42">
        <v>1953</v>
      </c>
    </row>
    <row r="43" spans="1:2">
      <c r="A43" s="23" t="s">
        <v>74</v>
      </c>
      <c r="B43">
        <v>448</v>
      </c>
    </row>
    <row r="44" spans="1:2">
      <c r="A44" s="23" t="s">
        <v>57</v>
      </c>
      <c r="B44">
        <v>430</v>
      </c>
    </row>
    <row r="45" spans="1:2">
      <c r="A45" s="23" t="s">
        <v>78</v>
      </c>
      <c r="B45">
        <v>285</v>
      </c>
    </row>
    <row r="46" spans="1:2">
      <c r="A46" s="23" t="s">
        <v>80</v>
      </c>
      <c r="B46">
        <v>505</v>
      </c>
    </row>
    <row r="47" spans="1:2">
      <c r="A47" s="23" t="s">
        <v>61</v>
      </c>
      <c r="B47">
        <v>285</v>
      </c>
    </row>
    <row r="48" spans="1:2">
      <c r="A48" s="22">
        <v>45148</v>
      </c>
      <c r="B48">
        <v>1635</v>
      </c>
    </row>
    <row r="49" spans="1:2">
      <c r="A49" s="23" t="s">
        <v>57</v>
      </c>
      <c r="B49">
        <v>480</v>
      </c>
    </row>
    <row r="50" spans="1:2">
      <c r="A50" s="23" t="s">
        <v>78</v>
      </c>
      <c r="B50">
        <v>240</v>
      </c>
    </row>
    <row r="51" spans="1:2">
      <c r="A51" s="23" t="s">
        <v>80</v>
      </c>
      <c r="B51">
        <v>570</v>
      </c>
    </row>
    <row r="52" spans="1:2">
      <c r="A52" s="23" t="s">
        <v>61</v>
      </c>
      <c r="B52">
        <v>345</v>
      </c>
    </row>
    <row r="53" spans="1:2">
      <c r="A53" s="22">
        <v>45149</v>
      </c>
      <c r="B53">
        <v>1550</v>
      </c>
    </row>
    <row r="54" spans="1:2">
      <c r="A54" s="23" t="s">
        <v>57</v>
      </c>
      <c r="B54">
        <v>445</v>
      </c>
    </row>
    <row r="55" spans="1:2">
      <c r="A55" s="23" t="s">
        <v>98</v>
      </c>
      <c r="B55">
        <v>455</v>
      </c>
    </row>
    <row r="56" spans="1:2">
      <c r="A56" s="23" t="s">
        <v>80</v>
      </c>
      <c r="B56">
        <v>470</v>
      </c>
    </row>
    <row r="57" spans="1:2">
      <c r="A57" s="23" t="s">
        <v>61</v>
      </c>
      <c r="B57">
        <v>180</v>
      </c>
    </row>
    <row r="58" spans="1:2">
      <c r="A58" s="22">
        <v>45152</v>
      </c>
      <c r="B58">
        <v>1290</v>
      </c>
    </row>
    <row r="59" spans="1:2">
      <c r="A59" s="23" t="s">
        <v>57</v>
      </c>
      <c r="B59">
        <v>450</v>
      </c>
    </row>
    <row r="60" spans="1:2">
      <c r="A60" s="23" t="s">
        <v>80</v>
      </c>
      <c r="B60">
        <v>525</v>
      </c>
    </row>
    <row r="61" spans="1:2">
      <c r="A61" s="23" t="s">
        <v>61</v>
      </c>
      <c r="B61">
        <v>315</v>
      </c>
    </row>
    <row r="62" spans="1:2">
      <c r="A62" s="22">
        <v>45153</v>
      </c>
      <c r="B62">
        <v>1761</v>
      </c>
    </row>
    <row r="63" spans="1:2">
      <c r="A63" s="23" t="s">
        <v>74</v>
      </c>
      <c r="B63">
        <v>450</v>
      </c>
    </row>
    <row r="64" spans="1:2">
      <c r="A64" s="23" t="s">
        <v>57</v>
      </c>
      <c r="B64">
        <v>231</v>
      </c>
    </row>
    <row r="65" spans="1:2">
      <c r="A65" s="23" t="s">
        <v>78</v>
      </c>
      <c r="B65">
        <v>255</v>
      </c>
    </row>
    <row r="66" spans="1:2">
      <c r="A66" s="23" t="s">
        <v>80</v>
      </c>
      <c r="B66">
        <v>480</v>
      </c>
    </row>
    <row r="67" spans="1:2">
      <c r="A67" s="23" t="s">
        <v>61</v>
      </c>
      <c r="B67">
        <v>345</v>
      </c>
    </row>
    <row r="68" spans="1:2">
      <c r="A68" s="22" t="s">
        <v>43</v>
      </c>
      <c r="B68">
        <v>21657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Q243"/>
  <sheetViews>
    <sheetView tabSelected="1" workbookViewId="0">
      <selection activeCell="H236" activeCellId="1" sqref="I237 H236"/>
    </sheetView>
  </sheetViews>
  <sheetFormatPr defaultRowHeight="15"/>
  <cols>
    <col min="1" max="1" width="11.42578125" bestFit="1" customWidth="1"/>
    <col min="2" max="2" width="14.7109375" bestFit="1" customWidth="1"/>
    <col min="3" max="3" width="26.5703125" bestFit="1" customWidth="1"/>
    <col min="4" max="4" width="18.140625" bestFit="1" customWidth="1"/>
    <col min="5" max="5" width="15.28515625" style="40" bestFit="1" customWidth="1"/>
    <col min="6" max="6" width="15.28515625" bestFit="1" customWidth="1"/>
    <col min="7" max="7" width="19.85546875" style="40" customWidth="1"/>
    <col min="8" max="8" width="22.85546875" customWidth="1"/>
    <col min="9" max="10" width="14.28515625" customWidth="1"/>
    <col min="11" max="11" width="16.28515625" bestFit="1" customWidth="1"/>
    <col min="12" max="12" width="34" bestFit="1" customWidth="1"/>
    <col min="13" max="13" width="26.7109375" bestFit="1" customWidth="1"/>
    <col min="14" max="15" width="16" bestFit="1" customWidth="1"/>
  </cols>
  <sheetData>
    <row r="1" spans="1:17">
      <c r="A1" s="50" t="s">
        <v>142</v>
      </c>
      <c r="B1" s="50"/>
      <c r="C1" s="50"/>
      <c r="D1" s="50"/>
      <c r="E1" s="51"/>
      <c r="F1" s="50"/>
      <c r="G1" s="51"/>
      <c r="H1" s="50"/>
      <c r="I1" s="50"/>
      <c r="J1" s="16"/>
    </row>
    <row r="2" spans="1:17">
      <c r="A2" s="4"/>
      <c r="B2" s="4"/>
      <c r="C2" s="4"/>
      <c r="D2" s="4"/>
      <c r="E2" s="17"/>
      <c r="F2" s="4"/>
      <c r="G2" s="17"/>
      <c r="H2" s="4"/>
      <c r="I2" s="4"/>
      <c r="J2" s="4"/>
      <c r="K2" s="4"/>
      <c r="L2" s="4"/>
      <c r="M2" s="4"/>
    </row>
    <row r="3" spans="1:17">
      <c r="A3" s="55" t="s">
        <v>143</v>
      </c>
      <c r="B3" s="52"/>
      <c r="C3" s="52"/>
      <c r="D3" s="52"/>
      <c r="E3" s="53"/>
      <c r="F3" s="52"/>
      <c r="G3" s="53"/>
      <c r="H3" s="52"/>
      <c r="I3" s="52"/>
      <c r="J3" s="52"/>
      <c r="K3" s="52"/>
      <c r="L3" s="52"/>
      <c r="M3" s="54"/>
      <c r="N3" s="3" t="s">
        <v>44</v>
      </c>
      <c r="O3" s="3" t="s">
        <v>45</v>
      </c>
      <c r="P3" s="3" t="s">
        <v>46</v>
      </c>
    </row>
    <row r="4" spans="1:17">
      <c r="A4" s="7" t="s">
        <v>144</v>
      </c>
      <c r="B4" s="7" t="s">
        <v>47</v>
      </c>
      <c r="C4" s="7" t="s">
        <v>48</v>
      </c>
      <c r="D4" s="7" t="s">
        <v>49</v>
      </c>
      <c r="E4" s="19" t="s">
        <v>50</v>
      </c>
      <c r="F4" s="7" t="s">
        <v>51</v>
      </c>
      <c r="G4" s="19" t="s">
        <v>52</v>
      </c>
      <c r="H4" s="7" t="s">
        <v>53</v>
      </c>
      <c r="I4" s="7" t="s">
        <v>44</v>
      </c>
      <c r="J4" s="7"/>
      <c r="K4" s="7" t="s">
        <v>54</v>
      </c>
      <c r="L4" s="7"/>
      <c r="M4" s="7"/>
      <c r="O4" t="s">
        <v>55</v>
      </c>
      <c r="P4">
        <v>3</v>
      </c>
      <c r="Q4">
        <f>P4*60</f>
        <v>180</v>
      </c>
    </row>
    <row r="5" spans="1:17" hidden="1">
      <c r="A5" s="5">
        <v>45139</v>
      </c>
      <c r="B5" s="4" t="s">
        <v>27</v>
      </c>
      <c r="C5" s="4" t="s">
        <v>56</v>
      </c>
      <c r="D5" s="4" t="s">
        <v>57</v>
      </c>
      <c r="E5" s="17" t="s">
        <v>58</v>
      </c>
      <c r="F5" s="4" t="s">
        <v>33</v>
      </c>
      <c r="G5" s="4">
        <v>80</v>
      </c>
      <c r="H5" s="6">
        <v>165</v>
      </c>
      <c r="I5" s="4">
        <v>180</v>
      </c>
      <c r="J5" s="4"/>
      <c r="K5" s="4"/>
      <c r="L5" s="4" t="s">
        <v>59</v>
      </c>
      <c r="M5" s="4"/>
      <c r="O5" t="s">
        <v>60</v>
      </c>
      <c r="P5">
        <v>1</v>
      </c>
      <c r="Q5">
        <f t="shared" ref="Q5:Q6" si="0">P5*60</f>
        <v>60</v>
      </c>
    </row>
    <row r="6" spans="1:17" hidden="1">
      <c r="A6" s="5">
        <v>45139</v>
      </c>
      <c r="B6" s="4" t="s">
        <v>27</v>
      </c>
      <c r="C6" s="4" t="s">
        <v>56</v>
      </c>
      <c r="D6" s="4" t="s">
        <v>57</v>
      </c>
      <c r="E6" s="17" t="s">
        <v>58</v>
      </c>
      <c r="F6" s="4" t="s">
        <v>33</v>
      </c>
      <c r="G6" s="4"/>
      <c r="H6" s="6">
        <v>60</v>
      </c>
      <c r="I6" s="4">
        <v>180</v>
      </c>
      <c r="J6" s="4"/>
      <c r="K6" s="4"/>
      <c r="L6" s="4" t="s">
        <v>59</v>
      </c>
      <c r="M6" s="4"/>
      <c r="O6" t="s">
        <v>4</v>
      </c>
      <c r="P6">
        <v>2</v>
      </c>
      <c r="Q6">
        <f t="shared" si="0"/>
        <v>120</v>
      </c>
    </row>
    <row r="7" spans="1:17" hidden="1">
      <c r="A7" s="5">
        <v>45139</v>
      </c>
      <c r="B7" s="4" t="s">
        <v>27</v>
      </c>
      <c r="C7" s="4" t="s">
        <v>56</v>
      </c>
      <c r="D7" s="4" t="s">
        <v>61</v>
      </c>
      <c r="E7" s="17">
        <v>20</v>
      </c>
      <c r="F7" s="4" t="s">
        <v>33</v>
      </c>
      <c r="G7" s="4"/>
      <c r="H7" s="4">
        <v>195</v>
      </c>
      <c r="I7" s="4">
        <v>180</v>
      </c>
      <c r="J7" s="4"/>
      <c r="K7" s="4"/>
      <c r="L7" s="4" t="s">
        <v>62</v>
      </c>
      <c r="M7" s="4" t="s">
        <v>63</v>
      </c>
      <c r="O7" t="s">
        <v>64</v>
      </c>
      <c r="P7">
        <v>1</v>
      </c>
      <c r="Q7">
        <f>P7*60</f>
        <v>60</v>
      </c>
    </row>
    <row r="8" spans="1:17" hidden="1">
      <c r="A8" s="5">
        <v>45139</v>
      </c>
      <c r="B8" s="4" t="s">
        <v>6</v>
      </c>
      <c r="C8" s="4" t="s">
        <v>65</v>
      </c>
      <c r="D8" s="4" t="s">
        <v>57</v>
      </c>
      <c r="E8" s="17"/>
      <c r="F8" s="4" t="s">
        <v>145</v>
      </c>
      <c r="G8" s="4">
        <v>456</v>
      </c>
      <c r="H8" s="4">
        <v>240</v>
      </c>
      <c r="I8" s="4">
        <v>360</v>
      </c>
      <c r="J8" s="4"/>
      <c r="K8" s="4"/>
      <c r="L8" s="4" t="s">
        <v>62</v>
      </c>
      <c r="M8" s="4"/>
      <c r="O8" t="s">
        <v>66</v>
      </c>
      <c r="P8">
        <v>0.25</v>
      </c>
      <c r="Q8">
        <f>P8*60</f>
        <v>15</v>
      </c>
    </row>
    <row r="9" spans="1:17" hidden="1">
      <c r="A9" s="5">
        <v>45139</v>
      </c>
      <c r="B9" s="4" t="s">
        <v>6</v>
      </c>
      <c r="C9" s="4" t="s">
        <v>67</v>
      </c>
      <c r="D9" s="4" t="s">
        <v>68</v>
      </c>
      <c r="E9" s="17"/>
      <c r="F9" s="4" t="s">
        <v>9</v>
      </c>
      <c r="G9" s="4"/>
      <c r="H9" s="4">
        <v>14</v>
      </c>
      <c r="I9" s="4">
        <v>180</v>
      </c>
      <c r="J9" s="4"/>
      <c r="K9" s="4"/>
      <c r="L9" s="4" t="s">
        <v>59</v>
      </c>
      <c r="M9" s="4"/>
      <c r="O9" t="s">
        <v>69</v>
      </c>
      <c r="P9">
        <f>SUM(P4:P7)</f>
        <v>7</v>
      </c>
      <c r="Q9">
        <f>P9*60</f>
        <v>420</v>
      </c>
    </row>
    <row r="10" spans="1:17" hidden="1">
      <c r="A10" s="5">
        <v>45139</v>
      </c>
      <c r="B10" s="4" t="s">
        <v>6</v>
      </c>
      <c r="C10" s="4" t="s">
        <v>65</v>
      </c>
      <c r="D10" s="4" t="s">
        <v>61</v>
      </c>
      <c r="E10" s="17"/>
      <c r="F10" s="4" t="s">
        <v>145</v>
      </c>
      <c r="G10" s="4"/>
      <c r="H10" s="4">
        <v>150</v>
      </c>
      <c r="I10" s="4">
        <v>360</v>
      </c>
      <c r="J10" s="4"/>
      <c r="K10" s="4"/>
      <c r="L10" s="4" t="s">
        <v>62</v>
      </c>
      <c r="M10" s="4"/>
    </row>
    <row r="11" spans="1:17" hidden="1">
      <c r="A11" s="5">
        <v>45139</v>
      </c>
      <c r="B11" s="4" t="s">
        <v>6</v>
      </c>
      <c r="C11" s="4" t="s">
        <v>70</v>
      </c>
      <c r="D11" s="4" t="s">
        <v>68</v>
      </c>
      <c r="E11" s="17"/>
      <c r="F11" s="4" t="s">
        <v>9</v>
      </c>
      <c r="G11" s="4"/>
      <c r="H11" s="4">
        <v>25</v>
      </c>
      <c r="I11" s="4">
        <v>180</v>
      </c>
      <c r="J11" s="4"/>
      <c r="K11" s="4"/>
      <c r="L11" s="4" t="s">
        <v>59</v>
      </c>
      <c r="M11" s="4"/>
    </row>
    <row r="12" spans="1:17" hidden="1">
      <c r="A12" s="5">
        <v>45139</v>
      </c>
      <c r="B12" s="4" t="s">
        <v>6</v>
      </c>
      <c r="C12" s="4" t="s">
        <v>71</v>
      </c>
      <c r="D12" s="4" t="s">
        <v>68</v>
      </c>
      <c r="E12" s="17"/>
      <c r="F12" s="4" t="s">
        <v>9</v>
      </c>
      <c r="G12" s="4"/>
      <c r="H12" s="4">
        <v>4</v>
      </c>
      <c r="I12" s="4">
        <v>180</v>
      </c>
      <c r="J12" s="4"/>
      <c r="K12" s="4"/>
      <c r="L12" s="4" t="s">
        <v>59</v>
      </c>
      <c r="M12" s="4"/>
    </row>
    <row r="13" spans="1:17" hidden="1">
      <c r="A13" s="5">
        <v>45139</v>
      </c>
      <c r="B13" s="4" t="s">
        <v>6</v>
      </c>
      <c r="C13" s="4" t="s">
        <v>72</v>
      </c>
      <c r="D13" s="4" t="s">
        <v>68</v>
      </c>
      <c r="E13" s="17"/>
      <c r="F13" s="4" t="s">
        <v>9</v>
      </c>
      <c r="G13" s="4"/>
      <c r="H13" s="4">
        <v>17</v>
      </c>
      <c r="I13" s="4">
        <v>180</v>
      </c>
      <c r="J13" s="4"/>
      <c r="K13" s="4"/>
      <c r="L13" s="4" t="s">
        <v>59</v>
      </c>
      <c r="M13" s="4"/>
    </row>
    <row r="14" spans="1:17" hidden="1">
      <c r="A14" s="5">
        <v>45139</v>
      </c>
      <c r="B14" s="6" t="s">
        <v>19</v>
      </c>
      <c r="C14" s="6" t="s">
        <v>73</v>
      </c>
      <c r="D14" s="6" t="s">
        <v>74</v>
      </c>
      <c r="E14" s="18"/>
      <c r="F14" s="6" t="s">
        <v>145</v>
      </c>
      <c r="G14" s="18">
        <v>1499</v>
      </c>
      <c r="H14" s="6">
        <v>435</v>
      </c>
      <c r="I14" s="6">
        <v>360</v>
      </c>
      <c r="J14" s="6"/>
      <c r="K14" s="6"/>
      <c r="L14" s="6" t="s">
        <v>75</v>
      </c>
      <c r="M14" s="4" t="s">
        <v>76</v>
      </c>
    </row>
    <row r="15" spans="1:17" hidden="1">
      <c r="A15" s="5">
        <v>45139</v>
      </c>
      <c r="B15" s="4" t="s">
        <v>21</v>
      </c>
      <c r="C15" s="4" t="s">
        <v>77</v>
      </c>
      <c r="D15" s="4" t="s">
        <v>78</v>
      </c>
      <c r="E15" s="17">
        <v>3</v>
      </c>
      <c r="F15" s="4" t="s">
        <v>3</v>
      </c>
      <c r="G15" s="4"/>
      <c r="H15" s="4">
        <v>285</v>
      </c>
      <c r="I15" s="4">
        <v>180</v>
      </c>
      <c r="J15" s="4"/>
      <c r="K15" s="4"/>
      <c r="L15" s="4" t="s">
        <v>62</v>
      </c>
      <c r="M15" s="4"/>
    </row>
    <row r="16" spans="1:17" hidden="1">
      <c r="A16" s="8">
        <v>45139</v>
      </c>
      <c r="B16" s="6" t="s">
        <v>37</v>
      </c>
      <c r="C16" s="6" t="s">
        <v>79</v>
      </c>
      <c r="D16" s="6" t="s">
        <v>80</v>
      </c>
      <c r="E16" s="18"/>
      <c r="F16" s="6" t="s">
        <v>5</v>
      </c>
      <c r="G16" s="6">
        <v>500</v>
      </c>
      <c r="H16" s="6">
        <v>225</v>
      </c>
      <c r="I16" s="6">
        <v>60</v>
      </c>
      <c r="J16" s="6"/>
      <c r="K16" s="6"/>
      <c r="L16" s="6" t="s">
        <v>59</v>
      </c>
      <c r="M16" s="4"/>
    </row>
    <row r="17" spans="1:15" hidden="1">
      <c r="A17" s="5">
        <v>45139</v>
      </c>
      <c r="B17" s="4" t="s">
        <v>39</v>
      </c>
      <c r="C17" s="4" t="s">
        <v>81</v>
      </c>
      <c r="D17" s="6" t="s">
        <v>80</v>
      </c>
      <c r="E17" s="17"/>
      <c r="F17" s="4"/>
      <c r="G17" s="4"/>
      <c r="H17" s="4">
        <v>45</v>
      </c>
      <c r="I17" s="4">
        <v>15</v>
      </c>
      <c r="J17" s="4"/>
      <c r="K17" s="4"/>
      <c r="L17" s="4"/>
      <c r="M17" s="4"/>
    </row>
    <row r="18" spans="1:15" hidden="1">
      <c r="A18" s="5">
        <v>45139</v>
      </c>
      <c r="B18" s="6" t="s">
        <v>17</v>
      </c>
      <c r="C18" s="6" t="s">
        <v>17</v>
      </c>
      <c r="D18" s="6" t="s">
        <v>68</v>
      </c>
      <c r="E18" s="18"/>
      <c r="F18" s="6" t="s">
        <v>9</v>
      </c>
      <c r="G18" s="6"/>
      <c r="H18" s="6">
        <v>94</v>
      </c>
      <c r="I18" s="6">
        <v>180</v>
      </c>
      <c r="J18" s="6"/>
      <c r="K18" s="6"/>
      <c r="L18" s="6" t="s">
        <v>59</v>
      </c>
      <c r="M18" s="4"/>
    </row>
    <row r="19" spans="1:15" hidden="1">
      <c r="A19" s="5">
        <v>45139</v>
      </c>
      <c r="B19" s="4" t="s">
        <v>15</v>
      </c>
      <c r="C19" s="4" t="s">
        <v>15</v>
      </c>
      <c r="D19" s="4" t="s">
        <v>80</v>
      </c>
      <c r="E19" s="17"/>
      <c r="F19" s="4"/>
      <c r="G19" s="4">
        <v>100</v>
      </c>
      <c r="H19" s="4">
        <v>195</v>
      </c>
      <c r="I19" s="4">
        <v>15</v>
      </c>
      <c r="J19" s="4"/>
      <c r="K19" s="4"/>
      <c r="L19" s="4"/>
      <c r="M19" s="4"/>
    </row>
    <row r="20" spans="1:15" hidden="1">
      <c r="A20" s="5">
        <v>45140</v>
      </c>
      <c r="B20" s="4" t="s">
        <v>6</v>
      </c>
      <c r="C20" s="4" t="s">
        <v>67</v>
      </c>
      <c r="D20" s="4" t="s">
        <v>82</v>
      </c>
      <c r="E20" s="17"/>
      <c r="F20" s="4" t="s">
        <v>3</v>
      </c>
      <c r="G20" s="4"/>
      <c r="H20" s="4">
        <v>21</v>
      </c>
      <c r="I20" s="4">
        <v>180</v>
      </c>
      <c r="J20" s="4"/>
      <c r="K20" s="4"/>
      <c r="L20" s="4"/>
      <c r="M20" s="4"/>
    </row>
    <row r="21" spans="1:15" hidden="1">
      <c r="A21" s="5">
        <v>45140</v>
      </c>
      <c r="B21" s="4" t="s">
        <v>6</v>
      </c>
      <c r="C21" s="4" t="s">
        <v>83</v>
      </c>
      <c r="D21" s="4" t="s">
        <v>57</v>
      </c>
      <c r="E21" s="17"/>
      <c r="F21" s="4" t="s">
        <v>8</v>
      </c>
      <c r="G21" s="4">
        <v>310</v>
      </c>
      <c r="H21" s="4">
        <v>180</v>
      </c>
      <c r="I21" s="4">
        <v>360</v>
      </c>
      <c r="J21" s="4"/>
      <c r="K21" s="4"/>
      <c r="L21" s="4"/>
      <c r="M21" s="4"/>
    </row>
    <row r="22" spans="1:15" hidden="1">
      <c r="A22" s="5">
        <v>45140</v>
      </c>
      <c r="B22" s="4" t="s">
        <v>6</v>
      </c>
      <c r="C22" s="4" t="s">
        <v>83</v>
      </c>
      <c r="D22" s="4" t="s">
        <v>61</v>
      </c>
      <c r="E22" s="17"/>
      <c r="F22" s="4" t="s">
        <v>10</v>
      </c>
      <c r="G22" s="4"/>
      <c r="H22" s="4">
        <v>165</v>
      </c>
      <c r="I22" s="4"/>
      <c r="J22" s="4"/>
      <c r="K22" s="4"/>
      <c r="L22" s="4"/>
      <c r="M22" s="4"/>
    </row>
    <row r="23" spans="1:15" hidden="1">
      <c r="A23" s="5">
        <v>45140</v>
      </c>
      <c r="B23" s="4" t="s">
        <v>19</v>
      </c>
      <c r="C23" s="4" t="s">
        <v>73</v>
      </c>
      <c r="D23" s="4" t="s">
        <v>74</v>
      </c>
      <c r="E23" s="17"/>
      <c r="F23" s="4" t="s">
        <v>8</v>
      </c>
      <c r="G23" s="17">
        <v>126</v>
      </c>
      <c r="H23" s="4">
        <v>190</v>
      </c>
      <c r="I23" s="4">
        <v>360</v>
      </c>
      <c r="J23" s="4"/>
      <c r="K23" s="4"/>
      <c r="L23" s="4"/>
      <c r="M23" s="4"/>
    </row>
    <row r="24" spans="1:15" hidden="1">
      <c r="A24" s="5">
        <v>45140</v>
      </c>
      <c r="B24" s="4" t="s">
        <v>21</v>
      </c>
      <c r="C24" s="4" t="s">
        <v>84</v>
      </c>
      <c r="D24" s="4" t="s">
        <v>85</v>
      </c>
      <c r="E24" s="20" t="s">
        <v>86</v>
      </c>
      <c r="F24" s="4" t="s">
        <v>3</v>
      </c>
      <c r="G24" s="4"/>
      <c r="H24" s="4">
        <v>448</v>
      </c>
      <c r="I24" s="4">
        <v>180</v>
      </c>
      <c r="J24" s="4"/>
      <c r="K24" s="4"/>
      <c r="L24" s="4" t="s">
        <v>87</v>
      </c>
      <c r="M24" s="4"/>
    </row>
    <row r="25" spans="1:15" hidden="1">
      <c r="A25" s="5">
        <v>45140</v>
      </c>
      <c r="B25" s="4" t="s">
        <v>21</v>
      </c>
      <c r="C25" s="4" t="s">
        <v>84</v>
      </c>
      <c r="D25" s="4" t="s">
        <v>80</v>
      </c>
      <c r="E25" s="17">
        <v>2</v>
      </c>
      <c r="F25" s="4" t="s">
        <v>5</v>
      </c>
      <c r="G25" s="4">
        <v>803</v>
      </c>
      <c r="H25" s="4">
        <v>70</v>
      </c>
      <c r="I25" s="4">
        <v>60</v>
      </c>
      <c r="J25" s="4"/>
      <c r="K25" s="4"/>
      <c r="L25" s="4"/>
      <c r="M25" s="4"/>
    </row>
    <row r="26" spans="1:15" hidden="1">
      <c r="A26" s="5">
        <v>45140</v>
      </c>
      <c r="B26" s="4" t="s">
        <v>27</v>
      </c>
      <c r="C26" s="4" t="s">
        <v>88</v>
      </c>
      <c r="D26" s="4" t="s">
        <v>74</v>
      </c>
      <c r="E26" s="17">
        <v>26</v>
      </c>
      <c r="F26" s="4" t="s">
        <v>8</v>
      </c>
      <c r="G26" s="17">
        <v>8070</v>
      </c>
      <c r="H26" s="4">
        <v>90</v>
      </c>
      <c r="I26" s="4">
        <v>360</v>
      </c>
      <c r="J26" s="4"/>
      <c r="K26" s="4"/>
      <c r="L26" s="4" t="s">
        <v>62</v>
      </c>
      <c r="M26" s="4"/>
      <c r="O26" s="3" t="s">
        <v>89</v>
      </c>
    </row>
    <row r="27" spans="1:15" hidden="1">
      <c r="A27" s="5">
        <v>45140</v>
      </c>
      <c r="B27" s="4" t="s">
        <v>27</v>
      </c>
      <c r="C27" s="4" t="s">
        <v>88</v>
      </c>
      <c r="D27" s="4" t="s">
        <v>74</v>
      </c>
      <c r="E27" s="17">
        <v>26</v>
      </c>
      <c r="F27" s="4" t="s">
        <v>3</v>
      </c>
      <c r="G27" s="17"/>
      <c r="H27" s="4">
        <v>165</v>
      </c>
      <c r="I27" s="4">
        <v>180</v>
      </c>
      <c r="J27" s="4"/>
      <c r="K27" s="4"/>
      <c r="L27" s="4" t="s">
        <v>62</v>
      </c>
      <c r="M27" s="4"/>
      <c r="O27" s="2">
        <v>0.19</v>
      </c>
    </row>
    <row r="28" spans="1:15" hidden="1">
      <c r="A28" s="5">
        <v>45140</v>
      </c>
      <c r="B28" s="4" t="s">
        <v>27</v>
      </c>
      <c r="C28" s="4" t="s">
        <v>88</v>
      </c>
      <c r="D28" s="4" t="s">
        <v>57</v>
      </c>
      <c r="E28" s="17">
        <v>21</v>
      </c>
      <c r="F28" s="4" t="s">
        <v>146</v>
      </c>
      <c r="G28" s="4"/>
      <c r="H28" s="4">
        <v>235</v>
      </c>
      <c r="I28" s="4">
        <v>180</v>
      </c>
      <c r="J28" s="4"/>
      <c r="K28" s="4"/>
      <c r="L28" s="4" t="s">
        <v>62</v>
      </c>
      <c r="M28" s="4"/>
    </row>
    <row r="29" spans="1:15" hidden="1">
      <c r="A29" s="5">
        <v>45140</v>
      </c>
      <c r="B29" s="4" t="s">
        <v>27</v>
      </c>
      <c r="C29" s="4" t="s">
        <v>88</v>
      </c>
      <c r="D29" s="4" t="s">
        <v>57</v>
      </c>
      <c r="E29" s="17" t="s">
        <v>58</v>
      </c>
      <c r="F29" s="4" t="s">
        <v>23</v>
      </c>
      <c r="G29" s="4"/>
      <c r="H29" s="4">
        <v>15</v>
      </c>
      <c r="I29" s="4">
        <v>60</v>
      </c>
      <c r="J29" s="4"/>
      <c r="K29" s="4"/>
      <c r="L29" s="4" t="s">
        <v>59</v>
      </c>
      <c r="M29" s="4"/>
    </row>
    <row r="30" spans="1:15" hidden="1">
      <c r="A30" s="5">
        <v>45140</v>
      </c>
      <c r="B30" s="4" t="s">
        <v>27</v>
      </c>
      <c r="C30" s="4" t="s">
        <v>88</v>
      </c>
      <c r="D30" s="4" t="s">
        <v>61</v>
      </c>
      <c r="E30" s="17"/>
      <c r="F30" s="4" t="s">
        <v>146</v>
      </c>
      <c r="G30" s="4"/>
      <c r="H30" s="4">
        <v>120</v>
      </c>
      <c r="I30" s="4">
        <v>180</v>
      </c>
      <c r="J30" s="4"/>
      <c r="K30" s="4"/>
      <c r="L30" s="4" t="s">
        <v>62</v>
      </c>
      <c r="M30" s="4"/>
    </row>
    <row r="31" spans="1:15" hidden="1">
      <c r="A31" s="5">
        <v>45140</v>
      </c>
      <c r="B31" s="4" t="s">
        <v>15</v>
      </c>
      <c r="C31" s="4" t="s">
        <v>90</v>
      </c>
      <c r="D31" s="4" t="s">
        <v>80</v>
      </c>
      <c r="E31" s="17"/>
      <c r="F31" s="4"/>
      <c r="G31" s="4"/>
      <c r="H31" s="4">
        <v>45</v>
      </c>
      <c r="I31" s="4">
        <v>15</v>
      </c>
      <c r="J31" s="4"/>
      <c r="K31" s="4"/>
      <c r="L31" s="4"/>
      <c r="M31" s="4"/>
    </row>
    <row r="32" spans="1:15" hidden="1">
      <c r="A32" s="5">
        <v>45140</v>
      </c>
      <c r="B32" s="4" t="s">
        <v>37</v>
      </c>
      <c r="C32" s="4" t="s">
        <v>79</v>
      </c>
      <c r="D32" s="4" t="s">
        <v>82</v>
      </c>
      <c r="E32" s="17">
        <v>1</v>
      </c>
      <c r="F32" s="4" t="s">
        <v>28</v>
      </c>
      <c r="G32" s="4"/>
      <c r="H32" s="4">
        <v>45</v>
      </c>
      <c r="I32" s="4"/>
      <c r="J32" s="4"/>
      <c r="K32" s="4"/>
      <c r="L32" s="4"/>
      <c r="M32" s="4"/>
    </row>
    <row r="33" spans="1:13" hidden="1">
      <c r="A33" s="5">
        <v>45140</v>
      </c>
      <c r="B33" s="4" t="s">
        <v>37</v>
      </c>
      <c r="C33" s="4" t="s">
        <v>79</v>
      </c>
      <c r="D33" s="4" t="s">
        <v>82</v>
      </c>
      <c r="E33" s="17" t="s">
        <v>91</v>
      </c>
      <c r="F33" s="4" t="s">
        <v>4</v>
      </c>
      <c r="G33" s="4">
        <v>2801</v>
      </c>
      <c r="H33" s="4">
        <v>224</v>
      </c>
      <c r="I33" s="4">
        <v>120</v>
      </c>
      <c r="J33" s="4"/>
      <c r="K33" s="4"/>
      <c r="L33" s="4" t="s">
        <v>92</v>
      </c>
      <c r="M33" s="4"/>
    </row>
    <row r="34" spans="1:13" hidden="1">
      <c r="A34" s="5">
        <v>45140</v>
      </c>
      <c r="B34" s="4" t="s">
        <v>37</v>
      </c>
      <c r="C34" s="4" t="s">
        <v>79</v>
      </c>
      <c r="D34" s="4" t="s">
        <v>80</v>
      </c>
      <c r="E34" s="17">
        <v>2</v>
      </c>
      <c r="F34" s="4" t="s">
        <v>5</v>
      </c>
      <c r="G34" s="4">
        <v>1100</v>
      </c>
      <c r="H34" s="4">
        <v>365</v>
      </c>
      <c r="I34" s="4">
        <v>60</v>
      </c>
      <c r="J34" s="4"/>
      <c r="K34" s="4"/>
      <c r="L34" s="4"/>
      <c r="M34" s="4"/>
    </row>
    <row r="35" spans="1:13" hidden="1">
      <c r="A35" s="5">
        <v>45141</v>
      </c>
      <c r="B35" s="4" t="s">
        <v>6</v>
      </c>
      <c r="C35" s="4" t="s">
        <v>83</v>
      </c>
      <c r="D35" s="4" t="s">
        <v>57</v>
      </c>
      <c r="E35" s="17"/>
      <c r="F35" s="4" t="s">
        <v>8</v>
      </c>
      <c r="G35" s="4"/>
      <c r="H35" s="4">
        <v>90</v>
      </c>
      <c r="I35" s="4">
        <v>360</v>
      </c>
      <c r="J35" s="4"/>
      <c r="K35" s="4"/>
      <c r="L35" s="4"/>
      <c r="M35" s="4"/>
    </row>
    <row r="36" spans="1:13" hidden="1">
      <c r="A36" s="5">
        <v>45141</v>
      </c>
      <c r="B36" s="4" t="s">
        <v>6</v>
      </c>
      <c r="C36" s="4" t="s">
        <v>93</v>
      </c>
      <c r="D36" s="4" t="s">
        <v>57</v>
      </c>
      <c r="E36" s="17"/>
      <c r="F36" s="4" t="s">
        <v>4</v>
      </c>
      <c r="G36" s="4">
        <v>305</v>
      </c>
      <c r="H36" s="4">
        <v>30</v>
      </c>
      <c r="I36" s="4">
        <v>120</v>
      </c>
      <c r="J36" s="4"/>
      <c r="K36" s="4"/>
      <c r="L36" s="4" t="s">
        <v>59</v>
      </c>
      <c r="M36" s="4"/>
    </row>
    <row r="37" spans="1:13" hidden="1">
      <c r="A37" s="5">
        <v>45141</v>
      </c>
      <c r="B37" s="4" t="s">
        <v>6</v>
      </c>
      <c r="C37" s="4" t="s">
        <v>94</v>
      </c>
      <c r="D37" s="4" t="s">
        <v>57</v>
      </c>
      <c r="E37" s="17"/>
      <c r="F37" s="4" t="s">
        <v>4</v>
      </c>
      <c r="G37" s="4">
        <v>32</v>
      </c>
      <c r="H37" s="4">
        <v>10</v>
      </c>
      <c r="I37" s="4">
        <v>120</v>
      </c>
      <c r="J37" s="4"/>
      <c r="K37" s="4"/>
      <c r="L37" s="4" t="s">
        <v>59</v>
      </c>
      <c r="M37" s="4"/>
    </row>
    <row r="38" spans="1:13" hidden="1">
      <c r="A38" s="5">
        <v>45141</v>
      </c>
      <c r="B38" s="4" t="s">
        <v>6</v>
      </c>
      <c r="C38" s="4" t="s">
        <v>95</v>
      </c>
      <c r="D38" s="4" t="s">
        <v>61</v>
      </c>
      <c r="E38" s="17"/>
      <c r="F38" s="4" t="s">
        <v>10</v>
      </c>
      <c r="G38" s="4"/>
      <c r="H38" s="4">
        <v>60</v>
      </c>
      <c r="I38" s="4"/>
      <c r="J38" s="4"/>
      <c r="K38" s="4"/>
      <c r="L38" s="4" t="s">
        <v>59</v>
      </c>
      <c r="M38" s="4"/>
    </row>
    <row r="39" spans="1:13" hidden="1">
      <c r="A39" s="5">
        <v>45141</v>
      </c>
      <c r="B39" s="4" t="s">
        <v>6</v>
      </c>
      <c r="C39" s="4"/>
      <c r="D39" s="4" t="s">
        <v>68</v>
      </c>
      <c r="E39" s="17"/>
      <c r="F39" s="4" t="s">
        <v>8</v>
      </c>
      <c r="G39" s="4"/>
      <c r="H39" s="4">
        <v>36</v>
      </c>
      <c r="I39" s="4">
        <v>360</v>
      </c>
      <c r="J39" s="4"/>
      <c r="K39" s="4"/>
      <c r="L39" s="4" t="s">
        <v>59</v>
      </c>
      <c r="M39" s="4"/>
    </row>
    <row r="40" spans="1:13" hidden="1">
      <c r="A40" s="5">
        <v>45141</v>
      </c>
      <c r="B40" s="4" t="s">
        <v>6</v>
      </c>
      <c r="C40" s="4" t="s">
        <v>96</v>
      </c>
      <c r="D40" s="4" t="s">
        <v>68</v>
      </c>
      <c r="E40" s="17"/>
      <c r="F40" s="4" t="s">
        <v>7</v>
      </c>
      <c r="G40" s="4"/>
      <c r="H40" s="4">
        <v>15</v>
      </c>
      <c r="I40" s="4"/>
      <c r="J40" s="4"/>
      <c r="K40" s="4"/>
      <c r="L40" s="4" t="s">
        <v>59</v>
      </c>
      <c r="M40" s="4"/>
    </row>
    <row r="41" spans="1:13" hidden="1">
      <c r="A41" s="5">
        <v>45141</v>
      </c>
      <c r="B41" s="4" t="s">
        <v>17</v>
      </c>
      <c r="C41" s="4"/>
      <c r="D41" s="4" t="s">
        <v>68</v>
      </c>
      <c r="E41" s="17"/>
      <c r="F41" s="4" t="s">
        <v>8</v>
      </c>
      <c r="G41" s="4"/>
      <c r="H41" s="4">
        <v>60</v>
      </c>
      <c r="I41" s="4">
        <v>360</v>
      </c>
      <c r="J41" s="4"/>
      <c r="K41" s="4"/>
      <c r="L41" s="4" t="s">
        <v>59</v>
      </c>
      <c r="M41" s="4"/>
    </row>
    <row r="42" spans="1:13" hidden="1">
      <c r="A42" s="5">
        <v>45141</v>
      </c>
      <c r="B42" s="4" t="s">
        <v>21</v>
      </c>
      <c r="C42" s="4" t="s">
        <v>84</v>
      </c>
      <c r="D42" s="4" t="s">
        <v>80</v>
      </c>
      <c r="E42" s="17" t="s">
        <v>97</v>
      </c>
      <c r="F42" s="4" t="s">
        <v>5</v>
      </c>
      <c r="G42" s="4">
        <v>4586</v>
      </c>
      <c r="H42" s="4">
        <v>450</v>
      </c>
      <c r="I42" s="4">
        <v>60</v>
      </c>
      <c r="J42" s="4"/>
      <c r="K42" s="4"/>
      <c r="L42" s="4" t="s">
        <v>92</v>
      </c>
      <c r="M42" s="4"/>
    </row>
    <row r="43" spans="1:13" hidden="1">
      <c r="A43" s="5">
        <v>45141</v>
      </c>
      <c r="B43" s="4" t="s">
        <v>21</v>
      </c>
      <c r="C43" s="4" t="s">
        <v>84</v>
      </c>
      <c r="D43" s="4" t="s">
        <v>98</v>
      </c>
      <c r="E43" s="17" t="s">
        <v>99</v>
      </c>
      <c r="F43" s="4" t="s">
        <v>4</v>
      </c>
      <c r="G43" s="4">
        <v>2690</v>
      </c>
      <c r="H43" s="4">
        <v>460</v>
      </c>
      <c r="I43" s="4">
        <v>120</v>
      </c>
      <c r="J43" s="4"/>
      <c r="K43" s="4"/>
      <c r="L43" s="4" t="s">
        <v>62</v>
      </c>
      <c r="M43" s="4"/>
    </row>
    <row r="44" spans="1:13" hidden="1">
      <c r="A44" s="5">
        <v>45141</v>
      </c>
      <c r="B44" s="4" t="s">
        <v>21</v>
      </c>
      <c r="C44" s="4" t="s">
        <v>84</v>
      </c>
      <c r="D44" s="4" t="s">
        <v>85</v>
      </c>
      <c r="E44" s="17" t="s">
        <v>100</v>
      </c>
      <c r="F44" s="4" t="s">
        <v>3</v>
      </c>
      <c r="G44" s="4"/>
      <c r="H44" s="4">
        <v>365</v>
      </c>
      <c r="I44" s="4">
        <v>180</v>
      </c>
      <c r="J44" s="4"/>
      <c r="K44" s="4"/>
      <c r="L44" s="4" t="s">
        <v>59</v>
      </c>
      <c r="M44" s="4"/>
    </row>
    <row r="45" spans="1:13" hidden="1">
      <c r="A45" s="5">
        <v>45141</v>
      </c>
      <c r="B45" s="4" t="s">
        <v>27</v>
      </c>
      <c r="C45" s="4" t="s">
        <v>88</v>
      </c>
      <c r="D45" s="4" t="s">
        <v>74</v>
      </c>
      <c r="E45" s="17" t="s">
        <v>101</v>
      </c>
      <c r="F45" s="4" t="s">
        <v>3</v>
      </c>
      <c r="G45" s="17"/>
      <c r="H45" s="4">
        <v>400</v>
      </c>
      <c r="I45" s="4">
        <v>180</v>
      </c>
      <c r="J45" s="4"/>
      <c r="K45" s="4"/>
      <c r="L45" s="4" t="s">
        <v>62</v>
      </c>
      <c r="M45" s="4"/>
    </row>
    <row r="46" spans="1:13" hidden="1">
      <c r="A46" s="5">
        <v>45141</v>
      </c>
      <c r="B46" s="4" t="s">
        <v>27</v>
      </c>
      <c r="C46" s="4" t="s">
        <v>88</v>
      </c>
      <c r="D46" s="4" t="s">
        <v>57</v>
      </c>
      <c r="E46" s="17" t="s">
        <v>147</v>
      </c>
      <c r="F46" s="4" t="s">
        <v>33</v>
      </c>
      <c r="G46" s="4"/>
      <c r="H46" s="4">
        <v>225</v>
      </c>
      <c r="I46" s="4">
        <v>180</v>
      </c>
      <c r="J46" s="4"/>
      <c r="K46" s="4"/>
      <c r="L46" s="4"/>
      <c r="M46" s="4"/>
    </row>
    <row r="47" spans="1:13" hidden="1">
      <c r="A47" s="5">
        <v>45141</v>
      </c>
      <c r="B47" s="4" t="s">
        <v>27</v>
      </c>
      <c r="C47" s="4" t="s">
        <v>88</v>
      </c>
      <c r="D47" s="4" t="s">
        <v>57</v>
      </c>
      <c r="E47" s="17" t="s">
        <v>148</v>
      </c>
      <c r="F47" s="4" t="s">
        <v>8</v>
      </c>
      <c r="G47" s="4"/>
      <c r="H47" s="4">
        <v>60</v>
      </c>
      <c r="I47" s="4">
        <v>360</v>
      </c>
      <c r="J47" s="4"/>
      <c r="K47" s="4"/>
      <c r="L47" s="4" t="s">
        <v>62</v>
      </c>
      <c r="M47" s="4"/>
    </row>
    <row r="48" spans="1:13" hidden="1">
      <c r="A48" s="5">
        <v>45141</v>
      </c>
      <c r="B48" s="4" t="s">
        <v>27</v>
      </c>
      <c r="C48" s="4" t="s">
        <v>88</v>
      </c>
      <c r="D48" s="4" t="s">
        <v>61</v>
      </c>
      <c r="E48" s="17">
        <v>20</v>
      </c>
      <c r="F48" s="4" t="s">
        <v>33</v>
      </c>
      <c r="G48" s="4"/>
      <c r="H48" s="4">
        <v>255</v>
      </c>
      <c r="I48" s="4">
        <v>180</v>
      </c>
      <c r="J48" s="4"/>
      <c r="K48" s="4"/>
      <c r="L48" s="4"/>
      <c r="M48" s="4"/>
    </row>
    <row r="49" spans="1:13" hidden="1">
      <c r="A49" s="5">
        <v>45141</v>
      </c>
      <c r="B49" s="4" t="s">
        <v>37</v>
      </c>
      <c r="C49" s="4" t="s">
        <v>79</v>
      </c>
      <c r="D49" s="4" t="s">
        <v>78</v>
      </c>
      <c r="E49" s="17" t="s">
        <v>91</v>
      </c>
      <c r="F49" s="4" t="s">
        <v>23</v>
      </c>
      <c r="G49" s="4"/>
      <c r="H49" s="4">
        <v>345</v>
      </c>
      <c r="I49" s="4">
        <v>60</v>
      </c>
      <c r="J49" s="4"/>
      <c r="K49" s="4"/>
      <c r="L49" s="4" t="s">
        <v>59</v>
      </c>
      <c r="M49" s="4"/>
    </row>
    <row r="50" spans="1:13" hidden="1">
      <c r="A50" s="5">
        <v>45141</v>
      </c>
      <c r="B50" s="4" t="s">
        <v>15</v>
      </c>
      <c r="C50" s="4" t="s">
        <v>15</v>
      </c>
      <c r="D50" s="4" t="s">
        <v>80</v>
      </c>
      <c r="E50" s="17"/>
      <c r="F50" s="4"/>
      <c r="G50" s="4"/>
      <c r="H50" s="4">
        <v>30</v>
      </c>
      <c r="I50" s="4">
        <v>15</v>
      </c>
      <c r="J50" s="4"/>
      <c r="K50" s="4"/>
      <c r="L50" s="4"/>
      <c r="M50" s="4"/>
    </row>
    <row r="51" spans="1:13" hidden="1">
      <c r="A51" s="5">
        <v>45141</v>
      </c>
      <c r="B51" s="4" t="s">
        <v>15</v>
      </c>
      <c r="C51" s="4" t="s">
        <v>15</v>
      </c>
      <c r="D51" s="4" t="s">
        <v>68</v>
      </c>
      <c r="E51" s="17"/>
      <c r="F51" s="4"/>
      <c r="G51" s="4"/>
      <c r="H51" s="4">
        <v>60</v>
      </c>
      <c r="I51" s="4">
        <v>15</v>
      </c>
      <c r="J51" s="4"/>
      <c r="K51" s="4"/>
      <c r="L51" s="4"/>
      <c r="M51" s="4"/>
    </row>
    <row r="52" spans="1:13" hidden="1">
      <c r="A52" s="5">
        <v>45142</v>
      </c>
      <c r="B52" s="4" t="s">
        <v>27</v>
      </c>
      <c r="C52" s="4" t="s">
        <v>88</v>
      </c>
      <c r="D52" s="4" t="s">
        <v>74</v>
      </c>
      <c r="E52" s="17">
        <v>30</v>
      </c>
      <c r="F52" s="4" t="s">
        <v>3</v>
      </c>
      <c r="G52" s="41">
        <v>0.25</v>
      </c>
      <c r="H52" s="4">
        <v>105</v>
      </c>
      <c r="I52" s="4">
        <v>180</v>
      </c>
      <c r="J52" s="4"/>
      <c r="K52" s="4"/>
      <c r="L52" s="4"/>
      <c r="M52" s="4"/>
    </row>
    <row r="53" spans="1:13" hidden="1">
      <c r="A53" s="5">
        <v>45142</v>
      </c>
      <c r="B53" s="4" t="s">
        <v>27</v>
      </c>
      <c r="C53" s="4" t="s">
        <v>88</v>
      </c>
      <c r="D53" s="4" t="s">
        <v>74</v>
      </c>
      <c r="E53" s="17">
        <v>32</v>
      </c>
      <c r="F53" s="4" t="s">
        <v>31</v>
      </c>
      <c r="G53" s="41">
        <v>0.15</v>
      </c>
      <c r="H53" s="4">
        <v>55</v>
      </c>
      <c r="I53" s="4">
        <v>240</v>
      </c>
      <c r="J53" s="4"/>
      <c r="K53" s="4"/>
      <c r="L53" s="4"/>
      <c r="M53" s="4"/>
    </row>
    <row r="54" spans="1:13" hidden="1">
      <c r="A54" s="5">
        <v>45142</v>
      </c>
      <c r="B54" s="4" t="s">
        <v>27</v>
      </c>
      <c r="C54" s="4" t="s">
        <v>88</v>
      </c>
      <c r="D54" s="4" t="s">
        <v>74</v>
      </c>
      <c r="E54" s="17">
        <v>32</v>
      </c>
      <c r="F54" s="4" t="s">
        <v>31</v>
      </c>
      <c r="G54" s="41">
        <v>0.5</v>
      </c>
      <c r="H54" s="4">
        <v>60</v>
      </c>
      <c r="I54" s="4">
        <v>240</v>
      </c>
      <c r="J54" s="4"/>
      <c r="K54" s="4"/>
      <c r="L54" s="4"/>
      <c r="M54" s="4"/>
    </row>
    <row r="55" spans="1:13" hidden="1">
      <c r="A55" s="5">
        <v>45142</v>
      </c>
      <c r="B55" s="4" t="s">
        <v>27</v>
      </c>
      <c r="C55" s="4" t="s">
        <v>88</v>
      </c>
      <c r="D55" s="4" t="s">
        <v>74</v>
      </c>
      <c r="E55" s="17">
        <v>32</v>
      </c>
      <c r="F55" s="4" t="s">
        <v>31</v>
      </c>
      <c r="G55" s="41">
        <v>0.97</v>
      </c>
      <c r="H55" s="4">
        <v>120</v>
      </c>
      <c r="I55" s="4">
        <v>240</v>
      </c>
      <c r="J55" s="4"/>
      <c r="K55" s="4"/>
      <c r="L55" s="4"/>
      <c r="M55" s="4"/>
    </row>
    <row r="56" spans="1:13" hidden="1">
      <c r="A56" s="5">
        <v>45142</v>
      </c>
      <c r="B56" s="4" t="s">
        <v>27</v>
      </c>
      <c r="C56" s="4" t="s">
        <v>88</v>
      </c>
      <c r="D56" s="4" t="s">
        <v>74</v>
      </c>
      <c r="E56" s="17">
        <v>32</v>
      </c>
      <c r="F56" s="4" t="s">
        <v>3</v>
      </c>
      <c r="G56" s="41">
        <v>1</v>
      </c>
      <c r="H56" s="4">
        <v>35</v>
      </c>
      <c r="I56" s="4">
        <v>180</v>
      </c>
      <c r="J56" s="4"/>
      <c r="K56" s="4"/>
      <c r="L56" s="4"/>
      <c r="M56" s="4"/>
    </row>
    <row r="57" spans="1:13" hidden="1">
      <c r="A57" s="5">
        <v>45142</v>
      </c>
      <c r="B57" s="4" t="s">
        <v>27</v>
      </c>
      <c r="C57" s="4" t="s">
        <v>88</v>
      </c>
      <c r="D57" s="4" t="s">
        <v>74</v>
      </c>
      <c r="E57" s="17">
        <v>33</v>
      </c>
      <c r="F57" s="4" t="s">
        <v>31</v>
      </c>
      <c r="G57" s="41">
        <v>0.2</v>
      </c>
      <c r="H57" s="4">
        <v>65</v>
      </c>
      <c r="I57" s="4">
        <v>240</v>
      </c>
      <c r="J57" s="4"/>
      <c r="K57" s="4"/>
      <c r="L57" s="4"/>
      <c r="M57" s="4"/>
    </row>
    <row r="58" spans="1:13" hidden="1">
      <c r="A58" s="5">
        <v>45142</v>
      </c>
      <c r="B58" s="4" t="s">
        <v>27</v>
      </c>
      <c r="C58" s="4" t="s">
        <v>88</v>
      </c>
      <c r="D58" s="4" t="s">
        <v>57</v>
      </c>
      <c r="E58" s="17" t="s">
        <v>149</v>
      </c>
      <c r="F58" s="4" t="s">
        <v>146</v>
      </c>
      <c r="G58" s="4"/>
      <c r="H58" s="4">
        <v>106</v>
      </c>
      <c r="I58" s="4">
        <v>180</v>
      </c>
      <c r="J58" s="4"/>
      <c r="K58" s="4"/>
      <c r="L58" s="4"/>
      <c r="M58" s="4"/>
    </row>
    <row r="59" spans="1:13" hidden="1">
      <c r="A59" s="5">
        <v>45142</v>
      </c>
      <c r="B59" s="4" t="s">
        <v>27</v>
      </c>
      <c r="C59" s="4" t="s">
        <v>88</v>
      </c>
      <c r="D59" s="4" t="s">
        <v>57</v>
      </c>
      <c r="E59" s="17" t="s">
        <v>150</v>
      </c>
      <c r="F59" s="4" t="s">
        <v>146</v>
      </c>
      <c r="G59" s="4"/>
      <c r="H59" s="4">
        <v>44</v>
      </c>
      <c r="I59" s="4">
        <v>180</v>
      </c>
      <c r="J59" s="4"/>
      <c r="K59" s="4"/>
      <c r="L59" s="4"/>
      <c r="M59" s="4"/>
    </row>
    <row r="60" spans="1:13" hidden="1">
      <c r="A60" s="5">
        <v>45142</v>
      </c>
      <c r="B60" s="4" t="s">
        <v>27</v>
      </c>
      <c r="C60" s="4" t="s">
        <v>88</v>
      </c>
      <c r="D60" s="4" t="s">
        <v>57</v>
      </c>
      <c r="E60" s="17" t="s">
        <v>150</v>
      </c>
      <c r="F60" s="4" t="s">
        <v>146</v>
      </c>
      <c r="G60" s="4"/>
      <c r="H60" s="4">
        <v>75</v>
      </c>
      <c r="I60" s="4">
        <v>180</v>
      </c>
      <c r="J60" s="4"/>
      <c r="K60" s="4"/>
      <c r="L60" s="4"/>
      <c r="M60" s="4"/>
    </row>
    <row r="61" spans="1:13" hidden="1">
      <c r="A61" s="5">
        <v>45142</v>
      </c>
      <c r="B61" s="4" t="s">
        <v>27</v>
      </c>
      <c r="C61" s="4" t="s">
        <v>88</v>
      </c>
      <c r="D61" s="4" t="s">
        <v>57</v>
      </c>
      <c r="E61" s="17" t="s">
        <v>150</v>
      </c>
      <c r="F61" s="4" t="s">
        <v>146</v>
      </c>
      <c r="G61" s="4"/>
      <c r="H61" s="4">
        <v>125.00000000000001</v>
      </c>
      <c r="I61" s="4">
        <v>180</v>
      </c>
      <c r="J61" s="4"/>
      <c r="K61" s="4"/>
      <c r="L61" s="4"/>
      <c r="M61" s="4"/>
    </row>
    <row r="62" spans="1:13" hidden="1">
      <c r="A62" s="5">
        <v>45142</v>
      </c>
      <c r="B62" s="4" t="s">
        <v>27</v>
      </c>
      <c r="C62" s="4" t="s">
        <v>88</v>
      </c>
      <c r="D62" s="4" t="s">
        <v>57</v>
      </c>
      <c r="E62" s="17" t="s">
        <v>150</v>
      </c>
      <c r="F62" s="4" t="s">
        <v>146</v>
      </c>
      <c r="G62" s="4"/>
      <c r="H62" s="4">
        <v>20</v>
      </c>
      <c r="I62" s="4">
        <v>180</v>
      </c>
      <c r="J62" s="4"/>
      <c r="K62" s="4"/>
      <c r="L62" s="4"/>
      <c r="M62" s="4"/>
    </row>
    <row r="63" spans="1:13" hidden="1">
      <c r="A63" s="5">
        <v>45142</v>
      </c>
      <c r="B63" s="4" t="s">
        <v>27</v>
      </c>
      <c r="C63" s="4" t="s">
        <v>88</v>
      </c>
      <c r="D63" s="4" t="s">
        <v>57</v>
      </c>
      <c r="E63" s="17">
        <v>25</v>
      </c>
      <c r="F63" s="4" t="s">
        <v>146</v>
      </c>
      <c r="G63" s="4"/>
      <c r="H63" s="4">
        <v>800</v>
      </c>
      <c r="I63" s="4">
        <v>180</v>
      </c>
      <c r="J63" s="4"/>
      <c r="K63" s="4"/>
      <c r="L63" s="4"/>
      <c r="M63" s="4"/>
    </row>
    <row r="64" spans="1:13" hidden="1">
      <c r="A64" s="5">
        <v>45142</v>
      </c>
      <c r="B64" s="4" t="s">
        <v>21</v>
      </c>
      <c r="C64" s="4" t="s">
        <v>84</v>
      </c>
      <c r="D64" s="4" t="s">
        <v>80</v>
      </c>
      <c r="E64" s="17">
        <v>3</v>
      </c>
      <c r="F64" s="4" t="s">
        <v>5</v>
      </c>
      <c r="G64" s="4">
        <v>857</v>
      </c>
      <c r="H64" s="4">
        <v>90</v>
      </c>
      <c r="I64" s="4">
        <v>60</v>
      </c>
      <c r="J64" s="4"/>
      <c r="K64" s="4"/>
      <c r="L64" s="4"/>
      <c r="M64" s="4"/>
    </row>
    <row r="65" spans="1:13" hidden="1">
      <c r="A65" s="5">
        <v>45142</v>
      </c>
      <c r="B65" s="4" t="s">
        <v>21</v>
      </c>
      <c r="C65" s="4" t="s">
        <v>84</v>
      </c>
      <c r="D65" s="4" t="s">
        <v>80</v>
      </c>
      <c r="E65" s="17">
        <v>4</v>
      </c>
      <c r="F65" s="4" t="s">
        <v>5</v>
      </c>
      <c r="G65" s="4">
        <v>325</v>
      </c>
      <c r="H65" s="4">
        <v>60</v>
      </c>
      <c r="I65" s="4">
        <v>60</v>
      </c>
      <c r="J65" s="4"/>
      <c r="K65" s="4"/>
      <c r="L65" s="4"/>
      <c r="M65" s="4"/>
    </row>
    <row r="66" spans="1:13" hidden="1">
      <c r="A66" s="5">
        <v>45142</v>
      </c>
      <c r="B66" s="4" t="s">
        <v>21</v>
      </c>
      <c r="C66" s="4" t="s">
        <v>84</v>
      </c>
      <c r="D66" s="4" t="s">
        <v>80</v>
      </c>
      <c r="E66" s="17">
        <v>4</v>
      </c>
      <c r="F66" s="4" t="s">
        <v>5</v>
      </c>
      <c r="G66" s="4">
        <v>313</v>
      </c>
      <c r="H66" s="4">
        <v>45</v>
      </c>
      <c r="I66" s="4">
        <v>60</v>
      </c>
      <c r="J66" s="4"/>
      <c r="K66" s="4"/>
      <c r="L66" s="4"/>
      <c r="M66" s="4"/>
    </row>
    <row r="67" spans="1:13" hidden="1">
      <c r="A67" s="5">
        <v>45142</v>
      </c>
      <c r="B67" s="4" t="s">
        <v>16</v>
      </c>
      <c r="C67" s="4" t="s">
        <v>103</v>
      </c>
      <c r="D67" s="4" t="s">
        <v>80</v>
      </c>
      <c r="E67" s="17"/>
      <c r="F67" s="4" t="s">
        <v>16</v>
      </c>
      <c r="G67" s="4"/>
      <c r="H67" s="4">
        <v>35</v>
      </c>
      <c r="I67" s="4">
        <v>15</v>
      </c>
      <c r="J67" s="4"/>
      <c r="K67" s="4"/>
      <c r="L67" s="4"/>
      <c r="M67" s="4"/>
    </row>
    <row r="68" spans="1:13" hidden="1">
      <c r="A68" s="5">
        <v>45142</v>
      </c>
      <c r="B68" s="4" t="s">
        <v>15</v>
      </c>
      <c r="C68" s="4" t="s">
        <v>15</v>
      </c>
      <c r="D68" s="4" t="s">
        <v>80</v>
      </c>
      <c r="E68" s="17"/>
      <c r="F68" s="4" t="s">
        <v>16</v>
      </c>
      <c r="G68" s="4"/>
      <c r="H68" s="4">
        <v>205</v>
      </c>
      <c r="I68" s="4">
        <v>15</v>
      </c>
      <c r="J68" s="4"/>
      <c r="K68" s="4"/>
      <c r="L68" s="4"/>
      <c r="M68" s="4" t="s">
        <v>104</v>
      </c>
    </row>
    <row r="69" spans="1:13" hidden="1">
      <c r="A69" s="5">
        <v>45142</v>
      </c>
      <c r="B69" s="4" t="s">
        <v>15</v>
      </c>
      <c r="C69" s="4" t="s">
        <v>15</v>
      </c>
      <c r="D69" s="4" t="s">
        <v>80</v>
      </c>
      <c r="E69" s="17"/>
      <c r="F69" s="4" t="s">
        <v>16</v>
      </c>
      <c r="G69" s="4"/>
      <c r="H69" s="4">
        <v>45</v>
      </c>
      <c r="I69" s="4">
        <v>15</v>
      </c>
      <c r="J69" s="4"/>
      <c r="K69" s="4"/>
      <c r="L69" s="4"/>
      <c r="M69" s="4" t="s">
        <v>105</v>
      </c>
    </row>
    <row r="70" spans="1:13" hidden="1">
      <c r="A70" s="5">
        <v>45142</v>
      </c>
      <c r="B70" s="4" t="s">
        <v>21</v>
      </c>
      <c r="C70" s="4" t="s">
        <v>84</v>
      </c>
      <c r="D70" s="4" t="s">
        <v>98</v>
      </c>
      <c r="E70" s="17">
        <v>2</v>
      </c>
      <c r="F70" s="4" t="s">
        <v>4</v>
      </c>
      <c r="G70" s="4"/>
      <c r="H70" s="4">
        <v>175</v>
      </c>
      <c r="I70" s="4">
        <v>120</v>
      </c>
      <c r="J70" s="4"/>
      <c r="K70" s="4"/>
      <c r="L70" s="4"/>
      <c r="M70" s="4"/>
    </row>
    <row r="71" spans="1:13" hidden="1">
      <c r="A71" s="5">
        <v>45142</v>
      </c>
      <c r="B71" s="4" t="s">
        <v>19</v>
      </c>
      <c r="C71" s="4" t="s">
        <v>73</v>
      </c>
      <c r="D71" s="4" t="s">
        <v>98</v>
      </c>
      <c r="E71" s="17"/>
      <c r="F71" s="4" t="s">
        <v>8</v>
      </c>
      <c r="G71" s="4"/>
      <c r="H71" s="4">
        <v>175</v>
      </c>
      <c r="I71" s="4">
        <v>360</v>
      </c>
      <c r="J71" s="4"/>
      <c r="K71" s="4"/>
      <c r="L71" s="4"/>
      <c r="M71" s="4"/>
    </row>
    <row r="72" spans="1:13" hidden="1">
      <c r="A72" s="5">
        <v>45142</v>
      </c>
      <c r="B72" s="4" t="s">
        <v>19</v>
      </c>
      <c r="C72" s="4" t="s">
        <v>73</v>
      </c>
      <c r="D72" s="4" t="s">
        <v>98</v>
      </c>
      <c r="E72" s="17"/>
      <c r="F72" s="4" t="s">
        <v>8</v>
      </c>
      <c r="G72" s="4"/>
      <c r="H72" s="4">
        <v>114.99999999999999</v>
      </c>
      <c r="I72" s="4">
        <v>360</v>
      </c>
      <c r="J72" s="4"/>
      <c r="K72" s="4"/>
      <c r="L72" s="4"/>
      <c r="M72" s="4"/>
    </row>
    <row r="73" spans="1:13" hidden="1">
      <c r="A73" s="5">
        <v>45142</v>
      </c>
      <c r="B73" s="4" t="s">
        <v>27</v>
      </c>
      <c r="C73" s="4" t="s">
        <v>88</v>
      </c>
      <c r="D73" s="4" t="s">
        <v>61</v>
      </c>
      <c r="E73" s="17">
        <v>23</v>
      </c>
      <c r="F73" s="4" t="s">
        <v>146</v>
      </c>
      <c r="G73" s="4"/>
      <c r="H73" s="4">
        <v>120</v>
      </c>
      <c r="I73" s="4">
        <v>180</v>
      </c>
      <c r="J73" s="4"/>
      <c r="K73" s="4"/>
      <c r="L73" s="4"/>
      <c r="M73" s="4"/>
    </row>
    <row r="74" spans="1:13" hidden="1">
      <c r="A74" s="5">
        <v>45142</v>
      </c>
      <c r="B74" s="4" t="s">
        <v>27</v>
      </c>
      <c r="C74" s="4" t="s">
        <v>88</v>
      </c>
      <c r="D74" s="4" t="s">
        <v>61</v>
      </c>
      <c r="E74" s="17">
        <v>23</v>
      </c>
      <c r="F74" s="4" t="s">
        <v>146</v>
      </c>
      <c r="G74" s="4"/>
      <c r="H74" s="4">
        <v>75</v>
      </c>
      <c r="I74" s="4">
        <v>180</v>
      </c>
      <c r="J74" s="4"/>
      <c r="K74" s="4"/>
      <c r="L74" s="4"/>
      <c r="M74" s="4"/>
    </row>
    <row r="75" spans="1:13" hidden="1">
      <c r="A75" s="5">
        <v>45142</v>
      </c>
      <c r="B75" s="4" t="s">
        <v>27</v>
      </c>
      <c r="C75" s="4" t="s">
        <v>88</v>
      </c>
      <c r="D75" s="4" t="s">
        <v>61</v>
      </c>
      <c r="E75" s="17">
        <v>23</v>
      </c>
      <c r="F75" s="4" t="s">
        <v>146</v>
      </c>
      <c r="G75" s="4"/>
      <c r="H75" s="4">
        <v>90</v>
      </c>
      <c r="I75" s="4">
        <v>180</v>
      </c>
      <c r="J75" s="4"/>
      <c r="K75" s="4"/>
      <c r="L75" s="4"/>
      <c r="M75" s="4"/>
    </row>
    <row r="76" spans="1:13" hidden="1">
      <c r="A76" s="20">
        <v>45145</v>
      </c>
      <c r="B76" s="4" t="s">
        <v>21</v>
      </c>
      <c r="C76" s="4" t="s">
        <v>106</v>
      </c>
      <c r="D76" s="4" t="s">
        <v>80</v>
      </c>
      <c r="E76" s="17">
        <v>4</v>
      </c>
      <c r="F76" s="4" t="s">
        <v>5</v>
      </c>
      <c r="G76" s="4"/>
      <c r="H76" s="4">
        <v>175</v>
      </c>
      <c r="I76" s="4">
        <v>60</v>
      </c>
      <c r="J76" s="4"/>
      <c r="K76" s="4"/>
      <c r="L76" s="4"/>
      <c r="M76" s="4"/>
    </row>
    <row r="77" spans="1:13" hidden="1">
      <c r="A77" s="20">
        <v>45145</v>
      </c>
      <c r="B77" s="4"/>
      <c r="C77" s="4" t="s">
        <v>107</v>
      </c>
      <c r="D77" s="4" t="s">
        <v>80</v>
      </c>
      <c r="E77" s="17"/>
      <c r="F77" s="4" t="s">
        <v>15</v>
      </c>
      <c r="G77" s="4"/>
      <c r="H77" s="4">
        <v>20</v>
      </c>
      <c r="I77" s="4">
        <v>15</v>
      </c>
      <c r="J77" s="4"/>
      <c r="K77" s="4"/>
      <c r="L77" s="4"/>
      <c r="M77" s="4"/>
    </row>
    <row r="78" spans="1:13" hidden="1">
      <c r="A78" s="20">
        <v>45145</v>
      </c>
      <c r="B78" s="4" t="s">
        <v>21</v>
      </c>
      <c r="C78" s="4" t="s">
        <v>106</v>
      </c>
      <c r="D78" s="4" t="s">
        <v>80</v>
      </c>
      <c r="E78" s="17">
        <v>4</v>
      </c>
      <c r="F78" s="4" t="s">
        <v>5</v>
      </c>
      <c r="G78" s="4">
        <v>2000</v>
      </c>
      <c r="H78" s="4">
        <v>60</v>
      </c>
      <c r="I78" s="4">
        <v>60</v>
      </c>
      <c r="J78" s="4"/>
      <c r="K78" s="4"/>
      <c r="L78" s="4"/>
      <c r="M78" s="4"/>
    </row>
    <row r="79" spans="1:13" hidden="1">
      <c r="A79" s="20">
        <v>45145</v>
      </c>
      <c r="B79" s="4" t="s">
        <v>21</v>
      </c>
      <c r="C79" s="4" t="s">
        <v>106</v>
      </c>
      <c r="D79" s="4" t="s">
        <v>80</v>
      </c>
      <c r="E79" s="17">
        <v>5</v>
      </c>
      <c r="F79" s="4" t="s">
        <v>5</v>
      </c>
      <c r="G79" s="4">
        <v>1443</v>
      </c>
      <c r="H79" s="4">
        <v>135</v>
      </c>
      <c r="I79" s="4">
        <v>60</v>
      </c>
      <c r="J79" s="4"/>
      <c r="K79" s="4"/>
      <c r="L79" s="4"/>
      <c r="M79" s="4"/>
    </row>
    <row r="80" spans="1:13" hidden="1">
      <c r="A80" s="20">
        <v>45145</v>
      </c>
      <c r="B80" s="4" t="s">
        <v>21</v>
      </c>
      <c r="C80" s="4" t="s">
        <v>106</v>
      </c>
      <c r="D80" s="4" t="s">
        <v>80</v>
      </c>
      <c r="E80" s="17">
        <v>5</v>
      </c>
      <c r="F80" s="4" t="s">
        <v>5</v>
      </c>
      <c r="G80" s="4">
        <v>537</v>
      </c>
      <c r="H80" s="4">
        <v>90</v>
      </c>
      <c r="I80" s="4">
        <v>60</v>
      </c>
      <c r="J80" s="4"/>
      <c r="K80" s="4"/>
      <c r="L80" s="4"/>
      <c r="M80" s="4"/>
    </row>
    <row r="81" spans="1:13" hidden="1">
      <c r="A81" s="20">
        <v>45145</v>
      </c>
      <c r="B81" s="4" t="s">
        <v>27</v>
      </c>
      <c r="C81" s="4" t="s">
        <v>88</v>
      </c>
      <c r="D81" s="4" t="s">
        <v>74</v>
      </c>
      <c r="E81" s="17">
        <v>33</v>
      </c>
      <c r="F81" s="4" t="s">
        <v>31</v>
      </c>
      <c r="G81" s="41">
        <v>0.4</v>
      </c>
      <c r="H81" s="4">
        <v>150</v>
      </c>
      <c r="I81" s="4">
        <v>240</v>
      </c>
      <c r="J81" s="4"/>
      <c r="K81" s="4"/>
      <c r="L81" s="4"/>
      <c r="M81" s="4"/>
    </row>
    <row r="82" spans="1:13" hidden="1">
      <c r="A82" s="20">
        <v>45145</v>
      </c>
      <c r="B82" s="4" t="s">
        <v>27</v>
      </c>
      <c r="C82" s="4" t="s">
        <v>88</v>
      </c>
      <c r="D82" s="4" t="s">
        <v>74</v>
      </c>
      <c r="E82" s="17">
        <v>33</v>
      </c>
      <c r="F82" s="4" t="s">
        <v>31</v>
      </c>
      <c r="G82" s="41">
        <v>0.7</v>
      </c>
      <c r="H82" s="4">
        <v>80</v>
      </c>
      <c r="I82" s="4">
        <v>240</v>
      </c>
      <c r="J82" s="4"/>
      <c r="K82" s="4"/>
      <c r="L82" s="4"/>
      <c r="M82" s="4"/>
    </row>
    <row r="83" spans="1:13" hidden="1">
      <c r="A83" s="20">
        <v>45145</v>
      </c>
      <c r="B83" s="4" t="s">
        <v>27</v>
      </c>
      <c r="C83" s="4" t="s">
        <v>88</v>
      </c>
      <c r="D83" s="4" t="s">
        <v>74</v>
      </c>
      <c r="E83" s="17">
        <v>33</v>
      </c>
      <c r="F83" s="4" t="s">
        <v>31</v>
      </c>
      <c r="G83" s="41">
        <v>0.9</v>
      </c>
      <c r="H83" s="4">
        <v>125.00000000000001</v>
      </c>
      <c r="I83" s="4">
        <v>240</v>
      </c>
      <c r="J83" s="4"/>
      <c r="K83" s="4"/>
      <c r="L83" s="4"/>
      <c r="M83" s="4"/>
    </row>
    <row r="84" spans="1:13" hidden="1">
      <c r="A84" s="20">
        <v>45145</v>
      </c>
      <c r="B84" s="4" t="s">
        <v>27</v>
      </c>
      <c r="C84" s="4" t="s">
        <v>88</v>
      </c>
      <c r="D84" s="4" t="s">
        <v>74</v>
      </c>
      <c r="E84" s="17">
        <v>33</v>
      </c>
      <c r="F84" s="4" t="s">
        <v>31</v>
      </c>
      <c r="G84" s="41">
        <v>1</v>
      </c>
      <c r="H84" s="4">
        <v>50</v>
      </c>
      <c r="I84" s="4">
        <v>240</v>
      </c>
      <c r="J84" s="4"/>
      <c r="K84" s="4"/>
      <c r="L84" s="4"/>
      <c r="M84" s="4"/>
    </row>
    <row r="85" spans="1:13" hidden="1">
      <c r="A85" s="20">
        <v>45145</v>
      </c>
      <c r="B85" s="4" t="s">
        <v>27</v>
      </c>
      <c r="C85" s="4" t="s">
        <v>88</v>
      </c>
      <c r="D85" s="4" t="s">
        <v>74</v>
      </c>
      <c r="E85" s="17">
        <v>33</v>
      </c>
      <c r="F85" s="4" t="s">
        <v>31</v>
      </c>
      <c r="G85" s="41">
        <v>0.05</v>
      </c>
      <c r="H85" s="4">
        <v>40</v>
      </c>
      <c r="I85" s="4">
        <v>240</v>
      </c>
      <c r="J85" s="4"/>
      <c r="K85" s="4"/>
      <c r="L85" s="4"/>
      <c r="M85" s="4"/>
    </row>
    <row r="86" spans="1:13" hidden="1">
      <c r="A86" s="20">
        <v>45145</v>
      </c>
      <c r="B86" s="4" t="s">
        <v>27</v>
      </c>
      <c r="C86" s="4" t="s">
        <v>88</v>
      </c>
      <c r="D86" s="4" t="s">
        <v>57</v>
      </c>
      <c r="E86" s="17">
        <v>25</v>
      </c>
      <c r="F86" s="4" t="s">
        <v>146</v>
      </c>
      <c r="G86" s="4"/>
      <c r="H86" s="4">
        <v>150</v>
      </c>
      <c r="I86" s="4">
        <v>180</v>
      </c>
      <c r="J86" s="4"/>
      <c r="K86" s="4"/>
      <c r="L86" s="4"/>
      <c r="M86" s="4" t="s">
        <v>151</v>
      </c>
    </row>
    <row r="87" spans="1:13" hidden="1">
      <c r="A87" s="20">
        <v>45145</v>
      </c>
      <c r="B87" s="4" t="s">
        <v>27</v>
      </c>
      <c r="C87" s="4" t="s">
        <v>88</v>
      </c>
      <c r="D87" s="4" t="s">
        <v>57</v>
      </c>
      <c r="E87" s="17">
        <v>25</v>
      </c>
      <c r="F87" s="4" t="s">
        <v>146</v>
      </c>
      <c r="G87" s="4"/>
      <c r="H87" s="4">
        <v>85</v>
      </c>
      <c r="I87" s="4">
        <v>180</v>
      </c>
      <c r="J87" s="4"/>
      <c r="K87" s="4"/>
      <c r="L87" s="4"/>
      <c r="M87" s="4"/>
    </row>
    <row r="88" spans="1:13" hidden="1">
      <c r="A88" s="20">
        <v>45145</v>
      </c>
      <c r="B88" s="4" t="s">
        <v>27</v>
      </c>
      <c r="C88" s="4" t="s">
        <v>88</v>
      </c>
      <c r="D88" s="4" t="s">
        <v>57</v>
      </c>
      <c r="E88" s="17"/>
      <c r="F88" s="4" t="s">
        <v>146</v>
      </c>
      <c r="G88" s="4"/>
      <c r="H88" s="4">
        <v>15</v>
      </c>
      <c r="I88" s="4">
        <v>180</v>
      </c>
      <c r="J88" s="4"/>
      <c r="K88" s="4"/>
      <c r="L88" s="4"/>
      <c r="M88" s="4"/>
    </row>
    <row r="89" spans="1:13" hidden="1">
      <c r="A89" s="20">
        <v>45145</v>
      </c>
      <c r="B89" s="4" t="s">
        <v>27</v>
      </c>
      <c r="C89" s="4" t="s">
        <v>88</v>
      </c>
      <c r="D89" s="4" t="s">
        <v>57</v>
      </c>
      <c r="E89" s="17" t="s">
        <v>152</v>
      </c>
      <c r="F89" s="4" t="s">
        <v>146</v>
      </c>
      <c r="G89" s="4"/>
      <c r="H89" s="4">
        <v>105</v>
      </c>
      <c r="I89" s="4">
        <v>180</v>
      </c>
      <c r="J89" s="4"/>
      <c r="K89" s="4"/>
      <c r="L89" s="4"/>
      <c r="M89" s="4"/>
    </row>
    <row r="90" spans="1:13" hidden="1">
      <c r="A90" s="20">
        <v>45145</v>
      </c>
      <c r="B90" s="4" t="s">
        <v>27</v>
      </c>
      <c r="C90" s="4" t="s">
        <v>88</v>
      </c>
      <c r="D90" s="4" t="s">
        <v>57</v>
      </c>
      <c r="E90" s="17" t="s">
        <v>152</v>
      </c>
      <c r="F90" s="4" t="s">
        <v>146</v>
      </c>
      <c r="G90" s="4"/>
      <c r="H90" s="4">
        <v>95.000000000000014</v>
      </c>
      <c r="I90" s="4">
        <v>180</v>
      </c>
      <c r="J90" s="4"/>
      <c r="K90" s="4"/>
      <c r="L90" s="4"/>
      <c r="M90" s="4"/>
    </row>
    <row r="91" spans="1:13" hidden="1">
      <c r="A91" s="20">
        <v>45145</v>
      </c>
      <c r="B91" s="4" t="s">
        <v>27</v>
      </c>
      <c r="C91" s="4" t="s">
        <v>88</v>
      </c>
      <c r="D91" s="4" t="s">
        <v>61</v>
      </c>
      <c r="E91" s="17">
        <v>23</v>
      </c>
      <c r="F91" s="4" t="s">
        <v>146</v>
      </c>
      <c r="G91" s="4"/>
      <c r="H91" s="4">
        <v>99.999999999999986</v>
      </c>
      <c r="I91" s="4">
        <v>180</v>
      </c>
      <c r="J91" s="4"/>
      <c r="K91" s="4"/>
      <c r="L91" s="4"/>
      <c r="M91" s="4"/>
    </row>
    <row r="92" spans="1:13" hidden="1">
      <c r="A92" s="20">
        <v>45145</v>
      </c>
      <c r="B92" s="4" t="s">
        <v>27</v>
      </c>
      <c r="C92" s="4" t="s">
        <v>88</v>
      </c>
      <c r="D92" s="4" t="s">
        <v>61</v>
      </c>
      <c r="E92" s="17"/>
      <c r="F92" s="4" t="s">
        <v>146</v>
      </c>
      <c r="G92" s="4"/>
      <c r="H92" s="4">
        <v>75</v>
      </c>
      <c r="I92" s="4">
        <v>180</v>
      </c>
      <c r="J92" s="4"/>
      <c r="K92" s="4"/>
      <c r="L92" s="4"/>
      <c r="M92" s="4"/>
    </row>
    <row r="93" spans="1:13" hidden="1">
      <c r="A93" s="20">
        <v>45145</v>
      </c>
      <c r="B93" s="4" t="s">
        <v>27</v>
      </c>
      <c r="C93" s="4" t="s">
        <v>88</v>
      </c>
      <c r="D93" s="4" t="s">
        <v>61</v>
      </c>
      <c r="E93" s="17"/>
      <c r="F93" s="4" t="s">
        <v>146</v>
      </c>
      <c r="G93" s="4"/>
      <c r="H93" s="4">
        <v>90</v>
      </c>
      <c r="I93" s="4">
        <v>180</v>
      </c>
      <c r="J93" s="4"/>
      <c r="K93" s="4"/>
      <c r="L93" s="4"/>
      <c r="M93" s="4"/>
    </row>
    <row r="94" spans="1:13" hidden="1">
      <c r="A94" s="20">
        <v>45146</v>
      </c>
      <c r="B94" s="4" t="s">
        <v>27</v>
      </c>
      <c r="C94" s="4" t="s">
        <v>88</v>
      </c>
      <c r="D94" s="4" t="s">
        <v>57</v>
      </c>
      <c r="E94" s="17">
        <v>25</v>
      </c>
      <c r="F94" s="4" t="s">
        <v>146</v>
      </c>
      <c r="G94" s="4"/>
      <c r="H94" s="4">
        <v>150</v>
      </c>
      <c r="I94" s="4">
        <v>180</v>
      </c>
      <c r="J94" s="4"/>
      <c r="K94" s="4"/>
      <c r="L94" s="4"/>
      <c r="M94" s="4"/>
    </row>
    <row r="95" spans="1:13" hidden="1">
      <c r="A95" s="20">
        <v>45146</v>
      </c>
      <c r="B95" s="4" t="s">
        <v>27</v>
      </c>
      <c r="C95" s="4" t="s">
        <v>88</v>
      </c>
      <c r="D95" s="4" t="s">
        <v>57</v>
      </c>
      <c r="E95" s="17">
        <v>25</v>
      </c>
      <c r="F95" s="4" t="s">
        <v>146</v>
      </c>
      <c r="G95" s="4"/>
      <c r="H95" s="4">
        <v>85</v>
      </c>
      <c r="I95" s="4">
        <v>180</v>
      </c>
      <c r="J95" s="4"/>
      <c r="K95" s="4"/>
      <c r="L95" s="4"/>
      <c r="M95" s="4"/>
    </row>
    <row r="96" spans="1:13" hidden="1">
      <c r="A96" s="20">
        <v>45146</v>
      </c>
      <c r="B96" s="4" t="s">
        <v>153</v>
      </c>
      <c r="C96" s="4" t="s">
        <v>83</v>
      </c>
      <c r="D96" s="4" t="s">
        <v>57</v>
      </c>
      <c r="E96" s="17"/>
      <c r="F96" s="4" t="s">
        <v>8</v>
      </c>
      <c r="G96" s="4"/>
      <c r="H96" s="4">
        <v>125.00000000000001</v>
      </c>
      <c r="I96" s="4">
        <v>360</v>
      </c>
      <c r="J96" s="4"/>
      <c r="K96" s="4"/>
      <c r="L96" s="4"/>
      <c r="M96" s="4"/>
    </row>
    <row r="97" spans="1:13" hidden="1">
      <c r="A97" s="20">
        <v>45146</v>
      </c>
      <c r="B97" s="4" t="s">
        <v>6</v>
      </c>
      <c r="C97" s="4" t="s">
        <v>83</v>
      </c>
      <c r="D97" s="4" t="s">
        <v>57</v>
      </c>
      <c r="E97" s="17"/>
      <c r="F97" s="4" t="s">
        <v>8</v>
      </c>
      <c r="G97" s="4"/>
      <c r="H97" s="4">
        <v>105</v>
      </c>
      <c r="I97" s="4">
        <v>360</v>
      </c>
      <c r="J97" s="4"/>
      <c r="K97" s="4"/>
      <c r="L97" s="4"/>
      <c r="M97" s="4"/>
    </row>
    <row r="98" spans="1:13" hidden="1">
      <c r="A98" s="20">
        <v>45146</v>
      </c>
      <c r="B98" s="4" t="s">
        <v>27</v>
      </c>
      <c r="C98" s="4" t="s">
        <v>88</v>
      </c>
      <c r="D98" s="4" t="s">
        <v>74</v>
      </c>
      <c r="E98" s="17">
        <v>34</v>
      </c>
      <c r="F98" s="4" t="s">
        <v>31</v>
      </c>
      <c r="G98" s="41">
        <v>0.8</v>
      </c>
      <c r="H98" s="4">
        <v>150</v>
      </c>
      <c r="I98" s="4">
        <v>240</v>
      </c>
      <c r="J98" s="4"/>
      <c r="K98" s="4"/>
      <c r="L98" s="4"/>
      <c r="M98" s="4"/>
    </row>
    <row r="99" spans="1:13" hidden="1">
      <c r="A99" s="20">
        <v>45146</v>
      </c>
      <c r="B99" s="4" t="s">
        <v>27</v>
      </c>
      <c r="C99" s="4" t="s">
        <v>88</v>
      </c>
      <c r="D99" s="4" t="s">
        <v>74</v>
      </c>
      <c r="E99" s="17">
        <v>34</v>
      </c>
      <c r="F99" s="4" t="s">
        <v>31</v>
      </c>
      <c r="G99" s="41">
        <v>0.9</v>
      </c>
      <c r="H99" s="4">
        <v>75</v>
      </c>
      <c r="I99" s="4">
        <v>240</v>
      </c>
      <c r="J99" s="4"/>
      <c r="K99" s="4"/>
      <c r="L99" s="4"/>
      <c r="M99" s="4"/>
    </row>
    <row r="100" spans="1:13" hidden="1">
      <c r="A100" s="20">
        <v>45146</v>
      </c>
      <c r="B100" s="4" t="s">
        <v>27</v>
      </c>
      <c r="C100" s="4" t="s">
        <v>88</v>
      </c>
      <c r="D100" s="4" t="s">
        <v>74</v>
      </c>
      <c r="E100" s="17">
        <v>34</v>
      </c>
      <c r="F100" s="4" t="s">
        <v>31</v>
      </c>
      <c r="G100" s="41">
        <v>1</v>
      </c>
      <c r="H100" s="4">
        <v>114.99999999999999</v>
      </c>
      <c r="I100" s="4">
        <v>240</v>
      </c>
      <c r="J100" s="4"/>
      <c r="K100" s="4"/>
      <c r="L100" s="4"/>
      <c r="M100" s="4"/>
    </row>
    <row r="101" spans="1:13" hidden="1">
      <c r="A101" s="20">
        <v>45146</v>
      </c>
      <c r="B101" s="4" t="s">
        <v>27</v>
      </c>
      <c r="C101" s="4" t="s">
        <v>88</v>
      </c>
      <c r="D101" s="4" t="s">
        <v>74</v>
      </c>
      <c r="E101" s="17">
        <v>39</v>
      </c>
      <c r="F101" s="4" t="s">
        <v>31</v>
      </c>
      <c r="G101" s="41">
        <v>0.35</v>
      </c>
      <c r="H101" s="4">
        <v>105</v>
      </c>
      <c r="I101" s="4">
        <v>240</v>
      </c>
      <c r="J101" s="4"/>
      <c r="K101" s="4"/>
      <c r="L101" s="4"/>
      <c r="M101" s="4"/>
    </row>
    <row r="102" spans="1:13" hidden="1">
      <c r="A102" s="20">
        <v>45146</v>
      </c>
      <c r="B102" s="4" t="s">
        <v>21</v>
      </c>
      <c r="C102" s="4" t="s">
        <v>106</v>
      </c>
      <c r="D102" s="4" t="s">
        <v>80</v>
      </c>
      <c r="E102" s="17">
        <v>5</v>
      </c>
      <c r="F102" s="4" t="s">
        <v>5</v>
      </c>
      <c r="G102" s="4">
        <v>1300</v>
      </c>
      <c r="H102" s="4">
        <v>120</v>
      </c>
      <c r="I102" s="4">
        <v>60</v>
      </c>
      <c r="J102" s="4"/>
      <c r="K102" s="4"/>
      <c r="L102" s="4"/>
      <c r="M102" s="4"/>
    </row>
    <row r="103" spans="1:13" hidden="1">
      <c r="A103" s="20">
        <v>45146</v>
      </c>
      <c r="B103" s="4" t="s">
        <v>27</v>
      </c>
      <c r="C103" s="4" t="s">
        <v>88</v>
      </c>
      <c r="D103" s="4" t="s">
        <v>80</v>
      </c>
      <c r="E103" s="17"/>
      <c r="F103" s="4" t="s">
        <v>29</v>
      </c>
      <c r="G103" s="4"/>
      <c r="H103" s="4">
        <v>60</v>
      </c>
      <c r="I103" s="4">
        <v>60</v>
      </c>
      <c r="J103" s="4"/>
      <c r="K103" s="4"/>
      <c r="L103" s="4"/>
      <c r="M103" s="4" t="s">
        <v>108</v>
      </c>
    </row>
    <row r="104" spans="1:13" hidden="1">
      <c r="A104" s="20">
        <v>45146</v>
      </c>
      <c r="B104" s="4" t="s">
        <v>27</v>
      </c>
      <c r="C104" s="4" t="s">
        <v>88</v>
      </c>
      <c r="D104" s="4" t="s">
        <v>80</v>
      </c>
      <c r="E104" s="17">
        <v>262</v>
      </c>
      <c r="F104" s="4" t="s">
        <v>5</v>
      </c>
      <c r="G104" s="4">
        <v>2542</v>
      </c>
      <c r="H104" s="4">
        <v>165</v>
      </c>
      <c r="I104" s="4">
        <v>60</v>
      </c>
      <c r="J104" s="4"/>
      <c r="K104" s="4"/>
      <c r="L104" s="4"/>
      <c r="M104" s="4"/>
    </row>
    <row r="105" spans="1:13" hidden="1">
      <c r="A105" s="20">
        <v>45146</v>
      </c>
      <c r="B105" s="4"/>
      <c r="C105" s="4" t="s">
        <v>109</v>
      </c>
      <c r="D105" s="4" t="s">
        <v>80</v>
      </c>
      <c r="E105" s="17">
        <v>82</v>
      </c>
      <c r="F105" s="4" t="s">
        <v>15</v>
      </c>
      <c r="G105" s="4"/>
      <c r="H105" s="4">
        <v>180</v>
      </c>
      <c r="I105" s="4">
        <v>15</v>
      </c>
      <c r="J105" s="4"/>
      <c r="K105" s="4"/>
      <c r="L105" s="4"/>
      <c r="M105" s="4"/>
    </row>
    <row r="106" spans="1:13" hidden="1">
      <c r="A106" s="20">
        <v>45146</v>
      </c>
      <c r="B106" s="4" t="s">
        <v>27</v>
      </c>
      <c r="C106" s="4" t="s">
        <v>88</v>
      </c>
      <c r="D106" s="4" t="s">
        <v>80</v>
      </c>
      <c r="E106" s="17"/>
      <c r="F106" s="4" t="s">
        <v>28</v>
      </c>
      <c r="G106" s="4"/>
      <c r="H106" s="4">
        <v>15</v>
      </c>
      <c r="I106" s="4">
        <v>60</v>
      </c>
      <c r="J106" s="4"/>
      <c r="K106" s="4"/>
      <c r="L106" s="4"/>
      <c r="M106" s="4" t="s">
        <v>110</v>
      </c>
    </row>
    <row r="107" spans="1:13" hidden="1">
      <c r="A107" s="20">
        <v>45146</v>
      </c>
      <c r="B107" s="4" t="s">
        <v>27</v>
      </c>
      <c r="C107" s="4" t="s">
        <v>88</v>
      </c>
      <c r="D107" s="4" t="s">
        <v>80</v>
      </c>
      <c r="E107" s="17">
        <v>26</v>
      </c>
      <c r="F107" s="4" t="s">
        <v>5</v>
      </c>
      <c r="G107" s="4">
        <v>400</v>
      </c>
      <c r="H107" s="4">
        <v>60</v>
      </c>
      <c r="I107" s="4">
        <v>60</v>
      </c>
      <c r="J107" s="4"/>
      <c r="K107" s="4"/>
      <c r="L107" s="4"/>
      <c r="M107" s="4"/>
    </row>
    <row r="108" spans="1:13" hidden="1">
      <c r="A108" s="36">
        <v>45147</v>
      </c>
      <c r="B108" s="6" t="s">
        <v>27</v>
      </c>
      <c r="C108" s="6" t="s">
        <v>88</v>
      </c>
      <c r="D108" s="6" t="s">
        <v>80</v>
      </c>
      <c r="E108" s="18">
        <v>26</v>
      </c>
      <c r="F108" s="6" t="s">
        <v>5</v>
      </c>
      <c r="G108" s="6">
        <v>805</v>
      </c>
      <c r="H108" s="4">
        <v>60</v>
      </c>
      <c r="I108" s="4">
        <v>60</v>
      </c>
      <c r="J108" s="4"/>
      <c r="K108" s="4"/>
      <c r="L108" s="4"/>
      <c r="M108" s="6"/>
    </row>
    <row r="109" spans="1:13" hidden="1">
      <c r="A109" s="20">
        <v>45147</v>
      </c>
      <c r="B109" s="4" t="s">
        <v>38</v>
      </c>
      <c r="C109" s="4" t="s">
        <v>15</v>
      </c>
      <c r="D109" s="6" t="s">
        <v>80</v>
      </c>
      <c r="E109" s="17"/>
      <c r="F109" s="4" t="s">
        <v>15</v>
      </c>
      <c r="G109" s="4"/>
      <c r="H109" s="4">
        <v>75</v>
      </c>
      <c r="I109" s="4">
        <v>15</v>
      </c>
      <c r="J109" s="4"/>
      <c r="K109" s="4"/>
      <c r="L109" s="4"/>
      <c r="M109" s="4"/>
    </row>
    <row r="110" spans="1:13" hidden="1">
      <c r="A110" s="20">
        <v>45147</v>
      </c>
      <c r="B110" s="4" t="s">
        <v>40</v>
      </c>
      <c r="C110" s="4" t="s">
        <v>111</v>
      </c>
      <c r="D110" s="6" t="s">
        <v>80</v>
      </c>
      <c r="E110" s="17">
        <v>1</v>
      </c>
      <c r="F110" s="4" t="s">
        <v>154</v>
      </c>
      <c r="G110" s="4">
        <v>372</v>
      </c>
      <c r="H110" s="4">
        <v>370</v>
      </c>
      <c r="I110" s="4">
        <v>240</v>
      </c>
      <c r="J110" s="4"/>
      <c r="K110" s="4"/>
      <c r="L110" s="4"/>
      <c r="M110" s="4" t="s">
        <v>112</v>
      </c>
    </row>
    <row r="111" spans="1:13" hidden="1">
      <c r="A111" s="20">
        <v>45147</v>
      </c>
      <c r="B111" s="4" t="s">
        <v>6</v>
      </c>
      <c r="C111" s="4" t="s">
        <v>113</v>
      </c>
      <c r="D111" s="4" t="s">
        <v>61</v>
      </c>
      <c r="E111" s="17"/>
      <c r="F111" s="4" t="s">
        <v>130</v>
      </c>
      <c r="G111" s="4"/>
      <c r="H111" s="4">
        <v>120</v>
      </c>
      <c r="I111" s="4">
        <v>120</v>
      </c>
      <c r="J111" s="4"/>
      <c r="K111" s="4"/>
      <c r="L111" s="4"/>
      <c r="M111" s="4"/>
    </row>
    <row r="112" spans="1:13" hidden="1">
      <c r="A112" s="20">
        <v>45147</v>
      </c>
      <c r="B112" s="4" t="s">
        <v>21</v>
      </c>
      <c r="C112" s="4" t="s">
        <v>106</v>
      </c>
      <c r="D112" s="4" t="s">
        <v>61</v>
      </c>
      <c r="E112" s="17"/>
      <c r="F112" s="4" t="s">
        <v>155</v>
      </c>
      <c r="G112" s="4"/>
      <c r="H112" s="4">
        <v>75</v>
      </c>
      <c r="I112" s="4">
        <v>180</v>
      </c>
      <c r="J112" s="4"/>
      <c r="K112" s="4"/>
      <c r="L112" s="4"/>
      <c r="M112" s="4"/>
    </row>
    <row r="113" spans="1:13" hidden="1">
      <c r="A113" s="20">
        <v>45147</v>
      </c>
      <c r="B113" s="4" t="s">
        <v>21</v>
      </c>
      <c r="C113" s="4" t="s">
        <v>106</v>
      </c>
      <c r="D113" s="4" t="s">
        <v>61</v>
      </c>
      <c r="E113" s="17"/>
      <c r="F113" s="4" t="s">
        <v>155</v>
      </c>
      <c r="G113" s="4"/>
      <c r="H113" s="4">
        <v>90</v>
      </c>
      <c r="I113" s="4">
        <v>180</v>
      </c>
      <c r="J113" s="4"/>
      <c r="K113" s="4"/>
      <c r="L113" s="4"/>
      <c r="M113" s="4" t="s">
        <v>114</v>
      </c>
    </row>
    <row r="114" spans="1:13" hidden="1">
      <c r="A114" s="20">
        <v>45147</v>
      </c>
      <c r="B114" s="4" t="s">
        <v>21</v>
      </c>
      <c r="C114" s="4" t="s">
        <v>106</v>
      </c>
      <c r="D114" s="4" t="s">
        <v>78</v>
      </c>
      <c r="E114" s="17">
        <v>3</v>
      </c>
      <c r="F114" s="4" t="s">
        <v>4</v>
      </c>
      <c r="G114" s="4"/>
      <c r="H114" s="4">
        <v>285</v>
      </c>
      <c r="I114" s="4">
        <v>120</v>
      </c>
      <c r="J114" s="4"/>
      <c r="K114" s="4"/>
      <c r="L114" s="4"/>
      <c r="M114" s="4"/>
    </row>
    <row r="115" spans="1:13" hidden="1">
      <c r="A115" s="20">
        <v>45147</v>
      </c>
      <c r="B115" s="4" t="s">
        <v>27</v>
      </c>
      <c r="C115" s="4" t="s">
        <v>88</v>
      </c>
      <c r="D115" s="4" t="s">
        <v>74</v>
      </c>
      <c r="E115" s="17">
        <v>39</v>
      </c>
      <c r="F115" s="4" t="s">
        <v>31</v>
      </c>
      <c r="G115" s="41">
        <v>0.9</v>
      </c>
      <c r="H115" s="4">
        <v>165</v>
      </c>
      <c r="I115" s="4">
        <v>240</v>
      </c>
      <c r="J115" s="4"/>
      <c r="K115" s="4"/>
      <c r="L115" s="4"/>
      <c r="M115" s="4"/>
    </row>
    <row r="116" spans="1:13" hidden="1">
      <c r="A116" s="20">
        <v>45147</v>
      </c>
      <c r="B116" s="4" t="s">
        <v>27</v>
      </c>
      <c r="C116" s="4" t="s">
        <v>88</v>
      </c>
      <c r="D116" s="4" t="s">
        <v>74</v>
      </c>
      <c r="E116" s="17">
        <v>39</v>
      </c>
      <c r="F116" s="4" t="s">
        <v>3</v>
      </c>
      <c r="G116" s="41">
        <v>1</v>
      </c>
      <c r="H116" s="4">
        <v>35</v>
      </c>
      <c r="I116" s="4">
        <v>180</v>
      </c>
      <c r="J116" s="4"/>
      <c r="K116" s="4"/>
      <c r="L116" s="4"/>
      <c r="M116" s="4"/>
    </row>
    <row r="117" spans="1:13" hidden="1">
      <c r="A117" s="20">
        <v>45147</v>
      </c>
      <c r="B117" s="4" t="s">
        <v>27</v>
      </c>
      <c r="C117" s="4" t="s">
        <v>88</v>
      </c>
      <c r="D117" s="4" t="s">
        <v>74</v>
      </c>
      <c r="E117" s="17">
        <v>40</v>
      </c>
      <c r="F117" s="4" t="s">
        <v>31</v>
      </c>
      <c r="G117" s="41">
        <v>0.01</v>
      </c>
      <c r="H117" s="4">
        <v>23</v>
      </c>
      <c r="I117" s="4">
        <v>240</v>
      </c>
      <c r="J117" s="4"/>
      <c r="K117" s="4"/>
      <c r="L117" s="4"/>
      <c r="M117" s="4"/>
    </row>
    <row r="118" spans="1:13" hidden="1">
      <c r="A118" s="20">
        <v>45147</v>
      </c>
      <c r="B118" s="4" t="s">
        <v>27</v>
      </c>
      <c r="C118" s="4" t="s">
        <v>88</v>
      </c>
      <c r="D118" s="4" t="s">
        <v>74</v>
      </c>
      <c r="E118" s="17">
        <v>40</v>
      </c>
      <c r="F118" s="4" t="s">
        <v>31</v>
      </c>
      <c r="G118" s="41">
        <v>0.5</v>
      </c>
      <c r="H118" s="4">
        <v>120</v>
      </c>
      <c r="I118" s="4">
        <v>240</v>
      </c>
      <c r="J118" s="4"/>
      <c r="K118" s="4"/>
      <c r="L118" s="4"/>
      <c r="M118" s="4"/>
    </row>
    <row r="119" spans="1:13" hidden="1">
      <c r="A119" s="20">
        <v>45147</v>
      </c>
      <c r="B119" s="4" t="s">
        <v>27</v>
      </c>
      <c r="C119" s="4" t="s">
        <v>88</v>
      </c>
      <c r="D119" s="4" t="s">
        <v>74</v>
      </c>
      <c r="E119" s="17">
        <v>40</v>
      </c>
      <c r="F119" s="4" t="s">
        <v>3</v>
      </c>
      <c r="G119" s="41">
        <v>0.85</v>
      </c>
      <c r="H119" s="4">
        <v>105</v>
      </c>
      <c r="I119" s="4">
        <v>180</v>
      </c>
      <c r="J119" s="4"/>
      <c r="K119" s="4"/>
      <c r="L119" s="4"/>
      <c r="M119" s="4"/>
    </row>
    <row r="120" spans="1:13" hidden="1">
      <c r="A120" s="20">
        <v>45147</v>
      </c>
      <c r="B120" s="4" t="s">
        <v>6</v>
      </c>
      <c r="C120" s="4" t="s">
        <v>83</v>
      </c>
      <c r="D120" s="4" t="s">
        <v>57</v>
      </c>
      <c r="E120" s="17"/>
      <c r="F120" s="4" t="s">
        <v>8</v>
      </c>
      <c r="G120" s="4"/>
      <c r="H120" s="4">
        <v>145</v>
      </c>
      <c r="I120" s="4">
        <v>360</v>
      </c>
      <c r="J120" s="4"/>
      <c r="K120" s="4"/>
      <c r="L120" s="4"/>
      <c r="M120" s="4" t="s">
        <v>10</v>
      </c>
    </row>
    <row r="121" spans="1:13" hidden="1">
      <c r="A121" s="20">
        <v>45147</v>
      </c>
      <c r="B121" s="4" t="s">
        <v>6</v>
      </c>
      <c r="C121" s="4" t="s">
        <v>83</v>
      </c>
      <c r="D121" s="4" t="s">
        <v>57</v>
      </c>
      <c r="E121" s="17"/>
      <c r="F121" s="4" t="s">
        <v>156</v>
      </c>
      <c r="G121" s="4">
        <v>315</v>
      </c>
      <c r="H121" s="4">
        <v>11</v>
      </c>
      <c r="I121" s="4">
        <v>180</v>
      </c>
      <c r="J121" s="4"/>
      <c r="K121" s="4"/>
      <c r="L121" s="4"/>
      <c r="M121" s="4" t="s">
        <v>115</v>
      </c>
    </row>
    <row r="122" spans="1:13" hidden="1">
      <c r="A122" s="20">
        <v>45147</v>
      </c>
      <c r="B122" s="4" t="s">
        <v>6</v>
      </c>
      <c r="C122" s="4" t="s">
        <v>83</v>
      </c>
      <c r="D122" s="4" t="s">
        <v>57</v>
      </c>
      <c r="E122" s="17"/>
      <c r="F122" s="4" t="s">
        <v>156</v>
      </c>
      <c r="G122" s="4">
        <v>575</v>
      </c>
      <c r="H122" s="4">
        <v>34</v>
      </c>
      <c r="I122" s="4">
        <v>180</v>
      </c>
      <c r="J122" s="4"/>
      <c r="K122" s="4"/>
      <c r="L122" s="4"/>
      <c r="M122" s="4" t="s">
        <v>116</v>
      </c>
    </row>
    <row r="123" spans="1:13" hidden="1">
      <c r="A123" s="20">
        <v>45147</v>
      </c>
      <c r="B123" s="4" t="s">
        <v>6</v>
      </c>
      <c r="C123" s="4" t="s">
        <v>83</v>
      </c>
      <c r="D123" s="4" t="s">
        <v>57</v>
      </c>
      <c r="E123" s="17"/>
      <c r="F123" s="4" t="s">
        <v>156</v>
      </c>
      <c r="G123" s="4">
        <v>195</v>
      </c>
      <c r="H123" s="4">
        <v>20</v>
      </c>
      <c r="I123" s="4">
        <v>180</v>
      </c>
      <c r="J123" s="4"/>
      <c r="K123" s="4"/>
      <c r="L123" s="4"/>
      <c r="M123" s="4"/>
    </row>
    <row r="124" spans="1:13" hidden="1">
      <c r="A124" s="20">
        <v>45147</v>
      </c>
      <c r="B124" s="4" t="s">
        <v>27</v>
      </c>
      <c r="C124" s="4" t="s">
        <v>88</v>
      </c>
      <c r="D124" s="4" t="s">
        <v>57</v>
      </c>
      <c r="E124" s="17">
        <v>25</v>
      </c>
      <c r="F124" s="4" t="s">
        <v>146</v>
      </c>
      <c r="G124" s="4"/>
      <c r="H124" s="4">
        <v>114.99999999999999</v>
      </c>
      <c r="I124" s="4">
        <v>180</v>
      </c>
      <c r="J124" s="4"/>
      <c r="K124" s="4"/>
      <c r="L124" s="4"/>
      <c r="M124" s="4" t="s">
        <v>157</v>
      </c>
    </row>
    <row r="125" spans="1:13" hidden="1">
      <c r="A125" s="20">
        <v>45147</v>
      </c>
      <c r="B125" s="4" t="s">
        <v>27</v>
      </c>
      <c r="C125" s="4" t="s">
        <v>88</v>
      </c>
      <c r="D125" s="4" t="s">
        <v>57</v>
      </c>
      <c r="E125" s="17">
        <v>25</v>
      </c>
      <c r="F125" s="4" t="s">
        <v>146</v>
      </c>
      <c r="G125" s="4"/>
      <c r="H125" s="4">
        <v>45</v>
      </c>
      <c r="I125" s="4">
        <v>180</v>
      </c>
      <c r="J125" s="4"/>
      <c r="K125" s="4"/>
      <c r="L125" s="4"/>
      <c r="M125" s="4" t="s">
        <v>158</v>
      </c>
    </row>
    <row r="126" spans="1:13" hidden="1">
      <c r="A126" s="20">
        <v>45147</v>
      </c>
      <c r="B126" s="4" t="s">
        <v>27</v>
      </c>
      <c r="C126" s="4" t="s">
        <v>88</v>
      </c>
      <c r="D126" s="4" t="s">
        <v>57</v>
      </c>
      <c r="E126" s="17">
        <v>26</v>
      </c>
      <c r="F126" s="4" t="s">
        <v>146</v>
      </c>
      <c r="G126" s="4"/>
      <c r="H126" s="4">
        <v>60</v>
      </c>
      <c r="I126" s="4">
        <v>180</v>
      </c>
      <c r="J126" s="4"/>
      <c r="K126" s="4"/>
      <c r="L126" s="4"/>
      <c r="M126" s="4"/>
    </row>
    <row r="127" spans="1:13" hidden="1">
      <c r="A127" s="20">
        <v>45148</v>
      </c>
      <c r="B127" s="27" t="s">
        <v>21</v>
      </c>
      <c r="C127" s="27" t="s">
        <v>106</v>
      </c>
      <c r="D127" s="27" t="s">
        <v>61</v>
      </c>
      <c r="E127" s="17">
        <v>5</v>
      </c>
      <c r="F127" s="27" t="s">
        <v>22</v>
      </c>
      <c r="G127" s="27"/>
      <c r="H127" s="4">
        <v>120</v>
      </c>
      <c r="I127" s="4">
        <v>120</v>
      </c>
      <c r="J127" s="4"/>
      <c r="K127" s="4"/>
      <c r="L127" s="4"/>
      <c r="M127" s="27"/>
    </row>
    <row r="128" spans="1:13" hidden="1">
      <c r="A128" s="20">
        <v>45148</v>
      </c>
      <c r="B128" s="27" t="s">
        <v>21</v>
      </c>
      <c r="C128" s="27" t="s">
        <v>106</v>
      </c>
      <c r="D128" s="27" t="s">
        <v>61</v>
      </c>
      <c r="E128" s="17">
        <v>5</v>
      </c>
      <c r="F128" s="27" t="s">
        <v>22</v>
      </c>
      <c r="G128" s="27"/>
      <c r="H128" s="4">
        <v>75</v>
      </c>
      <c r="I128" s="4">
        <v>120</v>
      </c>
      <c r="J128" s="4"/>
      <c r="K128" s="4"/>
      <c r="L128" s="4"/>
      <c r="M128" s="27"/>
    </row>
    <row r="129" spans="1:13" hidden="1">
      <c r="A129" s="20">
        <v>45148</v>
      </c>
      <c r="B129" s="27" t="s">
        <v>6</v>
      </c>
      <c r="C129" s="27" t="s">
        <v>117</v>
      </c>
      <c r="D129" s="27" t="s">
        <v>61</v>
      </c>
      <c r="E129" s="17"/>
      <c r="F129" s="27" t="s">
        <v>130</v>
      </c>
      <c r="G129" s="27"/>
      <c r="H129" s="4">
        <v>150</v>
      </c>
      <c r="I129" s="4">
        <v>120</v>
      </c>
      <c r="J129" s="4"/>
      <c r="K129" s="4"/>
      <c r="L129" s="4"/>
      <c r="M129" s="27"/>
    </row>
    <row r="130" spans="1:13" hidden="1">
      <c r="A130" s="20">
        <v>45148</v>
      </c>
      <c r="B130" s="27" t="s">
        <v>40</v>
      </c>
      <c r="C130" s="27" t="s">
        <v>40</v>
      </c>
      <c r="D130" s="27" t="s">
        <v>80</v>
      </c>
      <c r="E130" s="17">
        <v>1</v>
      </c>
      <c r="F130" s="27" t="s">
        <v>146</v>
      </c>
      <c r="G130" s="27"/>
      <c r="H130" s="4">
        <v>60</v>
      </c>
      <c r="I130" s="4">
        <v>180</v>
      </c>
      <c r="J130" s="4"/>
      <c r="K130" s="4"/>
      <c r="L130" s="4"/>
      <c r="M130" s="27"/>
    </row>
    <row r="131" spans="1:13" hidden="1">
      <c r="A131" s="20">
        <v>45148</v>
      </c>
      <c r="B131" s="27" t="s">
        <v>34</v>
      </c>
      <c r="C131" s="27" t="s">
        <v>118</v>
      </c>
      <c r="D131" s="27" t="s">
        <v>80</v>
      </c>
      <c r="E131" s="17"/>
      <c r="F131" s="27" t="s">
        <v>35</v>
      </c>
      <c r="G131" s="27"/>
      <c r="H131" s="4">
        <v>30</v>
      </c>
      <c r="I131" s="4">
        <v>30</v>
      </c>
      <c r="J131" s="4"/>
      <c r="K131" s="4"/>
      <c r="L131" s="4"/>
      <c r="M131" s="27"/>
    </row>
    <row r="132" spans="1:13" hidden="1">
      <c r="A132" s="20">
        <v>45148</v>
      </c>
      <c r="B132" s="27" t="s">
        <v>27</v>
      </c>
      <c r="C132" s="27" t="s">
        <v>35</v>
      </c>
      <c r="D132" s="27" t="s">
        <v>80</v>
      </c>
      <c r="E132" s="17"/>
      <c r="F132" s="27" t="s">
        <v>15</v>
      </c>
      <c r="G132" s="27"/>
      <c r="H132" s="4">
        <v>210</v>
      </c>
      <c r="I132" s="4">
        <v>15</v>
      </c>
      <c r="J132" s="4"/>
      <c r="K132" s="4"/>
      <c r="L132" s="4"/>
      <c r="M132" s="27"/>
    </row>
    <row r="133" spans="1:13" hidden="1">
      <c r="A133" s="20">
        <v>45148</v>
      </c>
      <c r="B133" s="27" t="s">
        <v>39</v>
      </c>
      <c r="C133" s="27" t="s">
        <v>119</v>
      </c>
      <c r="D133" s="27" t="s">
        <v>80</v>
      </c>
      <c r="E133" s="17"/>
      <c r="F133" s="27" t="s">
        <v>3</v>
      </c>
      <c r="G133" s="27"/>
      <c r="H133" s="4">
        <v>30</v>
      </c>
      <c r="I133" s="4">
        <v>180</v>
      </c>
      <c r="J133" s="4"/>
      <c r="K133" s="4"/>
      <c r="L133" s="4"/>
      <c r="M133" s="27"/>
    </row>
    <row r="134" spans="1:13" hidden="1">
      <c r="A134" s="20">
        <v>45148</v>
      </c>
      <c r="B134" s="27" t="s">
        <v>27</v>
      </c>
      <c r="C134" s="27" t="s">
        <v>120</v>
      </c>
      <c r="D134" s="27" t="s">
        <v>80</v>
      </c>
      <c r="E134" s="17">
        <v>30</v>
      </c>
      <c r="F134" s="27" t="s">
        <v>5</v>
      </c>
      <c r="G134" s="27">
        <v>133</v>
      </c>
      <c r="H134" s="4">
        <v>90</v>
      </c>
      <c r="I134" s="4">
        <v>60</v>
      </c>
      <c r="J134" s="4"/>
      <c r="K134" s="4"/>
      <c r="L134" s="4"/>
      <c r="M134" s="27"/>
    </row>
    <row r="135" spans="1:13" hidden="1">
      <c r="A135" s="20">
        <v>45148</v>
      </c>
      <c r="B135" s="27" t="s">
        <v>20</v>
      </c>
      <c r="C135" s="27" t="s">
        <v>15</v>
      </c>
      <c r="D135" s="27" t="s">
        <v>80</v>
      </c>
      <c r="E135" s="17"/>
      <c r="F135" s="27" t="s">
        <v>15</v>
      </c>
      <c r="G135" s="27"/>
      <c r="H135" s="4">
        <v>40</v>
      </c>
      <c r="I135" s="4">
        <v>15</v>
      </c>
      <c r="J135" s="4"/>
      <c r="K135" s="4"/>
      <c r="L135" s="4"/>
      <c r="M135" s="27"/>
    </row>
    <row r="136" spans="1:13" hidden="1">
      <c r="A136" s="20">
        <v>45148</v>
      </c>
      <c r="B136" s="27" t="s">
        <v>27</v>
      </c>
      <c r="C136" s="27" t="s">
        <v>120</v>
      </c>
      <c r="D136" s="27" t="s">
        <v>80</v>
      </c>
      <c r="E136" s="17">
        <v>30</v>
      </c>
      <c r="F136" s="27" t="s">
        <v>5</v>
      </c>
      <c r="G136" s="27">
        <v>187</v>
      </c>
      <c r="H136" s="4">
        <v>30</v>
      </c>
      <c r="I136" s="4">
        <v>60</v>
      </c>
      <c r="J136" s="4"/>
      <c r="K136" s="4"/>
      <c r="L136" s="4"/>
      <c r="M136" s="27"/>
    </row>
    <row r="137" spans="1:13" hidden="1">
      <c r="A137" s="20">
        <v>45148</v>
      </c>
      <c r="B137" s="27" t="s">
        <v>21</v>
      </c>
      <c r="C137" s="27" t="s">
        <v>106</v>
      </c>
      <c r="D137" s="27" t="s">
        <v>80</v>
      </c>
      <c r="E137" s="17"/>
      <c r="F137" s="27" t="s">
        <v>9</v>
      </c>
      <c r="G137" s="27">
        <v>140</v>
      </c>
      <c r="H137" s="4">
        <v>25</v>
      </c>
      <c r="I137" s="4">
        <v>180</v>
      </c>
      <c r="J137" s="4"/>
      <c r="K137" s="4"/>
      <c r="L137" s="4"/>
      <c r="M137" s="27"/>
    </row>
    <row r="138" spans="1:13" hidden="1">
      <c r="A138" s="20">
        <v>45148</v>
      </c>
      <c r="B138" s="27" t="s">
        <v>159</v>
      </c>
      <c r="C138" s="27" t="s">
        <v>121</v>
      </c>
      <c r="D138" s="27" t="s">
        <v>80</v>
      </c>
      <c r="E138" s="17"/>
      <c r="F138" s="27" t="s">
        <v>9</v>
      </c>
      <c r="G138" s="27">
        <v>38</v>
      </c>
      <c r="H138" s="4">
        <v>5</v>
      </c>
      <c r="I138" s="4">
        <v>180</v>
      </c>
      <c r="J138" s="4"/>
      <c r="K138" s="4"/>
      <c r="L138" s="4"/>
      <c r="M138" s="27"/>
    </row>
    <row r="139" spans="1:13" hidden="1">
      <c r="A139" s="20">
        <v>45148</v>
      </c>
      <c r="B139" s="27" t="s">
        <v>159</v>
      </c>
      <c r="C139" s="27" t="s">
        <v>122</v>
      </c>
      <c r="D139" s="27" t="s">
        <v>80</v>
      </c>
      <c r="E139" s="17"/>
      <c r="F139" s="27" t="s">
        <v>5</v>
      </c>
      <c r="G139" s="27">
        <v>6</v>
      </c>
      <c r="H139" s="4">
        <v>5</v>
      </c>
      <c r="I139" s="4">
        <v>60</v>
      </c>
      <c r="J139" s="4"/>
      <c r="K139" s="4"/>
      <c r="L139" s="4"/>
      <c r="M139" s="27"/>
    </row>
    <row r="140" spans="1:13" hidden="1">
      <c r="A140" s="20">
        <v>45148</v>
      </c>
      <c r="B140" s="27" t="s">
        <v>21</v>
      </c>
      <c r="C140" s="27" t="s">
        <v>106</v>
      </c>
      <c r="D140" s="27" t="s">
        <v>80</v>
      </c>
      <c r="E140" s="17">
        <v>5</v>
      </c>
      <c r="F140" s="27" t="s">
        <v>9</v>
      </c>
      <c r="G140" s="27">
        <v>125</v>
      </c>
      <c r="H140" s="4">
        <v>30</v>
      </c>
      <c r="I140" s="4">
        <v>180</v>
      </c>
      <c r="J140" s="4"/>
      <c r="K140" s="4"/>
      <c r="L140" s="4"/>
      <c r="M140" s="27"/>
    </row>
    <row r="141" spans="1:13" hidden="1">
      <c r="A141" s="20">
        <v>45148</v>
      </c>
      <c r="B141" s="27" t="s">
        <v>159</v>
      </c>
      <c r="C141" s="27" t="s">
        <v>122</v>
      </c>
      <c r="D141" s="27" t="s">
        <v>80</v>
      </c>
      <c r="E141" s="17"/>
      <c r="F141" s="27" t="s">
        <v>5</v>
      </c>
      <c r="G141" s="27">
        <v>30</v>
      </c>
      <c r="H141" s="4">
        <v>10</v>
      </c>
      <c r="I141" s="4">
        <v>60</v>
      </c>
      <c r="J141" s="4"/>
      <c r="K141" s="4"/>
      <c r="L141" s="4"/>
      <c r="M141" s="27"/>
    </row>
    <row r="142" spans="1:13" hidden="1">
      <c r="A142" s="20">
        <v>45148</v>
      </c>
      <c r="B142" s="27" t="s">
        <v>159</v>
      </c>
      <c r="C142" s="27" t="s">
        <v>123</v>
      </c>
      <c r="D142" s="27" t="s">
        <v>80</v>
      </c>
      <c r="E142" s="17"/>
      <c r="F142" s="27" t="s">
        <v>5</v>
      </c>
      <c r="G142" s="27">
        <v>5</v>
      </c>
      <c r="H142" s="4">
        <v>5</v>
      </c>
      <c r="I142" s="4">
        <v>60</v>
      </c>
      <c r="J142" s="4"/>
      <c r="K142" s="4"/>
      <c r="L142" s="4"/>
      <c r="M142" s="27"/>
    </row>
    <row r="143" spans="1:13" hidden="1">
      <c r="A143" s="20">
        <v>45148</v>
      </c>
      <c r="B143" s="27" t="s">
        <v>27</v>
      </c>
      <c r="C143" s="27" t="s">
        <v>120</v>
      </c>
      <c r="D143" s="27" t="s">
        <v>57</v>
      </c>
      <c r="E143" s="17">
        <v>28</v>
      </c>
      <c r="F143" s="27" t="s">
        <v>146</v>
      </c>
      <c r="G143" s="27"/>
      <c r="H143" s="4">
        <v>150</v>
      </c>
      <c r="I143" s="4">
        <v>180</v>
      </c>
      <c r="J143" s="4"/>
      <c r="K143" s="4"/>
      <c r="L143" s="4"/>
      <c r="M143" s="27" t="s">
        <v>160</v>
      </c>
    </row>
    <row r="144" spans="1:13" hidden="1">
      <c r="A144" s="20">
        <v>45148</v>
      </c>
      <c r="B144" s="27" t="s">
        <v>27</v>
      </c>
      <c r="C144" s="27" t="s">
        <v>120</v>
      </c>
      <c r="D144" s="27" t="s">
        <v>57</v>
      </c>
      <c r="E144" s="17">
        <v>28</v>
      </c>
      <c r="F144" s="27" t="s">
        <v>146</v>
      </c>
      <c r="G144" s="27"/>
      <c r="H144" s="4">
        <v>75</v>
      </c>
      <c r="I144" s="4">
        <v>180</v>
      </c>
      <c r="J144" s="4"/>
      <c r="K144" s="4"/>
      <c r="L144" s="4"/>
      <c r="M144" s="27"/>
    </row>
    <row r="145" spans="1:13" hidden="1">
      <c r="A145" s="20">
        <v>45148</v>
      </c>
      <c r="B145" s="27" t="s">
        <v>6</v>
      </c>
      <c r="C145" s="27" t="s">
        <v>83</v>
      </c>
      <c r="D145" s="27" t="s">
        <v>57</v>
      </c>
      <c r="E145" s="17"/>
      <c r="F145" s="27" t="s">
        <v>10</v>
      </c>
      <c r="G145" s="27"/>
      <c r="H145" s="4">
        <v>99.999999999999986</v>
      </c>
      <c r="I145" s="4">
        <v>120</v>
      </c>
      <c r="J145" s="4"/>
      <c r="K145" s="4"/>
      <c r="L145" s="4"/>
      <c r="M145" s="27" t="s">
        <v>125</v>
      </c>
    </row>
    <row r="146" spans="1:13" hidden="1">
      <c r="A146" s="20">
        <v>45148</v>
      </c>
      <c r="B146" s="27" t="s">
        <v>27</v>
      </c>
      <c r="C146" s="27" t="s">
        <v>120</v>
      </c>
      <c r="D146" s="27" t="s">
        <v>57</v>
      </c>
      <c r="E146" s="17">
        <v>28</v>
      </c>
      <c r="F146" s="27" t="s">
        <v>146</v>
      </c>
      <c r="G146" s="27"/>
      <c r="H146" s="4">
        <v>50</v>
      </c>
      <c r="I146" s="4">
        <v>180</v>
      </c>
      <c r="J146" s="4"/>
      <c r="K146" s="4"/>
      <c r="L146" s="4"/>
      <c r="M146" s="27" t="s">
        <v>161</v>
      </c>
    </row>
    <row r="147" spans="1:13" hidden="1">
      <c r="A147" s="20">
        <v>45148</v>
      </c>
      <c r="B147" s="27" t="s">
        <v>27</v>
      </c>
      <c r="C147" s="27" t="s">
        <v>120</v>
      </c>
      <c r="D147" s="27" t="s">
        <v>57</v>
      </c>
      <c r="E147" s="17" t="s">
        <v>162</v>
      </c>
      <c r="F147" s="27" t="s">
        <v>146</v>
      </c>
      <c r="G147" s="27"/>
      <c r="H147" s="4">
        <v>105</v>
      </c>
      <c r="I147" s="4">
        <v>180</v>
      </c>
      <c r="J147" s="4"/>
      <c r="K147" s="4"/>
      <c r="L147" s="4"/>
      <c r="M147" s="27" t="s">
        <v>163</v>
      </c>
    </row>
    <row r="148" spans="1:13" hidden="1">
      <c r="A148" s="20">
        <v>45148</v>
      </c>
      <c r="B148" s="27" t="s">
        <v>21</v>
      </c>
      <c r="C148" s="27" t="s">
        <v>106</v>
      </c>
      <c r="D148" s="27" t="s">
        <v>78</v>
      </c>
      <c r="E148" s="17">
        <v>4</v>
      </c>
      <c r="F148" s="27" t="s">
        <v>164</v>
      </c>
      <c r="G148" s="27"/>
      <c r="H148" s="4">
        <v>75</v>
      </c>
      <c r="I148" s="4">
        <v>60</v>
      </c>
      <c r="J148" s="4"/>
      <c r="K148" s="4"/>
      <c r="L148" s="4"/>
      <c r="M148" s="27" t="s">
        <v>126</v>
      </c>
    </row>
    <row r="149" spans="1:13" hidden="1">
      <c r="A149" s="20">
        <v>45148</v>
      </c>
      <c r="B149" s="27" t="s">
        <v>21</v>
      </c>
      <c r="C149" s="27" t="s">
        <v>106</v>
      </c>
      <c r="D149" s="27" t="s">
        <v>78</v>
      </c>
      <c r="E149" s="17">
        <v>5</v>
      </c>
      <c r="F149" s="27" t="s">
        <v>4</v>
      </c>
      <c r="G149" s="27"/>
      <c r="H149" s="4">
        <v>165</v>
      </c>
      <c r="I149" s="4">
        <v>120</v>
      </c>
      <c r="J149" s="4"/>
      <c r="K149" s="4"/>
      <c r="L149" s="4"/>
      <c r="M149" s="27"/>
    </row>
    <row r="150" spans="1:13" hidden="1">
      <c r="A150" s="20">
        <v>45149</v>
      </c>
      <c r="B150" s="27" t="s">
        <v>39</v>
      </c>
      <c r="C150" s="27" t="s">
        <v>119</v>
      </c>
      <c r="D150" s="27" t="s">
        <v>80</v>
      </c>
      <c r="E150" s="17"/>
      <c r="F150" s="27" t="s">
        <v>3</v>
      </c>
      <c r="G150" s="27"/>
      <c r="H150" s="4">
        <v>30</v>
      </c>
      <c r="I150" s="4">
        <v>15</v>
      </c>
      <c r="J150" s="4"/>
      <c r="K150" s="4"/>
      <c r="L150" s="4"/>
      <c r="M150" s="27"/>
    </row>
    <row r="151" spans="1:13" hidden="1">
      <c r="A151" s="20">
        <v>45149</v>
      </c>
      <c r="B151" s="27" t="s">
        <v>27</v>
      </c>
      <c r="C151" s="27" t="s">
        <v>120</v>
      </c>
      <c r="D151" s="27" t="s">
        <v>80</v>
      </c>
      <c r="E151" s="17">
        <v>30</v>
      </c>
      <c r="F151" s="27" t="s">
        <v>5</v>
      </c>
      <c r="G151" s="27"/>
      <c r="H151" s="4">
        <v>80</v>
      </c>
      <c r="I151" s="4">
        <v>60</v>
      </c>
      <c r="J151" s="4"/>
      <c r="K151" s="4"/>
      <c r="L151" s="4"/>
      <c r="M151" s="27"/>
    </row>
    <row r="152" spans="1:13" hidden="1">
      <c r="A152" s="20">
        <v>45149</v>
      </c>
      <c r="B152" s="27" t="s">
        <v>18</v>
      </c>
      <c r="C152" s="27" t="s">
        <v>127</v>
      </c>
      <c r="D152" s="27" t="s">
        <v>80</v>
      </c>
      <c r="E152" s="17"/>
      <c r="F152" s="27" t="s">
        <v>15</v>
      </c>
      <c r="G152" s="27"/>
      <c r="H152" s="4">
        <v>90</v>
      </c>
      <c r="I152" s="4">
        <v>15</v>
      </c>
      <c r="J152" s="4"/>
      <c r="K152" s="4"/>
      <c r="L152" s="4"/>
      <c r="M152" s="27"/>
    </row>
    <row r="153" spans="1:13" hidden="1">
      <c r="A153" s="20">
        <v>45149</v>
      </c>
      <c r="B153" s="27" t="s">
        <v>27</v>
      </c>
      <c r="C153" s="27" t="s">
        <v>120</v>
      </c>
      <c r="D153" s="27" t="s">
        <v>80</v>
      </c>
      <c r="E153" s="17">
        <v>30</v>
      </c>
      <c r="F153" s="27" t="s">
        <v>5</v>
      </c>
      <c r="G153" s="27">
        <v>1759</v>
      </c>
      <c r="H153" s="4">
        <v>120</v>
      </c>
      <c r="I153" s="4">
        <v>60</v>
      </c>
      <c r="J153" s="4"/>
      <c r="K153" s="4"/>
      <c r="L153" s="4"/>
      <c r="M153" s="27"/>
    </row>
    <row r="154" spans="1:13" hidden="1">
      <c r="A154" s="20">
        <v>45149</v>
      </c>
      <c r="B154" s="27" t="s">
        <v>27</v>
      </c>
      <c r="C154" s="27" t="s">
        <v>120</v>
      </c>
      <c r="D154" s="27" t="s">
        <v>80</v>
      </c>
      <c r="E154" s="17">
        <v>26</v>
      </c>
      <c r="F154" s="27" t="s">
        <v>5</v>
      </c>
      <c r="G154" s="27"/>
      <c r="H154" s="4">
        <v>55</v>
      </c>
      <c r="I154" s="4">
        <v>60</v>
      </c>
      <c r="J154" s="4"/>
      <c r="K154" s="4"/>
      <c r="L154" s="4"/>
      <c r="M154" s="27"/>
    </row>
    <row r="155" spans="1:13" hidden="1">
      <c r="A155" s="20">
        <v>45149</v>
      </c>
      <c r="B155" s="27" t="s">
        <v>27</v>
      </c>
      <c r="C155" s="27" t="s">
        <v>120</v>
      </c>
      <c r="D155" s="27" t="s">
        <v>80</v>
      </c>
      <c r="E155" s="17">
        <v>26</v>
      </c>
      <c r="F155" s="27" t="s">
        <v>5</v>
      </c>
      <c r="G155" s="27"/>
      <c r="H155" s="4">
        <v>95.000000000000014</v>
      </c>
      <c r="I155" s="4">
        <v>60</v>
      </c>
      <c r="J155" s="4"/>
      <c r="K155" s="4"/>
      <c r="L155" s="4"/>
      <c r="M155" s="27"/>
    </row>
    <row r="156" spans="1:13" hidden="1">
      <c r="A156" s="20">
        <v>45149</v>
      </c>
      <c r="B156" s="27" t="s">
        <v>21</v>
      </c>
      <c r="C156" s="27" t="s">
        <v>106</v>
      </c>
      <c r="D156" s="27" t="s">
        <v>98</v>
      </c>
      <c r="E156" s="17">
        <v>3</v>
      </c>
      <c r="F156" s="27" t="s">
        <v>164</v>
      </c>
      <c r="G156" s="27"/>
      <c r="H156" s="4">
        <v>105</v>
      </c>
      <c r="I156" s="4">
        <v>60</v>
      </c>
      <c r="J156" s="4"/>
      <c r="K156" s="4"/>
      <c r="L156" s="4"/>
      <c r="M156" s="27"/>
    </row>
    <row r="157" spans="1:13" hidden="1">
      <c r="A157" s="20">
        <v>45149</v>
      </c>
      <c r="B157" s="27" t="s">
        <v>21</v>
      </c>
      <c r="C157" s="27" t="s">
        <v>106</v>
      </c>
      <c r="D157" s="27" t="s">
        <v>98</v>
      </c>
      <c r="E157" s="17">
        <v>5</v>
      </c>
      <c r="F157" s="27" t="s">
        <v>164</v>
      </c>
      <c r="G157" s="27"/>
      <c r="H157" s="4">
        <v>130</v>
      </c>
      <c r="I157" s="4">
        <v>60</v>
      </c>
      <c r="J157" s="4"/>
      <c r="K157" s="4"/>
      <c r="L157" s="4"/>
      <c r="M157" s="27"/>
    </row>
    <row r="158" spans="1:13" hidden="1">
      <c r="A158" s="20">
        <v>45149</v>
      </c>
      <c r="B158" s="27" t="s">
        <v>165</v>
      </c>
      <c r="C158" s="27" t="s">
        <v>73</v>
      </c>
      <c r="D158" s="27" t="s">
        <v>98</v>
      </c>
      <c r="E158" s="17"/>
      <c r="F158" s="27" t="s">
        <v>4</v>
      </c>
      <c r="G158" s="27"/>
      <c r="H158" s="4">
        <v>95.000000000000014</v>
      </c>
      <c r="I158" s="4">
        <v>120</v>
      </c>
      <c r="J158" s="4"/>
      <c r="K158" s="4"/>
      <c r="L158" s="4"/>
      <c r="M158" s="27"/>
    </row>
    <row r="159" spans="1:13" hidden="1">
      <c r="A159" s="20">
        <v>45149</v>
      </c>
      <c r="B159" s="27" t="s">
        <v>2</v>
      </c>
      <c r="C159" s="27" t="s">
        <v>128</v>
      </c>
      <c r="D159" s="27" t="s">
        <v>98</v>
      </c>
      <c r="E159" s="17" t="s">
        <v>129</v>
      </c>
      <c r="F159" s="27" t="s">
        <v>3</v>
      </c>
      <c r="G159" s="27"/>
      <c r="H159" s="4">
        <v>125.00000000000001</v>
      </c>
      <c r="I159" s="4">
        <v>180</v>
      </c>
      <c r="J159" s="4"/>
      <c r="K159" s="4"/>
      <c r="L159" s="4"/>
      <c r="M159" s="27"/>
    </row>
    <row r="160" spans="1:13" hidden="1">
      <c r="A160" s="20">
        <v>45149</v>
      </c>
      <c r="B160" s="27" t="s">
        <v>6</v>
      </c>
      <c r="C160" s="27" t="s">
        <v>130</v>
      </c>
      <c r="D160" s="27" t="s">
        <v>61</v>
      </c>
      <c r="E160" s="17"/>
      <c r="F160" s="27" t="s">
        <v>11</v>
      </c>
      <c r="G160" s="27"/>
      <c r="H160" s="4">
        <v>180</v>
      </c>
      <c r="I160" s="4">
        <v>120</v>
      </c>
      <c r="J160" s="4"/>
      <c r="K160" s="4"/>
      <c r="L160" s="4"/>
      <c r="M160" s="27"/>
    </row>
    <row r="161" spans="1:13" hidden="1">
      <c r="A161" s="20">
        <v>45149</v>
      </c>
      <c r="B161" s="27" t="s">
        <v>27</v>
      </c>
      <c r="C161" s="27" t="s">
        <v>120</v>
      </c>
      <c r="D161" s="27" t="s">
        <v>57</v>
      </c>
      <c r="E161" s="17" t="s">
        <v>162</v>
      </c>
      <c r="F161" s="27" t="s">
        <v>146</v>
      </c>
      <c r="G161" s="27"/>
      <c r="H161" s="4">
        <v>150</v>
      </c>
      <c r="I161" s="4">
        <v>180</v>
      </c>
      <c r="J161" s="4"/>
      <c r="K161" s="4"/>
      <c r="L161" s="4"/>
      <c r="M161" s="27" t="s">
        <v>166</v>
      </c>
    </row>
    <row r="162" spans="1:13" hidden="1">
      <c r="A162" s="20">
        <v>45149</v>
      </c>
      <c r="B162" s="27" t="s">
        <v>27</v>
      </c>
      <c r="C162" s="27" t="s">
        <v>120</v>
      </c>
      <c r="D162" s="27" t="s">
        <v>57</v>
      </c>
      <c r="E162" s="17" t="s">
        <v>167</v>
      </c>
      <c r="F162" s="27" t="s">
        <v>146</v>
      </c>
      <c r="G162" s="27"/>
      <c r="H162" s="4">
        <v>40</v>
      </c>
      <c r="I162" s="4">
        <v>180</v>
      </c>
      <c r="J162" s="4"/>
      <c r="K162" s="4"/>
      <c r="L162" s="4"/>
      <c r="M162" s="27" t="s">
        <v>168</v>
      </c>
    </row>
    <row r="163" spans="1:13" hidden="1">
      <c r="A163" s="20">
        <v>45149</v>
      </c>
      <c r="B163" s="27" t="s">
        <v>6</v>
      </c>
      <c r="C163" s="27" t="s">
        <v>83</v>
      </c>
      <c r="D163" s="27" t="s">
        <v>57</v>
      </c>
      <c r="E163" s="17"/>
      <c r="F163" s="27" t="s">
        <v>169</v>
      </c>
      <c r="G163" s="27">
        <v>205</v>
      </c>
      <c r="H163" s="4">
        <v>30</v>
      </c>
      <c r="I163" s="4">
        <v>180</v>
      </c>
      <c r="J163" s="4"/>
      <c r="K163" s="4"/>
      <c r="L163" s="4"/>
      <c r="M163" s="27" t="s">
        <v>131</v>
      </c>
    </row>
    <row r="164" spans="1:13" hidden="1">
      <c r="A164" s="20">
        <v>45149</v>
      </c>
      <c r="B164" s="27" t="s">
        <v>27</v>
      </c>
      <c r="C164" s="27" t="s">
        <v>120</v>
      </c>
      <c r="D164" s="27" t="s">
        <v>57</v>
      </c>
      <c r="E164" s="17" t="s">
        <v>167</v>
      </c>
      <c r="F164" s="27" t="s">
        <v>146</v>
      </c>
      <c r="G164" s="27"/>
      <c r="H164" s="4">
        <v>120</v>
      </c>
      <c r="I164" s="4">
        <v>180</v>
      </c>
      <c r="J164" s="4"/>
      <c r="K164" s="4"/>
      <c r="L164" s="4"/>
      <c r="M164" s="27"/>
    </row>
    <row r="165" spans="1:13" hidden="1">
      <c r="A165" s="20">
        <v>45149</v>
      </c>
      <c r="B165" s="27" t="s">
        <v>27</v>
      </c>
      <c r="C165" s="27" t="s">
        <v>120</v>
      </c>
      <c r="D165" s="27" t="s">
        <v>57</v>
      </c>
      <c r="E165" s="17" t="s">
        <v>170</v>
      </c>
      <c r="F165" s="27" t="s">
        <v>146</v>
      </c>
      <c r="G165" s="27"/>
      <c r="H165" s="4">
        <v>83</v>
      </c>
      <c r="I165" s="4">
        <v>180</v>
      </c>
      <c r="J165" s="4"/>
      <c r="K165" s="4"/>
      <c r="L165" s="4"/>
      <c r="M165" s="27"/>
    </row>
    <row r="166" spans="1:13" hidden="1">
      <c r="A166" s="20">
        <v>45149</v>
      </c>
      <c r="B166" s="27" t="s">
        <v>27</v>
      </c>
      <c r="C166" s="27" t="s">
        <v>120</v>
      </c>
      <c r="D166" s="27" t="s">
        <v>57</v>
      </c>
      <c r="E166" s="17" t="s">
        <v>167</v>
      </c>
      <c r="F166" s="27" t="s">
        <v>146</v>
      </c>
      <c r="G166" s="27"/>
      <c r="H166" s="4">
        <v>22</v>
      </c>
      <c r="I166" s="4">
        <v>180</v>
      </c>
      <c r="J166" s="4"/>
      <c r="K166" s="4"/>
      <c r="L166" s="4"/>
      <c r="M166" s="27" t="s">
        <v>171</v>
      </c>
    </row>
    <row r="167" spans="1:13" hidden="1">
      <c r="A167" s="20">
        <v>45152</v>
      </c>
      <c r="B167" s="4" t="s">
        <v>27</v>
      </c>
      <c r="C167" s="4" t="s">
        <v>120</v>
      </c>
      <c r="D167" s="4" t="s">
        <v>80</v>
      </c>
      <c r="E167" s="17">
        <v>32</v>
      </c>
      <c r="F167" s="4" t="s">
        <v>5</v>
      </c>
      <c r="G167" s="4"/>
      <c r="H167" s="4">
        <v>120</v>
      </c>
      <c r="I167" s="4">
        <v>60</v>
      </c>
      <c r="J167" s="4"/>
      <c r="K167" s="4"/>
      <c r="L167" s="4"/>
      <c r="M167" s="27" t="s">
        <v>132</v>
      </c>
    </row>
    <row r="168" spans="1:13" hidden="1">
      <c r="A168" s="20">
        <v>45152</v>
      </c>
      <c r="B168" s="4" t="s">
        <v>25</v>
      </c>
      <c r="C168" s="4" t="s">
        <v>21</v>
      </c>
      <c r="D168" s="4" t="s">
        <v>80</v>
      </c>
      <c r="E168" s="17"/>
      <c r="F168" s="4" t="s">
        <v>15</v>
      </c>
      <c r="G168" s="4"/>
      <c r="H168" s="4">
        <v>75</v>
      </c>
      <c r="I168" s="4">
        <v>15</v>
      </c>
      <c r="J168" s="4"/>
      <c r="K168" s="4"/>
      <c r="L168" s="4"/>
      <c r="M168" s="4"/>
    </row>
    <row r="169" spans="1:13" hidden="1">
      <c r="A169" s="20">
        <v>45152</v>
      </c>
      <c r="B169" s="4" t="s">
        <v>26</v>
      </c>
      <c r="C169" s="4" t="s">
        <v>133</v>
      </c>
      <c r="D169" s="4" t="s">
        <v>80</v>
      </c>
      <c r="E169" s="17"/>
      <c r="F169" s="4" t="s">
        <v>15</v>
      </c>
      <c r="G169" s="4"/>
      <c r="H169" s="4">
        <v>75</v>
      </c>
      <c r="I169" s="4">
        <v>15</v>
      </c>
      <c r="J169" s="4"/>
      <c r="K169" s="4"/>
      <c r="L169" s="4"/>
      <c r="M169" s="4"/>
    </row>
    <row r="170" spans="1:13" hidden="1">
      <c r="A170" s="20">
        <v>45152</v>
      </c>
      <c r="B170" s="4" t="s">
        <v>39</v>
      </c>
      <c r="C170" s="4" t="s">
        <v>119</v>
      </c>
      <c r="D170" s="4" t="s">
        <v>80</v>
      </c>
      <c r="E170" s="17"/>
      <c r="F170" s="4" t="s">
        <v>3</v>
      </c>
      <c r="G170" s="4"/>
      <c r="H170" s="4">
        <v>30</v>
      </c>
      <c r="I170" s="4">
        <v>180</v>
      </c>
      <c r="J170" s="4"/>
      <c r="K170" s="4"/>
      <c r="L170" s="4"/>
      <c r="M170" s="4"/>
    </row>
    <row r="171" spans="1:13" hidden="1">
      <c r="A171" s="20">
        <v>45152</v>
      </c>
      <c r="B171" s="4"/>
      <c r="C171" s="4" t="s">
        <v>134</v>
      </c>
      <c r="D171" s="4" t="s">
        <v>80</v>
      </c>
      <c r="E171" s="17"/>
      <c r="F171" s="4" t="s">
        <v>35</v>
      </c>
      <c r="G171" s="4"/>
      <c r="H171" s="4">
        <v>20</v>
      </c>
      <c r="I171" s="4">
        <v>30</v>
      </c>
      <c r="J171" s="4"/>
      <c r="K171" s="4"/>
      <c r="L171" s="4"/>
      <c r="M171" s="4"/>
    </row>
    <row r="172" spans="1:13" hidden="1">
      <c r="A172" s="20">
        <v>45152</v>
      </c>
      <c r="B172" s="4" t="s">
        <v>27</v>
      </c>
      <c r="C172" s="4" t="s">
        <v>120</v>
      </c>
      <c r="D172" s="4" t="s">
        <v>80</v>
      </c>
      <c r="E172" s="17">
        <v>32</v>
      </c>
      <c r="F172" s="4" t="s">
        <v>5</v>
      </c>
      <c r="G172" s="4">
        <v>2195</v>
      </c>
      <c r="H172" s="4">
        <v>120</v>
      </c>
      <c r="I172" s="4">
        <v>60</v>
      </c>
      <c r="J172" s="4"/>
      <c r="K172" s="4"/>
      <c r="L172" s="4"/>
      <c r="M172" s="4"/>
    </row>
    <row r="173" spans="1:13" hidden="1">
      <c r="A173" s="20">
        <v>45152</v>
      </c>
      <c r="B173" s="4" t="s">
        <v>172</v>
      </c>
      <c r="C173" s="4" t="s">
        <v>135</v>
      </c>
      <c r="D173" s="4" t="s">
        <v>80</v>
      </c>
      <c r="E173" s="17">
        <v>303</v>
      </c>
      <c r="F173" s="4" t="s">
        <v>5</v>
      </c>
      <c r="G173" s="4"/>
      <c r="H173" s="4">
        <v>40</v>
      </c>
      <c r="I173" s="4">
        <v>60</v>
      </c>
      <c r="J173" s="4"/>
      <c r="K173" s="4"/>
      <c r="L173" s="4"/>
      <c r="M173" s="4"/>
    </row>
    <row r="174" spans="1:13" hidden="1">
      <c r="A174" s="20">
        <v>45152</v>
      </c>
      <c r="B174" s="4" t="s">
        <v>172</v>
      </c>
      <c r="C174" s="4" t="s">
        <v>135</v>
      </c>
      <c r="D174" s="4" t="s">
        <v>80</v>
      </c>
      <c r="E174" s="17">
        <v>303</v>
      </c>
      <c r="F174" s="4" t="s">
        <v>5</v>
      </c>
      <c r="G174" s="4">
        <v>843</v>
      </c>
      <c r="H174" s="4">
        <v>45</v>
      </c>
      <c r="I174" s="4">
        <v>60</v>
      </c>
      <c r="J174" s="4"/>
      <c r="K174" s="4"/>
      <c r="L174" s="4"/>
      <c r="M174" s="4"/>
    </row>
    <row r="175" spans="1:13" hidden="1">
      <c r="A175" s="20">
        <v>45152</v>
      </c>
      <c r="B175" s="4" t="s">
        <v>27</v>
      </c>
      <c r="C175" s="4" t="s">
        <v>120</v>
      </c>
      <c r="D175" s="4" t="s">
        <v>57</v>
      </c>
      <c r="E175" s="17">
        <v>28</v>
      </c>
      <c r="F175" s="4" t="s">
        <v>23</v>
      </c>
      <c r="G175" s="4"/>
      <c r="H175" s="4">
        <v>35</v>
      </c>
      <c r="I175" s="4">
        <v>60</v>
      </c>
      <c r="J175" s="4"/>
      <c r="K175" s="4"/>
      <c r="L175" s="4"/>
      <c r="M175" s="4"/>
    </row>
    <row r="176" spans="1:13" hidden="1">
      <c r="A176" s="20">
        <v>45152</v>
      </c>
      <c r="B176" s="4" t="s">
        <v>27</v>
      </c>
      <c r="C176" s="4" t="s">
        <v>120</v>
      </c>
      <c r="D176" s="4" t="s">
        <v>57</v>
      </c>
      <c r="E176" s="17">
        <v>29</v>
      </c>
      <c r="F176" s="4" t="s">
        <v>146</v>
      </c>
      <c r="G176" s="4"/>
      <c r="H176" s="4">
        <v>114.99999999999999</v>
      </c>
      <c r="I176" s="4">
        <v>180</v>
      </c>
      <c r="J176" s="4"/>
      <c r="K176" s="4"/>
      <c r="L176" s="4"/>
      <c r="M176" s="4"/>
    </row>
    <row r="177" spans="1:13" hidden="1">
      <c r="A177" s="20">
        <v>45152</v>
      </c>
      <c r="B177" s="4" t="s">
        <v>27</v>
      </c>
      <c r="C177" s="4" t="s">
        <v>120</v>
      </c>
      <c r="D177" s="4" t="s">
        <v>57</v>
      </c>
      <c r="E177" s="17">
        <v>29</v>
      </c>
      <c r="F177" s="4" t="s">
        <v>146</v>
      </c>
      <c r="G177" s="4"/>
      <c r="H177" s="4">
        <v>75</v>
      </c>
      <c r="I177" s="4">
        <v>180</v>
      </c>
      <c r="J177" s="4"/>
      <c r="K177" s="4"/>
      <c r="L177" s="4"/>
      <c r="M177" s="4"/>
    </row>
    <row r="178" spans="1:13" hidden="1">
      <c r="A178" s="20">
        <v>45152</v>
      </c>
      <c r="B178" s="4" t="s">
        <v>27</v>
      </c>
      <c r="C178" s="4" t="s">
        <v>120</v>
      </c>
      <c r="D178" s="4" t="s">
        <v>57</v>
      </c>
      <c r="E178" s="17">
        <v>29</v>
      </c>
      <c r="F178" s="4" t="s">
        <v>146</v>
      </c>
      <c r="G178" s="4"/>
      <c r="H178" s="4">
        <v>80</v>
      </c>
      <c r="I178" s="4">
        <v>180</v>
      </c>
      <c r="J178" s="4"/>
      <c r="K178" s="4"/>
      <c r="L178" s="4"/>
      <c r="M178" s="4"/>
    </row>
    <row r="179" spans="1:13" hidden="1">
      <c r="A179" s="20">
        <v>45152</v>
      </c>
      <c r="B179" s="4" t="s">
        <v>27</v>
      </c>
      <c r="C179" s="4" t="s">
        <v>120</v>
      </c>
      <c r="D179" s="4" t="s">
        <v>57</v>
      </c>
      <c r="E179" s="17">
        <v>29</v>
      </c>
      <c r="F179" s="4" t="s">
        <v>146</v>
      </c>
      <c r="G179" s="4"/>
      <c r="H179" s="4">
        <v>40</v>
      </c>
      <c r="I179" s="4">
        <v>180</v>
      </c>
      <c r="J179" s="4"/>
      <c r="K179" s="4"/>
      <c r="L179" s="4"/>
      <c r="M179" s="4"/>
    </row>
    <row r="180" spans="1:13" hidden="1">
      <c r="A180" s="20">
        <v>45152</v>
      </c>
      <c r="B180" s="4" t="s">
        <v>27</v>
      </c>
      <c r="C180" s="4" t="s">
        <v>120</v>
      </c>
      <c r="D180" s="4" t="s">
        <v>57</v>
      </c>
      <c r="E180" s="17">
        <v>29</v>
      </c>
      <c r="F180" s="4" t="s">
        <v>146</v>
      </c>
      <c r="G180" s="4"/>
      <c r="H180" s="4">
        <v>105</v>
      </c>
      <c r="I180" s="4">
        <v>180</v>
      </c>
      <c r="J180" s="4"/>
      <c r="K180" s="4"/>
      <c r="L180" s="4"/>
      <c r="M180" s="4"/>
    </row>
    <row r="181" spans="1:13" hidden="1">
      <c r="A181" s="20">
        <v>45152</v>
      </c>
      <c r="B181" s="4" t="s">
        <v>13</v>
      </c>
      <c r="C181" s="4" t="s">
        <v>136</v>
      </c>
      <c r="D181" s="4" t="s">
        <v>61</v>
      </c>
      <c r="E181" s="17"/>
      <c r="F181" s="39" t="s">
        <v>14</v>
      </c>
      <c r="G181" s="4"/>
      <c r="H181" s="4">
        <v>135</v>
      </c>
      <c r="I181" s="4"/>
      <c r="J181" s="4"/>
      <c r="K181" s="4"/>
      <c r="L181" s="4"/>
      <c r="M181" s="4"/>
    </row>
    <row r="182" spans="1:13" hidden="1">
      <c r="A182" s="20">
        <v>45152</v>
      </c>
      <c r="B182" s="4" t="s">
        <v>13</v>
      </c>
      <c r="C182" s="4" t="s">
        <v>136</v>
      </c>
      <c r="D182" s="4" t="s">
        <v>61</v>
      </c>
      <c r="E182" s="17"/>
      <c r="F182" s="39" t="s">
        <v>14</v>
      </c>
      <c r="G182" s="4"/>
      <c r="H182" s="4">
        <v>60</v>
      </c>
      <c r="I182" s="4"/>
      <c r="J182" s="4"/>
      <c r="K182" s="4"/>
      <c r="L182" s="4"/>
      <c r="M182" s="4"/>
    </row>
    <row r="183" spans="1:13" hidden="1">
      <c r="A183" s="20">
        <v>45152</v>
      </c>
      <c r="B183" s="4" t="s">
        <v>13</v>
      </c>
      <c r="C183" s="4" t="s">
        <v>136</v>
      </c>
      <c r="D183" s="4" t="s">
        <v>61</v>
      </c>
      <c r="E183" s="17"/>
      <c r="F183" s="39" t="s">
        <v>14</v>
      </c>
      <c r="G183" s="4">
        <v>127</v>
      </c>
      <c r="H183" s="4">
        <v>120</v>
      </c>
      <c r="I183" s="4"/>
      <c r="J183" s="4"/>
      <c r="K183" s="4"/>
      <c r="L183" s="4"/>
      <c r="M183" s="4"/>
    </row>
    <row r="184" spans="1:13" hidden="1">
      <c r="A184" s="20">
        <v>45153</v>
      </c>
      <c r="B184" s="27" t="s">
        <v>27</v>
      </c>
      <c r="C184" s="27" t="s">
        <v>120</v>
      </c>
      <c r="D184" s="27" t="s">
        <v>74</v>
      </c>
      <c r="E184" s="17">
        <v>40</v>
      </c>
      <c r="F184" s="27" t="s">
        <v>30</v>
      </c>
      <c r="G184" s="41">
        <v>1</v>
      </c>
      <c r="H184" s="4">
        <v>157</v>
      </c>
      <c r="I184" s="4">
        <v>180</v>
      </c>
      <c r="J184" s="4"/>
      <c r="K184" s="4"/>
      <c r="L184" s="4"/>
      <c r="M184" s="27" t="s">
        <v>173</v>
      </c>
    </row>
    <row r="185" spans="1:13" hidden="1">
      <c r="A185" s="20">
        <v>45153</v>
      </c>
      <c r="B185" s="27" t="s">
        <v>27</v>
      </c>
      <c r="C185" s="27" t="s">
        <v>120</v>
      </c>
      <c r="D185" s="27" t="s">
        <v>74</v>
      </c>
      <c r="E185" s="17">
        <v>31</v>
      </c>
      <c r="F185" s="27" t="s">
        <v>30</v>
      </c>
      <c r="G185" s="41">
        <v>0.25</v>
      </c>
      <c r="H185" s="4">
        <v>78</v>
      </c>
      <c r="I185" s="4">
        <v>180</v>
      </c>
      <c r="J185" s="4"/>
      <c r="K185" s="4"/>
      <c r="L185" s="4"/>
      <c r="M185" s="4"/>
    </row>
    <row r="186" spans="1:13" hidden="1">
      <c r="A186" s="20">
        <v>45153</v>
      </c>
      <c r="B186" s="27" t="s">
        <v>27</v>
      </c>
      <c r="C186" s="27" t="s">
        <v>120</v>
      </c>
      <c r="D186" s="27" t="s">
        <v>74</v>
      </c>
      <c r="E186" s="17">
        <v>31</v>
      </c>
      <c r="F186" s="27" t="s">
        <v>31</v>
      </c>
      <c r="G186" s="41">
        <v>0.75</v>
      </c>
      <c r="H186" s="4">
        <v>114.99999999999999</v>
      </c>
      <c r="I186" s="4">
        <v>240</v>
      </c>
      <c r="J186" s="4"/>
      <c r="K186" s="4"/>
      <c r="L186" s="4"/>
      <c r="M186" s="4"/>
    </row>
    <row r="187" spans="1:13" hidden="1">
      <c r="A187" s="20">
        <v>45153</v>
      </c>
      <c r="B187" s="27" t="s">
        <v>27</v>
      </c>
      <c r="C187" s="27" t="s">
        <v>120</v>
      </c>
      <c r="D187" s="27" t="s">
        <v>74</v>
      </c>
      <c r="E187" s="17">
        <v>31</v>
      </c>
      <c r="F187" s="27" t="s">
        <v>31</v>
      </c>
      <c r="G187" s="41">
        <v>0.96</v>
      </c>
      <c r="H187" s="4">
        <v>99.999999999999986</v>
      </c>
      <c r="I187" s="4">
        <v>240</v>
      </c>
      <c r="J187" s="4"/>
      <c r="K187" s="4"/>
      <c r="L187" s="4"/>
      <c r="M187" s="4"/>
    </row>
    <row r="188" spans="1:13" hidden="1">
      <c r="A188" s="20">
        <v>45153</v>
      </c>
      <c r="B188" s="27" t="s">
        <v>27</v>
      </c>
      <c r="C188" s="27" t="s">
        <v>120</v>
      </c>
      <c r="D188" s="27" t="s">
        <v>80</v>
      </c>
      <c r="E188" s="17">
        <v>33</v>
      </c>
      <c r="F188" s="27" t="s">
        <v>5</v>
      </c>
      <c r="G188" s="27">
        <v>841</v>
      </c>
      <c r="H188" s="4">
        <v>105</v>
      </c>
      <c r="I188" s="4">
        <v>60</v>
      </c>
      <c r="J188" s="4"/>
      <c r="K188" s="4"/>
      <c r="L188" s="4"/>
      <c r="M188" s="27"/>
    </row>
    <row r="189" spans="1:13" hidden="1">
      <c r="A189" s="20">
        <v>45153</v>
      </c>
      <c r="B189" s="27" t="s">
        <v>24</v>
      </c>
      <c r="C189" s="27" t="s">
        <v>137</v>
      </c>
      <c r="D189" s="27" t="s">
        <v>80</v>
      </c>
      <c r="E189" s="17"/>
      <c r="F189" s="27" t="s">
        <v>15</v>
      </c>
      <c r="G189" s="27"/>
      <c r="H189" s="4">
        <v>30</v>
      </c>
      <c r="I189" s="4">
        <v>15</v>
      </c>
      <c r="J189" s="4"/>
      <c r="K189" s="4"/>
      <c r="L189" s="4"/>
      <c r="M189" s="27" t="s">
        <v>138</v>
      </c>
    </row>
    <row r="190" spans="1:13" hidden="1">
      <c r="A190" s="20">
        <v>45153</v>
      </c>
      <c r="B190" s="27" t="s">
        <v>27</v>
      </c>
      <c r="C190" s="27" t="s">
        <v>120</v>
      </c>
      <c r="D190" s="27" t="s">
        <v>80</v>
      </c>
      <c r="E190" s="17">
        <v>33</v>
      </c>
      <c r="F190" s="27" t="s">
        <v>5</v>
      </c>
      <c r="G190" s="27"/>
      <c r="H190" s="4">
        <v>65</v>
      </c>
      <c r="I190" s="4">
        <v>60</v>
      </c>
      <c r="J190" s="4"/>
      <c r="K190" s="4"/>
      <c r="L190" s="4"/>
      <c r="M190" s="27"/>
    </row>
    <row r="191" spans="1:13" hidden="1">
      <c r="A191" s="20">
        <v>45153</v>
      </c>
      <c r="B191" s="27" t="s">
        <v>36</v>
      </c>
      <c r="C191" s="27"/>
      <c r="D191" s="27" t="s">
        <v>80</v>
      </c>
      <c r="E191" s="17"/>
      <c r="F191" s="27" t="s">
        <v>35</v>
      </c>
      <c r="G191" s="27"/>
      <c r="H191" s="4">
        <v>20</v>
      </c>
      <c r="I191" s="4">
        <v>30</v>
      </c>
      <c r="J191" s="4"/>
      <c r="K191" s="4"/>
      <c r="L191" s="4"/>
      <c r="M191" s="27"/>
    </row>
    <row r="192" spans="1:13" hidden="1">
      <c r="A192" s="20">
        <v>45153</v>
      </c>
      <c r="B192" s="27" t="s">
        <v>27</v>
      </c>
      <c r="C192" s="27" t="s">
        <v>120</v>
      </c>
      <c r="D192" s="27" t="s">
        <v>80</v>
      </c>
      <c r="E192" s="17">
        <v>33</v>
      </c>
      <c r="F192" s="27" t="s">
        <v>5</v>
      </c>
      <c r="G192" s="27">
        <v>1747</v>
      </c>
      <c r="H192" s="4">
        <v>150</v>
      </c>
      <c r="I192" s="4">
        <v>60</v>
      </c>
      <c r="J192" s="4"/>
      <c r="K192" s="4"/>
      <c r="L192" s="4"/>
      <c r="M192" s="27"/>
    </row>
    <row r="193" spans="1:13" hidden="1">
      <c r="A193" s="20">
        <v>45153</v>
      </c>
      <c r="B193" s="27" t="s">
        <v>27</v>
      </c>
      <c r="C193" s="27" t="s">
        <v>120</v>
      </c>
      <c r="D193" s="27" t="s">
        <v>80</v>
      </c>
      <c r="E193" s="17">
        <v>34</v>
      </c>
      <c r="F193" s="27" t="s">
        <v>5</v>
      </c>
      <c r="G193" s="27">
        <v>1911</v>
      </c>
      <c r="H193" s="4">
        <v>110.00000000000001</v>
      </c>
      <c r="I193" s="4">
        <v>60</v>
      </c>
      <c r="J193" s="4"/>
      <c r="K193" s="4"/>
      <c r="L193" s="4"/>
      <c r="M193" s="27"/>
    </row>
    <row r="194" spans="1:13" hidden="1">
      <c r="A194" s="20">
        <v>45153</v>
      </c>
      <c r="B194" s="27" t="s">
        <v>27</v>
      </c>
      <c r="C194" s="27" t="s">
        <v>120</v>
      </c>
      <c r="D194" s="27" t="s">
        <v>57</v>
      </c>
      <c r="E194" s="17">
        <v>29</v>
      </c>
      <c r="F194" s="27" t="s">
        <v>146</v>
      </c>
      <c r="G194" s="27"/>
      <c r="H194" s="4">
        <v>120</v>
      </c>
      <c r="I194" s="4">
        <v>180</v>
      </c>
      <c r="J194" s="4"/>
      <c r="K194" s="4"/>
      <c r="L194" s="4"/>
    </row>
    <row r="195" spans="1:13" hidden="1">
      <c r="A195" s="20">
        <v>45153</v>
      </c>
      <c r="B195" s="27" t="s">
        <v>2</v>
      </c>
      <c r="C195" s="27" t="s">
        <v>139</v>
      </c>
      <c r="D195" s="27" t="s">
        <v>57</v>
      </c>
      <c r="E195" s="17">
        <v>177</v>
      </c>
      <c r="F195" s="27" t="s">
        <v>4</v>
      </c>
      <c r="G195" s="27"/>
      <c r="H195" s="4">
        <v>40</v>
      </c>
      <c r="I195" s="4">
        <v>120</v>
      </c>
      <c r="J195" s="4"/>
      <c r="K195" s="4"/>
      <c r="L195" s="4"/>
      <c r="M195" s="27"/>
    </row>
    <row r="196" spans="1:13" hidden="1">
      <c r="A196" s="20">
        <v>45153</v>
      </c>
      <c r="B196" s="27" t="s">
        <v>2</v>
      </c>
      <c r="C196" s="27" t="s">
        <v>139</v>
      </c>
      <c r="D196" s="27" t="s">
        <v>57</v>
      </c>
      <c r="E196" s="17">
        <v>177</v>
      </c>
      <c r="F196" s="27" t="s">
        <v>4</v>
      </c>
      <c r="G196" s="27"/>
      <c r="H196" s="4">
        <v>71</v>
      </c>
      <c r="I196" s="4">
        <v>120</v>
      </c>
      <c r="J196" s="4"/>
      <c r="K196" s="4"/>
      <c r="L196" s="4"/>
      <c r="M196" s="27"/>
    </row>
    <row r="197" spans="1:13" hidden="1">
      <c r="A197" s="20">
        <v>45153</v>
      </c>
      <c r="B197" s="27" t="s">
        <v>2</v>
      </c>
      <c r="C197" s="27" t="s">
        <v>139</v>
      </c>
      <c r="D197" s="27" t="s">
        <v>78</v>
      </c>
      <c r="E197" s="17">
        <v>178</v>
      </c>
      <c r="F197" s="27" t="s">
        <v>3</v>
      </c>
      <c r="G197" s="27"/>
      <c r="H197" s="4">
        <v>255</v>
      </c>
      <c r="I197" s="4">
        <v>180</v>
      </c>
      <c r="J197" s="4"/>
      <c r="K197" s="4"/>
      <c r="L197" s="4"/>
      <c r="M197" s="27"/>
    </row>
    <row r="198" spans="1:13" hidden="1">
      <c r="A198" s="20">
        <v>45153</v>
      </c>
      <c r="B198" s="27" t="s">
        <v>13</v>
      </c>
      <c r="C198" s="27" t="s">
        <v>14</v>
      </c>
      <c r="D198" s="27" t="s">
        <v>61</v>
      </c>
      <c r="E198" s="17"/>
      <c r="F198" s="27"/>
      <c r="G198" s="27"/>
      <c r="H198" s="4">
        <v>120</v>
      </c>
      <c r="I198" s="4"/>
      <c r="J198" s="4"/>
      <c r="K198" s="4"/>
      <c r="L198" s="4"/>
      <c r="M198" s="27"/>
    </row>
    <row r="199" spans="1:13" hidden="1">
      <c r="A199" s="20">
        <v>45153</v>
      </c>
      <c r="B199" s="27" t="s">
        <v>13</v>
      </c>
      <c r="C199" s="27" t="s">
        <v>14</v>
      </c>
      <c r="D199" s="27" t="s">
        <v>61</v>
      </c>
      <c r="E199" s="17"/>
      <c r="F199" s="27"/>
      <c r="G199" s="27"/>
      <c r="H199" s="4">
        <v>30</v>
      </c>
      <c r="I199" s="4"/>
      <c r="J199" s="4"/>
      <c r="K199" s="4"/>
      <c r="L199" s="4"/>
      <c r="M199" s="27"/>
    </row>
    <row r="200" spans="1:13" hidden="1">
      <c r="A200" s="20">
        <v>45153</v>
      </c>
      <c r="B200" s="27" t="s">
        <v>13</v>
      </c>
      <c r="C200" s="27" t="s">
        <v>14</v>
      </c>
      <c r="D200" s="27" t="s">
        <v>61</v>
      </c>
      <c r="E200" s="17"/>
      <c r="F200" s="27"/>
      <c r="G200" s="27"/>
      <c r="H200" s="4">
        <v>45</v>
      </c>
      <c r="I200" s="4"/>
      <c r="J200" s="4"/>
      <c r="K200" s="4"/>
      <c r="L200" s="4"/>
      <c r="M200" s="27"/>
    </row>
    <row r="201" spans="1:13" hidden="1">
      <c r="A201" s="20">
        <v>45153</v>
      </c>
      <c r="B201" s="27" t="s">
        <v>174</v>
      </c>
      <c r="C201" s="27" t="s">
        <v>8</v>
      </c>
      <c r="D201" s="27" t="s">
        <v>61</v>
      </c>
      <c r="E201" s="17"/>
      <c r="F201" s="27"/>
      <c r="G201" s="27"/>
      <c r="H201" s="4">
        <v>150</v>
      </c>
      <c r="I201" s="4">
        <v>240</v>
      </c>
      <c r="J201" s="4"/>
      <c r="K201" s="4"/>
      <c r="L201" s="4"/>
      <c r="M201" s="27" t="s">
        <v>140</v>
      </c>
    </row>
    <row r="202" spans="1:13" hidden="1">
      <c r="A202" s="20">
        <v>45154</v>
      </c>
      <c r="B202" s="45" t="s">
        <v>27</v>
      </c>
      <c r="C202" s="45" t="s">
        <v>88</v>
      </c>
      <c r="D202" s="4" t="s">
        <v>80</v>
      </c>
      <c r="E202" s="46">
        <v>34</v>
      </c>
      <c r="F202" s="45" t="s">
        <v>5</v>
      </c>
      <c r="G202" s="45">
        <v>1050</v>
      </c>
      <c r="H202" s="4">
        <v>90</v>
      </c>
      <c r="I202" s="4">
        <v>60</v>
      </c>
      <c r="J202" s="4"/>
      <c r="K202" s="4"/>
      <c r="L202" s="4"/>
      <c r="M202" s="4"/>
    </row>
    <row r="203" spans="1:13" hidden="1">
      <c r="A203" s="20">
        <v>45154</v>
      </c>
      <c r="B203" s="45" t="s">
        <v>27</v>
      </c>
      <c r="C203" s="45" t="s">
        <v>88</v>
      </c>
      <c r="D203" s="4" t="s">
        <v>80</v>
      </c>
      <c r="E203" s="46">
        <v>31</v>
      </c>
      <c r="F203" s="45" t="s">
        <v>5</v>
      </c>
      <c r="G203" s="45">
        <v>2816</v>
      </c>
      <c r="H203" s="4">
        <v>270</v>
      </c>
      <c r="I203" s="4">
        <v>60</v>
      </c>
      <c r="J203" s="4"/>
      <c r="K203" s="4"/>
      <c r="L203" s="4"/>
      <c r="M203" s="4"/>
    </row>
    <row r="204" spans="1:13" hidden="1">
      <c r="A204" s="20">
        <v>45154</v>
      </c>
      <c r="B204" s="45" t="s">
        <v>27</v>
      </c>
      <c r="C204" s="45" t="s">
        <v>88</v>
      </c>
      <c r="D204" s="4" t="s">
        <v>80</v>
      </c>
      <c r="E204" s="46">
        <v>39</v>
      </c>
      <c r="F204" s="45" t="s">
        <v>5</v>
      </c>
      <c r="G204" s="45">
        <v>1236</v>
      </c>
      <c r="H204" s="4">
        <v>120</v>
      </c>
      <c r="I204" s="4">
        <v>60</v>
      </c>
      <c r="J204" s="4"/>
      <c r="K204" s="4"/>
      <c r="L204" s="4"/>
      <c r="M204" s="4"/>
    </row>
    <row r="205" spans="1:13" hidden="1">
      <c r="A205" s="20">
        <v>45154</v>
      </c>
      <c r="B205" s="45" t="s">
        <v>2</v>
      </c>
      <c r="C205" s="45" t="s">
        <v>175</v>
      </c>
      <c r="D205" s="4" t="s">
        <v>57</v>
      </c>
      <c r="E205" s="46">
        <v>177</v>
      </c>
      <c r="F205" s="45" t="s">
        <v>4</v>
      </c>
      <c r="G205" s="45"/>
      <c r="H205" s="4">
        <v>40</v>
      </c>
      <c r="I205" s="4">
        <v>120</v>
      </c>
      <c r="J205" s="4"/>
      <c r="K205" s="4"/>
      <c r="L205" s="4"/>
      <c r="M205" s="4"/>
    </row>
    <row r="206" spans="1:13" hidden="1">
      <c r="A206" s="20">
        <v>45154</v>
      </c>
      <c r="B206" s="45" t="s">
        <v>2</v>
      </c>
      <c r="C206" s="45" t="s">
        <v>175</v>
      </c>
      <c r="D206" s="4" t="s">
        <v>57</v>
      </c>
      <c r="E206" s="46" t="s">
        <v>176</v>
      </c>
      <c r="F206" s="45" t="s">
        <v>4</v>
      </c>
      <c r="G206" s="45"/>
      <c r="H206" s="4">
        <v>110.00000000000001</v>
      </c>
      <c r="I206" s="4">
        <v>120</v>
      </c>
      <c r="J206" s="4"/>
      <c r="K206" s="4"/>
      <c r="L206" s="4"/>
      <c r="M206" s="4"/>
    </row>
    <row r="207" spans="1:13" hidden="1">
      <c r="A207" s="20">
        <v>45154</v>
      </c>
      <c r="B207" s="45" t="s">
        <v>2</v>
      </c>
      <c r="C207" s="45" t="s">
        <v>175</v>
      </c>
      <c r="D207" s="4" t="s">
        <v>57</v>
      </c>
      <c r="E207" s="46" t="s">
        <v>176</v>
      </c>
      <c r="F207" s="45" t="s">
        <v>4</v>
      </c>
      <c r="G207" s="45"/>
      <c r="H207" s="4">
        <v>55</v>
      </c>
      <c r="I207" s="4">
        <v>120</v>
      </c>
      <c r="J207" s="4"/>
      <c r="K207" s="4"/>
      <c r="L207" s="4"/>
      <c r="M207" s="4"/>
    </row>
    <row r="208" spans="1:13" hidden="1">
      <c r="A208" s="20">
        <v>45154</v>
      </c>
      <c r="B208" s="45" t="s">
        <v>2</v>
      </c>
      <c r="C208" s="45" t="s">
        <v>175</v>
      </c>
      <c r="D208" s="4" t="s">
        <v>57</v>
      </c>
      <c r="E208" s="46" t="s">
        <v>177</v>
      </c>
      <c r="F208" s="45" t="s">
        <v>4</v>
      </c>
      <c r="G208" s="45"/>
      <c r="H208" s="4">
        <v>20</v>
      </c>
      <c r="I208" s="4">
        <v>120</v>
      </c>
      <c r="J208" s="4"/>
      <c r="K208" s="4"/>
      <c r="L208" s="4"/>
      <c r="M208" s="4"/>
    </row>
    <row r="209" spans="1:13" hidden="1">
      <c r="A209" s="20">
        <v>45154</v>
      </c>
      <c r="B209" s="45" t="s">
        <v>2</v>
      </c>
      <c r="C209" s="45" t="s">
        <v>175</v>
      </c>
      <c r="D209" s="4" t="s">
        <v>57</v>
      </c>
      <c r="E209" s="46" t="s">
        <v>177</v>
      </c>
      <c r="F209" s="45" t="s">
        <v>4</v>
      </c>
      <c r="G209" s="45"/>
      <c r="H209" s="4">
        <v>40</v>
      </c>
      <c r="I209" s="4">
        <v>120</v>
      </c>
      <c r="J209" s="4"/>
      <c r="K209" s="4"/>
      <c r="L209" s="4"/>
      <c r="M209" s="4"/>
    </row>
    <row r="210" spans="1:13" hidden="1">
      <c r="A210" s="20">
        <v>45154</v>
      </c>
      <c r="B210" s="45" t="s">
        <v>6</v>
      </c>
      <c r="C210" s="45" t="s">
        <v>83</v>
      </c>
      <c r="D210" s="4" t="s">
        <v>57</v>
      </c>
      <c r="E210" s="46">
        <v>22</v>
      </c>
      <c r="F210" s="45" t="s">
        <v>3</v>
      </c>
      <c r="G210" s="45"/>
      <c r="H210" s="4">
        <v>15</v>
      </c>
      <c r="I210" s="4">
        <v>180</v>
      </c>
      <c r="J210" s="4"/>
      <c r="K210" s="4"/>
      <c r="L210" s="4"/>
      <c r="M210" s="4"/>
    </row>
    <row r="211" spans="1:13" hidden="1">
      <c r="A211" s="20">
        <v>45154</v>
      </c>
      <c r="B211" s="45" t="s">
        <v>2</v>
      </c>
      <c r="C211" s="45" t="s">
        <v>175</v>
      </c>
      <c r="D211" s="4" t="s">
        <v>57</v>
      </c>
      <c r="E211" s="46" t="s">
        <v>177</v>
      </c>
      <c r="F211" s="45" t="s">
        <v>4</v>
      </c>
      <c r="G211" s="45"/>
      <c r="H211" s="4">
        <v>80</v>
      </c>
      <c r="I211" s="4">
        <v>120</v>
      </c>
      <c r="J211" s="4"/>
      <c r="K211" s="4"/>
      <c r="L211" s="4"/>
      <c r="M211" s="4"/>
    </row>
    <row r="212" spans="1:13" hidden="1">
      <c r="A212" s="20">
        <v>45154</v>
      </c>
      <c r="B212" s="45" t="s">
        <v>2</v>
      </c>
      <c r="C212" s="45" t="s">
        <v>175</v>
      </c>
      <c r="D212" s="4" t="s">
        <v>57</v>
      </c>
      <c r="E212" s="46" t="s">
        <v>177</v>
      </c>
      <c r="F212" s="45" t="s">
        <v>4</v>
      </c>
      <c r="G212" s="45"/>
      <c r="H212" s="4">
        <v>60</v>
      </c>
      <c r="I212" s="4">
        <v>120</v>
      </c>
      <c r="J212" s="4"/>
      <c r="K212" s="4"/>
      <c r="L212" s="4"/>
      <c r="M212" s="4"/>
    </row>
    <row r="213" spans="1:13" hidden="1">
      <c r="A213" s="20">
        <v>45154</v>
      </c>
      <c r="B213" s="45" t="s">
        <v>27</v>
      </c>
      <c r="C213" s="45" t="s">
        <v>88</v>
      </c>
      <c r="D213" s="4" t="s">
        <v>57</v>
      </c>
      <c r="E213" s="46">
        <v>22</v>
      </c>
      <c r="F213" s="45" t="s">
        <v>4</v>
      </c>
      <c r="G213" s="45"/>
      <c r="H213" s="4">
        <v>30</v>
      </c>
      <c r="I213" s="4">
        <v>120</v>
      </c>
      <c r="J213" s="4"/>
      <c r="K213" s="4"/>
      <c r="L213" s="4"/>
      <c r="M213" s="4"/>
    </row>
    <row r="214" spans="1:13" hidden="1">
      <c r="A214" s="20">
        <v>45154</v>
      </c>
      <c r="B214" s="45" t="s">
        <v>27</v>
      </c>
      <c r="C214" s="45" t="s">
        <v>88</v>
      </c>
      <c r="D214" s="4" t="s">
        <v>74</v>
      </c>
      <c r="E214" s="46">
        <v>31</v>
      </c>
      <c r="F214" s="45" t="s">
        <v>3</v>
      </c>
      <c r="G214" s="48">
        <v>1</v>
      </c>
      <c r="H214" s="4">
        <v>20</v>
      </c>
      <c r="I214" s="4">
        <v>180</v>
      </c>
      <c r="J214" s="4"/>
      <c r="K214" s="4"/>
      <c r="L214" s="4"/>
      <c r="M214" s="4"/>
    </row>
    <row r="215" spans="1:13" hidden="1">
      <c r="A215" s="20">
        <v>45154</v>
      </c>
      <c r="B215" s="45" t="s">
        <v>27</v>
      </c>
      <c r="C215" s="45" t="s">
        <v>88</v>
      </c>
      <c r="D215" s="4" t="s">
        <v>74</v>
      </c>
      <c r="E215" s="46">
        <v>35</v>
      </c>
      <c r="F215" s="45" t="s">
        <v>31</v>
      </c>
      <c r="G215" s="48">
        <v>0.4</v>
      </c>
      <c r="H215" s="4">
        <v>127</v>
      </c>
      <c r="I215" s="4">
        <v>240</v>
      </c>
      <c r="J215" s="4"/>
      <c r="K215" s="4"/>
      <c r="L215" s="4"/>
      <c r="M215" s="4"/>
    </row>
    <row r="216" spans="1:13" hidden="1">
      <c r="A216" s="20">
        <v>45154</v>
      </c>
      <c r="B216" s="45" t="s">
        <v>27</v>
      </c>
      <c r="C216" s="45" t="s">
        <v>88</v>
      </c>
      <c r="D216" s="4" t="s">
        <v>74</v>
      </c>
      <c r="E216" s="46">
        <v>35</v>
      </c>
      <c r="F216" s="45" t="s">
        <v>31</v>
      </c>
      <c r="G216" s="48">
        <v>0.47</v>
      </c>
      <c r="H216" s="4">
        <v>45</v>
      </c>
      <c r="I216" s="4">
        <v>240</v>
      </c>
      <c r="J216" s="4"/>
      <c r="K216" s="4"/>
      <c r="L216" s="4"/>
      <c r="M216" s="4"/>
    </row>
    <row r="217" spans="1:13" hidden="1">
      <c r="A217" s="20">
        <v>45154</v>
      </c>
      <c r="B217" s="45" t="s">
        <v>27</v>
      </c>
      <c r="C217" s="45" t="s">
        <v>88</v>
      </c>
      <c r="D217" s="4" t="s">
        <v>74</v>
      </c>
      <c r="E217" s="46">
        <v>35</v>
      </c>
      <c r="F217" s="45" t="s">
        <v>31</v>
      </c>
      <c r="G217" s="48">
        <v>0.89</v>
      </c>
      <c r="H217" s="4">
        <v>165</v>
      </c>
      <c r="I217" s="4">
        <v>240</v>
      </c>
      <c r="J217" s="4"/>
      <c r="K217" s="4"/>
      <c r="L217" s="4"/>
      <c r="M217" s="4"/>
    </row>
    <row r="218" spans="1:13" hidden="1">
      <c r="A218" s="20">
        <v>45154</v>
      </c>
      <c r="B218" s="45" t="s">
        <v>27</v>
      </c>
      <c r="C218" s="45" t="s">
        <v>88</v>
      </c>
      <c r="D218" s="4" t="s">
        <v>74</v>
      </c>
      <c r="E218" s="46">
        <v>35</v>
      </c>
      <c r="F218" s="45" t="s">
        <v>3</v>
      </c>
      <c r="G218" s="48">
        <v>1</v>
      </c>
      <c r="H218" s="4">
        <v>45</v>
      </c>
      <c r="I218" s="4">
        <v>180</v>
      </c>
      <c r="J218" s="4"/>
      <c r="K218" s="4"/>
      <c r="L218" s="4"/>
      <c r="M218" s="4"/>
    </row>
    <row r="219" spans="1:13" hidden="1">
      <c r="A219" s="20">
        <v>45154</v>
      </c>
      <c r="B219" s="45" t="s">
        <v>27</v>
      </c>
      <c r="C219" s="45" t="s">
        <v>88</v>
      </c>
      <c r="D219" s="4" t="s">
        <v>74</v>
      </c>
      <c r="E219" s="46">
        <v>36</v>
      </c>
      <c r="F219" s="45" t="s">
        <v>41</v>
      </c>
      <c r="G219" s="48">
        <v>0.01</v>
      </c>
      <c r="H219" s="4">
        <v>40</v>
      </c>
      <c r="I219" s="4">
        <v>240</v>
      </c>
      <c r="J219" s="4"/>
      <c r="K219" s="4"/>
      <c r="L219" s="4"/>
      <c r="M219" s="4"/>
    </row>
    <row r="220" spans="1:13" hidden="1">
      <c r="A220" s="20">
        <v>45154</v>
      </c>
      <c r="B220" s="45" t="s">
        <v>6</v>
      </c>
      <c r="C220" s="49" t="s">
        <v>95</v>
      </c>
      <c r="D220" s="4" t="s">
        <v>61</v>
      </c>
      <c r="E220" s="46"/>
      <c r="F220" s="45" t="s">
        <v>14</v>
      </c>
      <c r="G220" s="45"/>
      <c r="H220" s="4">
        <v>120</v>
      </c>
      <c r="I220" s="4">
        <v>120</v>
      </c>
      <c r="J220" s="4"/>
      <c r="K220" s="4"/>
      <c r="L220" s="4"/>
      <c r="M220" s="4"/>
    </row>
    <row r="221" spans="1:13" hidden="1">
      <c r="A221" s="20">
        <v>45154</v>
      </c>
      <c r="B221" s="45" t="s">
        <v>6</v>
      </c>
      <c r="C221" s="49" t="s">
        <v>95</v>
      </c>
      <c r="D221" s="4" t="s">
        <v>61</v>
      </c>
      <c r="E221" s="46"/>
      <c r="F221" s="45" t="s">
        <v>14</v>
      </c>
      <c r="G221" s="45"/>
      <c r="H221" s="4">
        <v>105</v>
      </c>
      <c r="I221" s="4">
        <v>120</v>
      </c>
      <c r="J221" s="4"/>
      <c r="K221" s="4"/>
      <c r="L221" s="4"/>
      <c r="M221" s="4"/>
    </row>
    <row r="222" spans="1:13" hidden="1">
      <c r="A222" s="20">
        <v>45154</v>
      </c>
      <c r="B222" s="45" t="s">
        <v>6</v>
      </c>
      <c r="C222" s="49" t="s">
        <v>95</v>
      </c>
      <c r="D222" s="4" t="s">
        <v>61</v>
      </c>
      <c r="E222" s="46"/>
      <c r="F222" s="45"/>
      <c r="G222" s="45"/>
      <c r="H222" s="4">
        <v>60</v>
      </c>
      <c r="I222" s="4">
        <v>120</v>
      </c>
      <c r="J222" s="4"/>
      <c r="K222" s="4"/>
      <c r="L222" s="4"/>
      <c r="M222" s="4"/>
    </row>
    <row r="223" spans="1:13">
      <c r="A223" s="20">
        <v>45155</v>
      </c>
      <c r="B223" s="45" t="s">
        <v>178</v>
      </c>
      <c r="C223" s="45" t="s">
        <v>88</v>
      </c>
      <c r="D223" s="4" t="s">
        <v>74</v>
      </c>
      <c r="E223" s="46">
        <v>36</v>
      </c>
      <c r="F223" s="45" t="s">
        <v>3</v>
      </c>
      <c r="G223" s="4"/>
      <c r="H223" s="4">
        <v>150</v>
      </c>
      <c r="I223" s="4">
        <v>180</v>
      </c>
      <c r="J223" s="4"/>
      <c r="K223" s="4"/>
      <c r="L223" s="4"/>
      <c r="M223" s="4"/>
    </row>
    <row r="224" spans="1:13">
      <c r="A224" s="20">
        <v>45155</v>
      </c>
      <c r="B224" s="45" t="s">
        <v>178</v>
      </c>
      <c r="C224" s="45" t="s">
        <v>88</v>
      </c>
      <c r="D224" s="4" t="s">
        <v>57</v>
      </c>
      <c r="E224" s="46">
        <v>22</v>
      </c>
      <c r="F224" s="45" t="s">
        <v>146</v>
      </c>
      <c r="G224" s="4"/>
      <c r="H224" s="4">
        <v>150</v>
      </c>
      <c r="I224" s="4">
        <v>180</v>
      </c>
      <c r="J224" s="4"/>
      <c r="K224" s="4"/>
      <c r="L224" s="4"/>
      <c r="M224" s="4"/>
    </row>
    <row r="225" spans="1:13">
      <c r="A225" s="20">
        <v>45155</v>
      </c>
      <c r="B225" s="45" t="s">
        <v>178</v>
      </c>
      <c r="C225" s="45" t="s">
        <v>88</v>
      </c>
      <c r="D225" s="4" t="s">
        <v>57</v>
      </c>
      <c r="E225" s="46">
        <v>22</v>
      </c>
      <c r="F225" s="45" t="s">
        <v>146</v>
      </c>
      <c r="G225" s="4"/>
      <c r="H225" s="4">
        <v>45</v>
      </c>
      <c r="I225" s="4">
        <v>180</v>
      </c>
      <c r="J225" s="4"/>
      <c r="K225" s="4"/>
      <c r="L225" s="4"/>
      <c r="M225" s="4"/>
    </row>
    <row r="226" spans="1:13">
      <c r="A226" s="20">
        <v>45155</v>
      </c>
      <c r="B226" s="45" t="s">
        <v>178</v>
      </c>
      <c r="C226" s="45" t="s">
        <v>88</v>
      </c>
      <c r="D226" s="4" t="s">
        <v>57</v>
      </c>
      <c r="E226" s="46">
        <v>22</v>
      </c>
      <c r="F226" s="45" t="s">
        <v>146</v>
      </c>
      <c r="G226" s="4"/>
      <c r="H226" s="4">
        <v>30</v>
      </c>
      <c r="I226" s="4">
        <v>180</v>
      </c>
      <c r="J226" s="4"/>
      <c r="K226" s="4"/>
      <c r="L226" s="4"/>
      <c r="M226" s="4"/>
    </row>
    <row r="227" spans="1:13">
      <c r="A227" s="20">
        <v>45155</v>
      </c>
      <c r="B227" s="45" t="s">
        <v>6</v>
      </c>
      <c r="C227" s="45" t="s">
        <v>83</v>
      </c>
      <c r="D227" s="4" t="s">
        <v>57</v>
      </c>
      <c r="E227" s="17"/>
      <c r="F227" s="45" t="s">
        <v>3</v>
      </c>
      <c r="G227" s="4"/>
      <c r="H227" s="4">
        <v>135</v>
      </c>
      <c r="I227" s="4">
        <v>180</v>
      </c>
      <c r="J227" s="4"/>
      <c r="K227" s="4"/>
      <c r="L227" s="4"/>
      <c r="M227" s="4"/>
    </row>
    <row r="228" spans="1:13">
      <c r="A228" s="20">
        <v>45155</v>
      </c>
      <c r="B228" s="45" t="s">
        <v>6</v>
      </c>
      <c r="C228" s="45" t="s">
        <v>83</v>
      </c>
      <c r="D228" s="4" t="s">
        <v>57</v>
      </c>
      <c r="E228" s="46">
        <v>0</v>
      </c>
      <c r="F228" s="45" t="s">
        <v>9</v>
      </c>
      <c r="G228" s="4"/>
      <c r="H228" s="4">
        <v>75</v>
      </c>
      <c r="I228" s="4">
        <v>180</v>
      </c>
      <c r="J228" s="4"/>
      <c r="K228" s="4"/>
      <c r="L228" s="4"/>
      <c r="M228" s="4"/>
    </row>
    <row r="229" spans="1:13">
      <c r="A229" s="20">
        <v>45155</v>
      </c>
      <c r="B229" s="45" t="s">
        <v>178</v>
      </c>
      <c r="C229" s="45" t="s">
        <v>88</v>
      </c>
      <c r="D229" s="4" t="s">
        <v>57</v>
      </c>
      <c r="E229" s="17"/>
      <c r="F229" s="45" t="s">
        <v>146</v>
      </c>
      <c r="G229" s="4">
        <v>537</v>
      </c>
      <c r="H229" s="4">
        <v>15</v>
      </c>
      <c r="I229" s="4">
        <v>180</v>
      </c>
      <c r="J229" s="4"/>
      <c r="K229" s="4"/>
      <c r="L229" s="4"/>
      <c r="M229" s="4"/>
    </row>
    <row r="230" spans="1:13">
      <c r="A230" s="20">
        <v>45155</v>
      </c>
      <c r="B230" s="45" t="s">
        <v>179</v>
      </c>
      <c r="C230" s="45" t="s">
        <v>180</v>
      </c>
      <c r="D230" s="4" t="s">
        <v>98</v>
      </c>
      <c r="E230" s="46">
        <v>304</v>
      </c>
      <c r="F230" s="45" t="s">
        <v>3</v>
      </c>
      <c r="G230" s="4"/>
      <c r="H230" s="4">
        <v>55</v>
      </c>
      <c r="I230" s="4">
        <v>180</v>
      </c>
      <c r="J230" s="4"/>
      <c r="K230" s="4"/>
      <c r="L230" s="4"/>
      <c r="M230" s="4"/>
    </row>
    <row r="231" spans="1:13">
      <c r="A231" s="20">
        <v>45155</v>
      </c>
      <c r="B231" s="45" t="s">
        <v>178</v>
      </c>
      <c r="C231" s="45" t="s">
        <v>88</v>
      </c>
      <c r="D231" s="4" t="s">
        <v>98</v>
      </c>
      <c r="E231" s="17">
        <v>24</v>
      </c>
      <c r="F231" s="45" t="s">
        <v>146</v>
      </c>
      <c r="G231" s="4"/>
      <c r="H231" s="4">
        <v>216</v>
      </c>
      <c r="I231" s="4">
        <v>180</v>
      </c>
      <c r="J231" s="4"/>
      <c r="K231" s="4"/>
      <c r="L231" s="4"/>
      <c r="M231" s="4"/>
    </row>
    <row r="232" spans="1:13">
      <c r="A232" s="20">
        <v>45155</v>
      </c>
      <c r="B232" s="45" t="s">
        <v>178</v>
      </c>
      <c r="C232" s="45" t="s">
        <v>88</v>
      </c>
      <c r="D232" s="4" t="s">
        <v>98</v>
      </c>
      <c r="E232" s="46">
        <v>24</v>
      </c>
      <c r="F232" s="45" t="s">
        <v>146</v>
      </c>
      <c r="G232" s="4"/>
      <c r="H232" s="4">
        <v>185</v>
      </c>
      <c r="I232" s="4">
        <v>180</v>
      </c>
      <c r="J232" s="4"/>
      <c r="K232" s="4"/>
      <c r="L232" s="4"/>
      <c r="M232" s="4"/>
    </row>
    <row r="233" spans="1:13">
      <c r="A233" s="20">
        <v>45155</v>
      </c>
      <c r="B233" s="45" t="s">
        <v>6</v>
      </c>
      <c r="C233" s="45" t="s">
        <v>181</v>
      </c>
      <c r="D233" s="4" t="s">
        <v>61</v>
      </c>
      <c r="E233" s="17"/>
      <c r="F233" s="45" t="s">
        <v>14</v>
      </c>
      <c r="G233" s="4"/>
      <c r="H233" s="4">
        <v>135</v>
      </c>
      <c r="I233" s="4">
        <v>120</v>
      </c>
      <c r="J233" s="4"/>
      <c r="K233" s="4"/>
      <c r="L233" s="4"/>
      <c r="M233" s="4"/>
    </row>
    <row r="234" spans="1:13">
      <c r="A234" s="20">
        <v>45155</v>
      </c>
      <c r="B234" s="45" t="s">
        <v>6</v>
      </c>
      <c r="C234" s="45" t="s">
        <v>181</v>
      </c>
      <c r="D234" s="4" t="s">
        <v>61</v>
      </c>
      <c r="E234" s="17"/>
      <c r="F234" s="45" t="s">
        <v>14</v>
      </c>
      <c r="G234" s="4"/>
      <c r="H234" s="4">
        <v>60</v>
      </c>
      <c r="I234" s="4">
        <v>120</v>
      </c>
      <c r="J234" s="4"/>
      <c r="K234" s="4"/>
      <c r="L234" s="4"/>
      <c r="M234" s="4"/>
    </row>
    <row r="235" spans="1:13">
      <c r="A235" s="20">
        <v>45155</v>
      </c>
      <c r="B235" s="45" t="s">
        <v>6</v>
      </c>
      <c r="C235" s="45" t="s">
        <v>181</v>
      </c>
      <c r="D235" s="4" t="s">
        <v>61</v>
      </c>
      <c r="E235" s="17"/>
      <c r="F235" s="45" t="s">
        <v>14</v>
      </c>
      <c r="G235" s="4">
        <v>220</v>
      </c>
      <c r="H235" s="4">
        <v>30</v>
      </c>
      <c r="I235" s="4">
        <v>120</v>
      </c>
      <c r="J235" s="4"/>
      <c r="K235" s="4"/>
      <c r="L235" s="4"/>
      <c r="M235" s="4"/>
    </row>
    <row r="236" spans="1:13">
      <c r="A236" s="20">
        <v>45155</v>
      </c>
      <c r="B236" s="45" t="s">
        <v>178</v>
      </c>
      <c r="C236" s="45" t="s">
        <v>88</v>
      </c>
      <c r="D236" s="4" t="s">
        <v>61</v>
      </c>
      <c r="E236" s="17">
        <v>23</v>
      </c>
      <c r="F236" s="45" t="s">
        <v>146</v>
      </c>
      <c r="G236" s="4"/>
      <c r="H236" s="4" t="s">
        <v>182</v>
      </c>
      <c r="I236" s="4">
        <v>180</v>
      </c>
      <c r="J236" s="4"/>
      <c r="K236" s="4"/>
      <c r="L236" s="4"/>
      <c r="M236" s="4"/>
    </row>
    <row r="237" spans="1:13">
      <c r="A237" s="20">
        <v>45155</v>
      </c>
      <c r="B237" s="45" t="s">
        <v>178</v>
      </c>
      <c r="C237" s="45" t="s">
        <v>88</v>
      </c>
      <c r="D237" s="4" t="s">
        <v>78</v>
      </c>
      <c r="E237" s="17">
        <v>29</v>
      </c>
      <c r="F237" s="45" t="s">
        <v>146</v>
      </c>
      <c r="G237" s="4"/>
      <c r="H237" s="4">
        <v>285</v>
      </c>
      <c r="I237" s="4">
        <v>180</v>
      </c>
      <c r="J237" s="4"/>
      <c r="K237" s="4"/>
      <c r="L237" s="4"/>
      <c r="M237" s="4"/>
    </row>
    <row r="238" spans="1:13">
      <c r="A238" s="20">
        <v>45155</v>
      </c>
      <c r="B238" s="45" t="s">
        <v>16</v>
      </c>
      <c r="C238" s="45" t="s">
        <v>119</v>
      </c>
      <c r="D238" s="4" t="s">
        <v>80</v>
      </c>
      <c r="E238" s="17"/>
      <c r="F238" s="45" t="s">
        <v>3</v>
      </c>
      <c r="G238" s="4"/>
      <c r="H238" s="4">
        <v>30</v>
      </c>
      <c r="I238" s="4">
        <v>180</v>
      </c>
      <c r="J238" s="4"/>
      <c r="K238" s="4"/>
      <c r="L238" s="4"/>
      <c r="M238" s="4"/>
    </row>
    <row r="239" spans="1:13">
      <c r="A239" s="20">
        <v>45155</v>
      </c>
      <c r="B239" s="45" t="s">
        <v>178</v>
      </c>
      <c r="C239" s="45" t="s">
        <v>88</v>
      </c>
      <c r="D239" s="4" t="s">
        <v>80</v>
      </c>
      <c r="E239" s="17">
        <v>39</v>
      </c>
      <c r="F239" s="45" t="s">
        <v>5</v>
      </c>
      <c r="G239" s="4"/>
      <c r="H239" s="4">
        <v>75</v>
      </c>
      <c r="I239" s="4">
        <v>60</v>
      </c>
      <c r="J239" s="4"/>
      <c r="K239" s="4"/>
      <c r="L239" s="4"/>
      <c r="M239" s="4"/>
    </row>
    <row r="240" spans="1:13">
      <c r="A240" s="20">
        <v>45155</v>
      </c>
      <c r="B240" s="45" t="s">
        <v>15</v>
      </c>
      <c r="C240" s="45" t="s">
        <v>15</v>
      </c>
      <c r="D240" s="4" t="s">
        <v>80</v>
      </c>
      <c r="E240" s="17"/>
      <c r="F240" s="29" t="s">
        <v>15</v>
      </c>
      <c r="G240" s="4"/>
      <c r="H240" s="4">
        <v>60</v>
      </c>
      <c r="I240" s="4">
        <v>15</v>
      </c>
      <c r="J240" s="4"/>
      <c r="K240" s="4"/>
      <c r="L240" s="4"/>
      <c r="M240" s="4"/>
    </row>
    <row r="241" spans="1:13">
      <c r="A241" s="20">
        <v>45155</v>
      </c>
      <c r="B241" s="45" t="s">
        <v>178</v>
      </c>
      <c r="C241" s="45" t="s">
        <v>88</v>
      </c>
      <c r="D241" s="4" t="s">
        <v>80</v>
      </c>
      <c r="E241" s="17">
        <v>39</v>
      </c>
      <c r="F241" s="45" t="s">
        <v>5</v>
      </c>
      <c r="G241" s="4">
        <v>2889</v>
      </c>
      <c r="H241" s="4">
        <v>90</v>
      </c>
      <c r="I241" s="4">
        <v>60</v>
      </c>
      <c r="J241" s="4"/>
      <c r="K241" s="4"/>
      <c r="L241" s="4"/>
      <c r="M241" s="4"/>
    </row>
    <row r="242" spans="1:13">
      <c r="A242" s="20">
        <v>45155</v>
      </c>
      <c r="B242" s="45" t="s">
        <v>178</v>
      </c>
      <c r="C242" s="45" t="s">
        <v>88</v>
      </c>
      <c r="D242" s="4" t="s">
        <v>80</v>
      </c>
      <c r="E242" s="17">
        <v>35</v>
      </c>
      <c r="F242" s="45" t="s">
        <v>5</v>
      </c>
      <c r="G242" s="4"/>
      <c r="H242" s="4">
        <v>75</v>
      </c>
      <c r="I242" s="4">
        <v>60</v>
      </c>
      <c r="J242" s="4"/>
      <c r="K242" s="4"/>
      <c r="L242" s="4"/>
      <c r="M242" s="4"/>
    </row>
    <row r="243" spans="1:13">
      <c r="A243" s="20">
        <v>45155</v>
      </c>
      <c r="B243" s="45" t="s">
        <v>178</v>
      </c>
      <c r="C243" s="45" t="s">
        <v>88</v>
      </c>
      <c r="D243" s="4" t="s">
        <v>80</v>
      </c>
      <c r="E243" s="17">
        <v>35</v>
      </c>
      <c r="F243" s="45" t="s">
        <v>5</v>
      </c>
      <c r="G243" s="4">
        <v>2807</v>
      </c>
      <c r="H243" s="4">
        <v>135</v>
      </c>
      <c r="I243" s="4">
        <v>60</v>
      </c>
      <c r="J243" s="4"/>
      <c r="K243" s="4"/>
      <c r="L243" s="4"/>
      <c r="M243" s="4"/>
    </row>
  </sheetData>
  <autoFilter ref="A4:Q243" xr:uid="{00000000-0009-0000-0000-000003000000}">
    <filterColumn colId="0">
      <filters>
        <dateGroupItem year="2023" month="8" day="17" dateTimeGrouping="day"/>
      </filters>
    </filterColumn>
  </autoFilter>
  <mergeCells count="2">
    <mergeCell ref="A1:I1"/>
    <mergeCell ref="A3:M3"/>
  </mergeCells>
  <conditionalFormatting sqref="H5:H201">
    <cfRule type="expression" dxfId="3" priority="2">
      <formula>$H1048394&gt;$I1048394</formula>
    </cfRule>
  </conditionalFormatting>
  <conditionalFormatting sqref="E224">
    <cfRule type="expression" dxfId="2" priority="1">
      <formula>$H5&gt;$H5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K44"/>
  <sheetViews>
    <sheetView workbookViewId="0">
      <selection activeCell="B23" sqref="B23"/>
    </sheetView>
  </sheetViews>
  <sheetFormatPr defaultRowHeight="15"/>
  <cols>
    <col min="1" max="1" width="14.7109375" bestFit="1" customWidth="1"/>
    <col min="2" max="2" width="28.42578125" bestFit="1" customWidth="1"/>
    <col min="3" max="3" width="12" bestFit="1" customWidth="1"/>
    <col min="4" max="4" width="8.85546875" bestFit="1" customWidth="1"/>
  </cols>
  <sheetData>
    <row r="2" spans="1:5">
      <c r="A2" s="44" t="s">
        <v>183</v>
      </c>
      <c r="B2" s="44" t="s">
        <v>184</v>
      </c>
      <c r="C2" s="44" t="s">
        <v>185</v>
      </c>
      <c r="D2" s="44" t="s">
        <v>44</v>
      </c>
      <c r="E2" s="44"/>
    </row>
    <row r="3" spans="1:5">
      <c r="A3" s="4" t="s">
        <v>2</v>
      </c>
      <c r="B3" s="26" t="s">
        <v>3</v>
      </c>
      <c r="C3" s="4">
        <v>190</v>
      </c>
      <c r="D3" s="4">
        <v>360</v>
      </c>
      <c r="E3" s="4"/>
    </row>
    <row r="4" spans="1:5">
      <c r="A4" s="4"/>
      <c r="B4" s="26" t="s">
        <v>4</v>
      </c>
      <c r="C4" s="4">
        <v>111</v>
      </c>
      <c r="D4" s="4">
        <v>120</v>
      </c>
      <c r="E4" s="4"/>
    </row>
    <row r="5" spans="1:5">
      <c r="A5" s="4"/>
      <c r="B5" s="26" t="s">
        <v>5</v>
      </c>
      <c r="C5" s="4">
        <v>42.5</v>
      </c>
      <c r="D5" s="4">
        <v>60</v>
      </c>
      <c r="E5" s="4"/>
    </row>
    <row r="6" spans="1:5">
      <c r="A6" s="4" t="s">
        <v>17</v>
      </c>
      <c r="B6" s="26" t="s">
        <v>8</v>
      </c>
      <c r="C6" s="4">
        <v>60</v>
      </c>
      <c r="D6" s="4">
        <v>360</v>
      </c>
      <c r="E6" s="4"/>
    </row>
    <row r="7" spans="1:5">
      <c r="A7" s="4"/>
      <c r="B7" s="26" t="s">
        <v>9</v>
      </c>
      <c r="C7" s="4">
        <v>94</v>
      </c>
      <c r="D7" s="4">
        <v>180</v>
      </c>
      <c r="E7" s="4"/>
    </row>
    <row r="8" spans="1:5">
      <c r="A8" s="4" t="s">
        <v>19</v>
      </c>
      <c r="B8" s="26" t="s">
        <v>8</v>
      </c>
      <c r="C8" s="4">
        <v>228.75</v>
      </c>
      <c r="D8" s="4">
        <v>360</v>
      </c>
      <c r="E8" s="4"/>
    </row>
    <row r="9" spans="1:5">
      <c r="A9" s="4" t="s">
        <v>21</v>
      </c>
      <c r="B9" s="26" t="s">
        <v>3</v>
      </c>
      <c r="C9" s="4">
        <v>366</v>
      </c>
      <c r="D9" s="4">
        <v>180</v>
      </c>
      <c r="E9" s="4"/>
    </row>
    <row r="10" spans="1:5">
      <c r="A10" s="4"/>
      <c r="B10" s="26" t="s">
        <v>4</v>
      </c>
      <c r="C10" s="4">
        <v>271.25</v>
      </c>
      <c r="D10" s="4">
        <v>60</v>
      </c>
      <c r="E10" s="4"/>
    </row>
    <row r="11" spans="1:5">
      <c r="A11" s="4"/>
      <c r="B11" s="26" t="s">
        <v>22</v>
      </c>
      <c r="C11" s="4">
        <v>120</v>
      </c>
      <c r="D11" s="4">
        <v>120</v>
      </c>
      <c r="E11" s="4"/>
    </row>
    <row r="12" spans="1:5">
      <c r="A12" s="4"/>
      <c r="B12" s="26" t="s">
        <v>23</v>
      </c>
      <c r="C12" s="4">
        <v>103.33333333333333</v>
      </c>
      <c r="D12" s="4">
        <v>120</v>
      </c>
      <c r="E12" s="4"/>
    </row>
    <row r="13" spans="1:5">
      <c r="A13" s="4"/>
      <c r="B13" s="26" t="s">
        <v>5</v>
      </c>
      <c r="C13" s="4">
        <v>129.5</v>
      </c>
      <c r="D13" s="4">
        <v>60</v>
      </c>
      <c r="E13" s="4"/>
    </row>
    <row r="14" spans="1:5">
      <c r="A14" s="4"/>
      <c r="B14" s="26" t="s">
        <v>9</v>
      </c>
      <c r="C14" s="4">
        <v>27.5</v>
      </c>
      <c r="D14" s="4">
        <v>180</v>
      </c>
      <c r="E14" s="4"/>
    </row>
    <row r="15" spans="1:5">
      <c r="A15" s="4" t="s">
        <v>27</v>
      </c>
      <c r="B15" s="26" t="s">
        <v>28</v>
      </c>
      <c r="C15" s="4">
        <v>15</v>
      </c>
      <c r="D15" s="4">
        <v>60</v>
      </c>
      <c r="E15" s="4"/>
    </row>
    <row r="16" spans="1:5">
      <c r="A16" s="4"/>
      <c r="B16" s="26" t="s">
        <v>29</v>
      </c>
      <c r="C16" s="4">
        <v>60</v>
      </c>
      <c r="D16" s="4">
        <v>120</v>
      </c>
      <c r="E16" s="4"/>
    </row>
    <row r="17" spans="1:37">
      <c r="A17" s="4"/>
      <c r="B17" s="26" t="s">
        <v>3</v>
      </c>
      <c r="C17" s="4">
        <v>252.5</v>
      </c>
      <c r="D17" s="4">
        <v>180</v>
      </c>
      <c r="E17" s="4"/>
    </row>
    <row r="18" spans="1:37">
      <c r="A18" s="4"/>
      <c r="B18" s="26" t="s">
        <v>30</v>
      </c>
      <c r="C18" s="4">
        <v>293</v>
      </c>
      <c r="D18" s="4">
        <v>180</v>
      </c>
      <c r="E18" s="4"/>
    </row>
    <row r="19" spans="1:37">
      <c r="A19" s="4"/>
      <c r="B19" s="26" t="s">
        <v>31</v>
      </c>
      <c r="C19" s="4">
        <v>366</v>
      </c>
      <c r="D19" s="4">
        <v>240</v>
      </c>
      <c r="E19" s="4"/>
    </row>
    <row r="20" spans="1:37">
      <c r="A20" s="4"/>
      <c r="B20" s="26" t="s">
        <v>8</v>
      </c>
      <c r="C20" s="4">
        <v>225</v>
      </c>
      <c r="D20" s="4">
        <v>360</v>
      </c>
      <c r="E20" s="4"/>
    </row>
    <row r="21" spans="1:37">
      <c r="A21" s="4"/>
      <c r="B21" s="26" t="s">
        <v>32</v>
      </c>
      <c r="C21" s="4">
        <v>890</v>
      </c>
      <c r="D21" s="4">
        <v>480</v>
      </c>
      <c r="E21" s="4"/>
    </row>
    <row r="22" spans="1:37">
      <c r="A22" s="4"/>
      <c r="B22" s="26" t="s">
        <v>33</v>
      </c>
      <c r="C22" s="4">
        <v>360</v>
      </c>
      <c r="D22" s="4">
        <v>180</v>
      </c>
      <c r="E22" s="4"/>
    </row>
    <row r="23" spans="1:37">
      <c r="A23" s="4"/>
      <c r="B23" s="26" t="s">
        <v>5</v>
      </c>
      <c r="C23" s="4">
        <v>95</v>
      </c>
      <c r="D23" s="4">
        <v>60</v>
      </c>
      <c r="E23" s="4"/>
    </row>
    <row r="24" spans="1:37">
      <c r="A24" s="4"/>
      <c r="B24" s="26" t="s">
        <v>28</v>
      </c>
      <c r="C24" s="4">
        <v>45</v>
      </c>
      <c r="D24" s="4">
        <v>60</v>
      </c>
      <c r="E24" s="4"/>
    </row>
    <row r="25" spans="1:37">
      <c r="A25" s="43" t="s">
        <v>37</v>
      </c>
      <c r="B25" s="26" t="s">
        <v>4</v>
      </c>
      <c r="C25" s="4">
        <v>224</v>
      </c>
      <c r="D25" s="4">
        <v>129</v>
      </c>
      <c r="E25" s="4"/>
    </row>
    <row r="26" spans="1:37">
      <c r="A26" s="4"/>
      <c r="B26" s="26" t="s">
        <v>23</v>
      </c>
      <c r="C26" s="4">
        <v>345</v>
      </c>
      <c r="D26" s="4">
        <v>120</v>
      </c>
      <c r="E26" s="4"/>
    </row>
    <row r="27" spans="1:37">
      <c r="A27" s="4"/>
      <c r="B27" s="26" t="s">
        <v>5</v>
      </c>
      <c r="C27" s="4">
        <v>295</v>
      </c>
      <c r="D27" s="4">
        <v>60</v>
      </c>
      <c r="E27" s="4"/>
    </row>
    <row r="28" spans="1:37">
      <c r="A28" s="4"/>
      <c r="B28" s="26" t="s">
        <v>7</v>
      </c>
      <c r="C28" s="4">
        <v>15</v>
      </c>
      <c r="D28" s="4">
        <v>15</v>
      </c>
      <c r="E28" s="4"/>
    </row>
    <row r="29" spans="1:37">
      <c r="A29" s="4" t="s">
        <v>6</v>
      </c>
      <c r="B29" s="26" t="s">
        <v>3</v>
      </c>
      <c r="C29" s="4">
        <v>21</v>
      </c>
      <c r="D29" s="4">
        <v>360</v>
      </c>
      <c r="E29" s="4"/>
    </row>
    <row r="30" spans="1:37">
      <c r="A30" s="4"/>
      <c r="B30" s="26" t="s">
        <v>8</v>
      </c>
      <c r="C30" s="4">
        <v>133.875</v>
      </c>
      <c r="D30" s="4">
        <v>360</v>
      </c>
      <c r="E30" s="4"/>
    </row>
    <row r="31" spans="1:37">
      <c r="A31" s="4"/>
      <c r="B31" s="26" t="s">
        <v>4</v>
      </c>
      <c r="C31" s="4">
        <v>20</v>
      </c>
      <c r="D31" s="4">
        <v>60</v>
      </c>
      <c r="E31" s="4"/>
    </row>
    <row r="32" spans="1:37">
      <c r="A32" s="4"/>
      <c r="B32" s="26" t="s">
        <v>9</v>
      </c>
      <c r="C32" s="4">
        <v>19.375</v>
      </c>
      <c r="D32" s="4">
        <v>180</v>
      </c>
      <c r="E32" s="4"/>
      <c r="AC32" s="57" t="s">
        <v>186</v>
      </c>
      <c r="AD32" s="57"/>
      <c r="AE32" s="57"/>
      <c r="AF32" s="57"/>
      <c r="AG32" s="57"/>
      <c r="AH32" s="57"/>
      <c r="AI32" s="57"/>
      <c r="AJ32" s="57"/>
      <c r="AK32" s="57"/>
    </row>
    <row r="33" spans="1:37">
      <c r="A33" s="4"/>
      <c r="B33" s="26" t="s">
        <v>10</v>
      </c>
      <c r="C33" s="4">
        <v>119</v>
      </c>
      <c r="D33" s="4">
        <v>120</v>
      </c>
      <c r="E33" s="4"/>
      <c r="AC33" s="56" t="s">
        <v>187</v>
      </c>
      <c r="AD33" s="56"/>
      <c r="AE33" s="56"/>
      <c r="AF33" s="56"/>
      <c r="AG33" s="56"/>
      <c r="AH33" s="56"/>
      <c r="AI33" s="56"/>
      <c r="AJ33" s="56"/>
      <c r="AK33" s="56"/>
    </row>
    <row r="34" spans="1:37">
      <c r="A34" s="4"/>
      <c r="B34" s="26" t="s">
        <v>11</v>
      </c>
      <c r="C34" s="4">
        <v>180</v>
      </c>
      <c r="D34" s="4">
        <v>120</v>
      </c>
      <c r="E34" s="4"/>
      <c r="AC34" s="4" t="s">
        <v>144</v>
      </c>
      <c r="AD34" s="4" t="s">
        <v>47</v>
      </c>
      <c r="AE34" s="4" t="s">
        <v>48</v>
      </c>
      <c r="AF34" s="4" t="s">
        <v>50</v>
      </c>
      <c r="AG34" s="4" t="s">
        <v>52</v>
      </c>
      <c r="AH34" s="4" t="s">
        <v>53</v>
      </c>
      <c r="AI34" s="4" t="s">
        <v>44</v>
      </c>
      <c r="AJ34" s="4" t="s">
        <v>188</v>
      </c>
      <c r="AK34" s="4" t="s">
        <v>189</v>
      </c>
    </row>
    <row r="35" spans="1:37">
      <c r="A35" s="4"/>
      <c r="B35" s="26" t="s">
        <v>14</v>
      </c>
      <c r="C35" s="4">
        <v>105</v>
      </c>
      <c r="D35" s="4">
        <v>60</v>
      </c>
      <c r="E35" s="4"/>
      <c r="AC35" s="5">
        <v>45137</v>
      </c>
      <c r="AD35" s="4" t="s">
        <v>21</v>
      </c>
      <c r="AE35" s="4" t="s">
        <v>77</v>
      </c>
      <c r="AF35" s="4">
        <v>1</v>
      </c>
      <c r="AG35" s="4"/>
      <c r="AH35" s="4">
        <v>60</v>
      </c>
      <c r="AI35" s="4">
        <v>240</v>
      </c>
      <c r="AJ35" s="10">
        <f>AG35*'August Data Dump'!O27</f>
        <v>0</v>
      </c>
      <c r="AK35" s="4"/>
    </row>
    <row r="36" spans="1:37">
      <c r="AC36" s="4"/>
      <c r="AD36" s="4"/>
      <c r="AE36" s="4"/>
      <c r="AF36" s="4"/>
      <c r="AG36" s="4"/>
      <c r="AH36" s="4"/>
      <c r="AI36" s="4"/>
      <c r="AJ36" s="4"/>
      <c r="AK36" s="4"/>
    </row>
    <row r="37" spans="1:37">
      <c r="AC37" s="4"/>
      <c r="AD37" s="4"/>
      <c r="AE37" s="4"/>
      <c r="AF37" s="4"/>
      <c r="AG37" s="4"/>
      <c r="AH37" s="4"/>
      <c r="AI37" s="4"/>
      <c r="AJ37" s="4"/>
      <c r="AK37" s="4"/>
    </row>
    <row r="38" spans="1:37">
      <c r="AC38" s="4"/>
      <c r="AD38" s="4"/>
      <c r="AE38" s="4"/>
      <c r="AF38" s="4"/>
      <c r="AG38" s="4"/>
      <c r="AH38" s="4"/>
      <c r="AI38" s="4"/>
      <c r="AJ38" s="4"/>
      <c r="AK38" s="4"/>
    </row>
    <row r="39" spans="1:37">
      <c r="AC39" s="4"/>
      <c r="AD39" s="4"/>
      <c r="AE39" s="4"/>
      <c r="AF39" s="4"/>
      <c r="AG39" s="4"/>
      <c r="AH39" s="4"/>
      <c r="AI39" s="4"/>
      <c r="AJ39" s="4"/>
      <c r="AK39" s="4"/>
    </row>
    <row r="40" spans="1:37">
      <c r="AC40" s="4"/>
      <c r="AD40" s="4"/>
      <c r="AE40" s="4"/>
      <c r="AF40" s="4"/>
      <c r="AG40" s="4"/>
      <c r="AH40" s="4"/>
      <c r="AI40" s="4"/>
      <c r="AJ40" s="4"/>
      <c r="AK40" s="4"/>
    </row>
    <row r="41" spans="1:37">
      <c r="AC41" s="4"/>
      <c r="AD41" s="4"/>
      <c r="AE41" s="4"/>
      <c r="AF41" s="4"/>
      <c r="AG41" s="4"/>
      <c r="AH41" s="4"/>
      <c r="AI41" s="4"/>
      <c r="AJ41" s="4"/>
      <c r="AK41" s="4"/>
    </row>
    <row r="42" spans="1:37">
      <c r="AC42" s="4"/>
      <c r="AD42" s="4"/>
      <c r="AE42" s="4"/>
      <c r="AF42" s="4"/>
      <c r="AG42" s="4"/>
      <c r="AH42" s="4"/>
      <c r="AI42" s="4"/>
      <c r="AJ42" s="4"/>
      <c r="AK42" s="4"/>
    </row>
    <row r="43" spans="1:37">
      <c r="AC43" s="4"/>
      <c r="AD43" s="4"/>
      <c r="AE43" s="4"/>
      <c r="AF43" s="4"/>
      <c r="AG43" s="4"/>
      <c r="AH43" s="4"/>
      <c r="AI43" s="4"/>
      <c r="AJ43" s="4"/>
      <c r="AK43" s="4"/>
    </row>
    <row r="44" spans="1:37">
      <c r="AC44" s="4"/>
      <c r="AD44" s="4"/>
      <c r="AE44" s="4"/>
      <c r="AF44" s="4"/>
      <c r="AG44" s="4"/>
      <c r="AH44" s="4"/>
      <c r="AI44" s="4"/>
      <c r="AJ44" s="4"/>
      <c r="AK44" s="4"/>
    </row>
  </sheetData>
  <mergeCells count="2">
    <mergeCell ref="AC33:AK33"/>
    <mergeCell ref="AC32:AK32"/>
  </mergeCells>
  <conditionalFormatting sqref="C3:C35">
    <cfRule type="expression" dxfId="1" priority="2">
      <formula>$C3&gt;$D3</formula>
    </cfRule>
    <cfRule type="expression" dxfId="0" priority="1">
      <formula>$C3&lt;$D3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V56"/>
  <sheetViews>
    <sheetView workbookViewId="0">
      <selection activeCell="F33" sqref="F33"/>
    </sheetView>
  </sheetViews>
  <sheetFormatPr defaultRowHeight="15"/>
  <cols>
    <col min="1" max="1" width="13" customWidth="1"/>
    <col min="2" max="2" width="17" customWidth="1"/>
    <col min="3" max="3" width="26.5703125" bestFit="1" customWidth="1"/>
    <col min="4" max="4" width="18.140625" bestFit="1" customWidth="1"/>
    <col min="5" max="5" width="26.28515625" bestFit="1" customWidth="1"/>
    <col min="6" max="6" width="18.140625" bestFit="1" customWidth="1"/>
    <col min="7" max="7" width="13" customWidth="1"/>
    <col min="8" max="8" width="11.7109375" customWidth="1"/>
    <col min="9" max="9" width="12.140625" customWidth="1"/>
    <col min="10" max="10" width="12.28515625" customWidth="1"/>
    <col min="11" max="11" width="12" customWidth="1"/>
    <col min="20" max="20" width="11.42578125" bestFit="1" customWidth="1"/>
  </cols>
  <sheetData>
    <row r="2" spans="1:22">
      <c r="A2" s="55" t="s">
        <v>190</v>
      </c>
      <c r="B2" s="52"/>
      <c r="C2" s="52"/>
      <c r="D2" s="54"/>
    </row>
    <row r="3" spans="1:22">
      <c r="A3" s="4" t="s">
        <v>144</v>
      </c>
      <c r="B3" s="4" t="s">
        <v>49</v>
      </c>
      <c r="C3" s="4" t="s">
        <v>191</v>
      </c>
      <c r="D3" s="4" t="s">
        <v>192</v>
      </c>
      <c r="T3" s="11" t="s">
        <v>44</v>
      </c>
      <c r="U3" s="11" t="s">
        <v>45</v>
      </c>
      <c r="V3" s="11" t="s">
        <v>46</v>
      </c>
    </row>
    <row r="4" spans="1:22">
      <c r="A4" s="5">
        <v>45139</v>
      </c>
      <c r="B4" s="4" t="s">
        <v>57</v>
      </c>
      <c r="C4" s="4">
        <v>465</v>
      </c>
      <c r="D4" s="4">
        <f>8*60</f>
        <v>480</v>
      </c>
      <c r="T4" s="12" t="s">
        <v>55</v>
      </c>
      <c r="U4" s="12">
        <v>3</v>
      </c>
      <c r="V4" s="12">
        <v>180</v>
      </c>
    </row>
    <row r="5" spans="1:22">
      <c r="A5" s="5">
        <v>45139</v>
      </c>
      <c r="B5" s="4" t="s">
        <v>78</v>
      </c>
      <c r="C5" s="4">
        <v>285</v>
      </c>
      <c r="D5" s="9"/>
      <c r="T5" s="12" t="s">
        <v>60</v>
      </c>
      <c r="U5" s="12">
        <v>1</v>
      </c>
      <c r="V5" s="12">
        <v>60</v>
      </c>
    </row>
    <row r="6" spans="1:22">
      <c r="A6" s="5">
        <v>45139</v>
      </c>
      <c r="B6" s="4" t="s">
        <v>61</v>
      </c>
      <c r="C6" s="4">
        <v>345</v>
      </c>
      <c r="D6" s="4">
        <f>6.1*60</f>
        <v>366</v>
      </c>
      <c r="T6" s="12" t="s">
        <v>4</v>
      </c>
      <c r="U6" s="12">
        <v>2</v>
      </c>
      <c r="V6" s="12">
        <v>120</v>
      </c>
    </row>
    <row r="7" spans="1:22">
      <c r="A7" s="5">
        <v>45139</v>
      </c>
      <c r="B7" s="4" t="s">
        <v>74</v>
      </c>
      <c r="C7" s="4">
        <v>435</v>
      </c>
      <c r="D7" s="4">
        <f>8*60</f>
        <v>480</v>
      </c>
      <c r="T7" s="12" t="s">
        <v>64</v>
      </c>
      <c r="U7" s="12">
        <v>1</v>
      </c>
      <c r="V7" s="12">
        <v>60</v>
      </c>
    </row>
    <row r="8" spans="1:22">
      <c r="A8" s="5">
        <v>45139</v>
      </c>
      <c r="B8" s="4" t="s">
        <v>80</v>
      </c>
      <c r="C8" s="4">
        <v>465</v>
      </c>
      <c r="D8" s="4">
        <f>8*60</f>
        <v>480</v>
      </c>
      <c r="T8" s="12" t="s">
        <v>69</v>
      </c>
      <c r="U8" s="12">
        <v>7</v>
      </c>
      <c r="V8" s="12">
        <v>420</v>
      </c>
    </row>
    <row r="9" spans="1:22">
      <c r="A9" s="5">
        <v>45139</v>
      </c>
      <c r="B9" s="4" t="s">
        <v>68</v>
      </c>
      <c r="C9" s="4">
        <v>154</v>
      </c>
      <c r="D9" s="9"/>
    </row>
    <row r="10" spans="1:22">
      <c r="A10" s="1">
        <v>45140</v>
      </c>
      <c r="B10" s="13" t="s">
        <v>85</v>
      </c>
      <c r="C10" s="13">
        <v>448</v>
      </c>
      <c r="D10" s="14"/>
    </row>
    <row r="11" spans="1:22">
      <c r="A11" s="1">
        <v>45140</v>
      </c>
      <c r="B11" s="13" t="s">
        <v>74</v>
      </c>
      <c r="C11" s="13">
        <v>445</v>
      </c>
      <c r="D11" s="15">
        <f>8*60</f>
        <v>480</v>
      </c>
    </row>
    <row r="12" spans="1:22">
      <c r="A12" s="1">
        <v>45140</v>
      </c>
      <c r="B12" s="13" t="s">
        <v>82</v>
      </c>
      <c r="C12" s="13">
        <v>290</v>
      </c>
      <c r="D12" s="14"/>
    </row>
    <row r="13" spans="1:22">
      <c r="A13" s="1">
        <v>45140</v>
      </c>
      <c r="B13" s="13" t="s">
        <v>57</v>
      </c>
      <c r="C13" s="13">
        <v>430</v>
      </c>
      <c r="D13" s="12">
        <f>8*60</f>
        <v>480</v>
      </c>
    </row>
    <row r="14" spans="1:22">
      <c r="A14" s="1">
        <v>45140</v>
      </c>
      <c r="B14" s="13" t="s">
        <v>80</v>
      </c>
      <c r="C14" s="13">
        <v>480</v>
      </c>
      <c r="D14" s="12">
        <f>8.2*60</f>
        <v>491.99999999999994</v>
      </c>
    </row>
    <row r="15" spans="1:22">
      <c r="A15" s="1">
        <v>45140</v>
      </c>
      <c r="B15" s="24" t="s">
        <v>61</v>
      </c>
      <c r="C15" s="24">
        <v>285</v>
      </c>
      <c r="D15" s="25">
        <f>5*80</f>
        <v>400</v>
      </c>
    </row>
    <row r="16" spans="1:22">
      <c r="A16" s="5">
        <v>45141</v>
      </c>
      <c r="B16" s="26" t="s">
        <v>74</v>
      </c>
      <c r="C16" s="4">
        <v>400</v>
      </c>
      <c r="D16" s="4">
        <v>480</v>
      </c>
    </row>
    <row r="17" spans="1:4">
      <c r="A17" s="5">
        <v>45141</v>
      </c>
      <c r="B17" s="26" t="s">
        <v>57</v>
      </c>
      <c r="C17" s="4">
        <v>415</v>
      </c>
      <c r="D17" s="4">
        <v>480</v>
      </c>
    </row>
    <row r="18" spans="1:4">
      <c r="A18" s="5">
        <v>45141</v>
      </c>
      <c r="B18" s="26" t="s">
        <v>85</v>
      </c>
      <c r="C18" s="4">
        <v>365</v>
      </c>
      <c r="D18" s="4"/>
    </row>
    <row r="19" spans="1:4">
      <c r="A19" s="5">
        <v>45141</v>
      </c>
      <c r="B19" s="26" t="s">
        <v>78</v>
      </c>
      <c r="C19" s="4">
        <v>345</v>
      </c>
      <c r="D19" s="4"/>
    </row>
    <row r="20" spans="1:4">
      <c r="A20" s="5">
        <v>45141</v>
      </c>
      <c r="B20" s="26" t="s">
        <v>68</v>
      </c>
      <c r="C20" s="4">
        <v>171</v>
      </c>
      <c r="D20" s="4"/>
    </row>
    <row r="21" spans="1:4">
      <c r="A21" s="5">
        <v>45141</v>
      </c>
      <c r="B21" s="26" t="s">
        <v>98</v>
      </c>
      <c r="C21" s="4">
        <v>460</v>
      </c>
      <c r="D21" s="4">
        <f>7.7*60</f>
        <v>462</v>
      </c>
    </row>
    <row r="22" spans="1:4">
      <c r="A22" s="5">
        <v>45141</v>
      </c>
      <c r="B22" s="26" t="s">
        <v>80</v>
      </c>
      <c r="C22" s="4">
        <v>480</v>
      </c>
      <c r="D22" s="4">
        <f>8.2*60</f>
        <v>491.99999999999994</v>
      </c>
    </row>
    <row r="23" spans="1:4">
      <c r="A23" s="5">
        <v>45141</v>
      </c>
      <c r="B23" s="26" t="s">
        <v>61</v>
      </c>
      <c r="C23" s="4">
        <v>315</v>
      </c>
      <c r="D23" s="4">
        <f>6*60</f>
        <v>360</v>
      </c>
    </row>
    <row r="24" spans="1:4">
      <c r="A24" s="5">
        <v>45142</v>
      </c>
      <c r="B24" s="26" t="s">
        <v>74</v>
      </c>
      <c r="C24" s="4">
        <v>440</v>
      </c>
      <c r="D24" s="4"/>
    </row>
    <row r="25" spans="1:4">
      <c r="A25" s="5">
        <v>45142</v>
      </c>
      <c r="B25" s="26" t="s">
        <v>57</v>
      </c>
      <c r="C25" s="4">
        <v>1170</v>
      </c>
      <c r="D25" s="4"/>
    </row>
    <row r="26" spans="1:4">
      <c r="A26" s="5">
        <v>45142</v>
      </c>
      <c r="B26" s="26" t="s">
        <v>98</v>
      </c>
      <c r="C26" s="4">
        <v>465</v>
      </c>
      <c r="D26" s="4"/>
    </row>
    <row r="27" spans="1:4">
      <c r="A27" s="5">
        <v>45142</v>
      </c>
      <c r="B27" s="26" t="s">
        <v>80</v>
      </c>
      <c r="C27" s="4">
        <v>480</v>
      </c>
      <c r="D27" s="4"/>
    </row>
    <row r="28" spans="1:4">
      <c r="A28" s="5">
        <v>45142</v>
      </c>
      <c r="B28" s="26" t="s">
        <v>61</v>
      </c>
      <c r="C28" s="4">
        <v>285</v>
      </c>
      <c r="D28" s="4"/>
    </row>
    <row r="29" spans="1:4">
      <c r="A29" s="5">
        <v>45145</v>
      </c>
      <c r="B29" s="26" t="s">
        <v>74</v>
      </c>
      <c r="C29" s="4">
        <v>445</v>
      </c>
      <c r="D29" s="4"/>
    </row>
    <row r="30" spans="1:4">
      <c r="A30" s="5">
        <v>45145</v>
      </c>
      <c r="B30" s="26" t="s">
        <v>57</v>
      </c>
      <c r="C30" s="4">
        <v>450</v>
      </c>
      <c r="D30" s="4"/>
    </row>
    <row r="31" spans="1:4">
      <c r="A31" s="5">
        <v>45145</v>
      </c>
      <c r="B31" s="26" t="s">
        <v>80</v>
      </c>
      <c r="C31" s="4">
        <v>480</v>
      </c>
      <c r="D31" s="4"/>
    </row>
    <row r="32" spans="1:4">
      <c r="A32" s="5">
        <v>45145</v>
      </c>
      <c r="B32" s="26" t="s">
        <v>61</v>
      </c>
      <c r="C32" s="4">
        <v>265</v>
      </c>
      <c r="D32" s="4"/>
    </row>
    <row r="33" spans="1:4">
      <c r="A33" s="5">
        <v>45146</v>
      </c>
      <c r="B33" s="26" t="s">
        <v>74</v>
      </c>
      <c r="C33" s="4">
        <v>445</v>
      </c>
      <c r="D33" s="4"/>
    </row>
    <row r="34" spans="1:4">
      <c r="A34" s="5">
        <v>45146</v>
      </c>
      <c r="B34" s="26" t="s">
        <v>57</v>
      </c>
      <c r="C34" s="4">
        <v>465</v>
      </c>
      <c r="D34" s="4"/>
    </row>
    <row r="35" spans="1:4">
      <c r="A35" s="5">
        <v>45146</v>
      </c>
      <c r="B35" s="26" t="s">
        <v>80</v>
      </c>
      <c r="C35" s="4">
        <v>600</v>
      </c>
      <c r="D35" s="4"/>
    </row>
    <row r="36" spans="1:4">
      <c r="A36" s="5">
        <v>45147</v>
      </c>
      <c r="B36" s="26" t="s">
        <v>74</v>
      </c>
      <c r="C36" s="4">
        <v>448</v>
      </c>
      <c r="D36" s="4"/>
    </row>
    <row r="37" spans="1:4">
      <c r="A37" s="5">
        <v>45147</v>
      </c>
      <c r="B37" s="26" t="s">
        <v>57</v>
      </c>
      <c r="C37" s="4">
        <v>430</v>
      </c>
      <c r="D37" s="4"/>
    </row>
    <row r="38" spans="1:4">
      <c r="A38" s="5">
        <v>45147</v>
      </c>
      <c r="B38" s="26" t="s">
        <v>78</v>
      </c>
      <c r="C38" s="4">
        <v>285</v>
      </c>
      <c r="D38" s="4"/>
    </row>
    <row r="39" spans="1:4">
      <c r="A39" s="5">
        <v>45147</v>
      </c>
      <c r="B39" s="26" t="s">
        <v>80</v>
      </c>
      <c r="C39" s="4">
        <v>505</v>
      </c>
      <c r="D39" s="4"/>
    </row>
    <row r="40" spans="1:4">
      <c r="A40" s="5">
        <v>45147</v>
      </c>
      <c r="B40" s="26" t="s">
        <v>61</v>
      </c>
      <c r="C40" s="4">
        <v>285</v>
      </c>
      <c r="D40" s="4"/>
    </row>
    <row r="41" spans="1:4">
      <c r="A41" s="5">
        <v>45148</v>
      </c>
      <c r="B41" s="26" t="s">
        <v>57</v>
      </c>
      <c r="C41" s="4">
        <v>480</v>
      </c>
      <c r="D41" s="4"/>
    </row>
    <row r="42" spans="1:4">
      <c r="A42" s="5">
        <v>45148</v>
      </c>
      <c r="B42" s="26" t="s">
        <v>78</v>
      </c>
      <c r="C42" s="4">
        <v>240</v>
      </c>
      <c r="D42" s="4"/>
    </row>
    <row r="43" spans="1:4">
      <c r="A43" s="5">
        <v>45148</v>
      </c>
      <c r="B43" s="26" t="s">
        <v>80</v>
      </c>
      <c r="C43" s="4">
        <v>570</v>
      </c>
      <c r="D43" s="4"/>
    </row>
    <row r="44" spans="1:4">
      <c r="A44" s="5">
        <v>45148</v>
      </c>
      <c r="B44" s="26" t="s">
        <v>61</v>
      </c>
      <c r="C44" s="4">
        <v>345</v>
      </c>
      <c r="D44" s="4"/>
    </row>
    <row r="45" spans="1:4">
      <c r="A45" s="5">
        <v>45149</v>
      </c>
      <c r="B45" s="26" t="s">
        <v>57</v>
      </c>
      <c r="C45" s="4">
        <v>445</v>
      </c>
      <c r="D45" s="4"/>
    </row>
    <row r="46" spans="1:4">
      <c r="A46" s="5">
        <v>45149</v>
      </c>
      <c r="B46" s="26" t="s">
        <v>98</v>
      </c>
      <c r="C46" s="4">
        <v>455</v>
      </c>
      <c r="D46" s="4"/>
    </row>
    <row r="47" spans="1:4">
      <c r="A47" s="5">
        <v>45149</v>
      </c>
      <c r="B47" s="26" t="s">
        <v>80</v>
      </c>
      <c r="C47" s="4">
        <v>470</v>
      </c>
      <c r="D47" s="4"/>
    </row>
    <row r="48" spans="1:4">
      <c r="A48" s="5">
        <v>45149</v>
      </c>
      <c r="B48" s="26" t="s">
        <v>61</v>
      </c>
      <c r="C48" s="4">
        <v>180</v>
      </c>
      <c r="D48" s="4"/>
    </row>
    <row r="49" spans="1:4">
      <c r="A49" s="5">
        <v>45152</v>
      </c>
      <c r="B49" s="26" t="s">
        <v>57</v>
      </c>
      <c r="C49" s="4">
        <v>450</v>
      </c>
      <c r="D49" s="4"/>
    </row>
    <row r="50" spans="1:4">
      <c r="A50" s="5">
        <v>45152</v>
      </c>
      <c r="B50" s="26" t="s">
        <v>80</v>
      </c>
      <c r="C50" s="4">
        <v>525</v>
      </c>
      <c r="D50" s="4"/>
    </row>
    <row r="51" spans="1:4">
      <c r="A51" s="5">
        <v>45152</v>
      </c>
      <c r="B51" s="26" t="s">
        <v>61</v>
      </c>
      <c r="C51" s="4">
        <v>315</v>
      </c>
      <c r="D51" s="4"/>
    </row>
    <row r="52" spans="1:4">
      <c r="A52" s="5">
        <v>45153</v>
      </c>
      <c r="B52" s="26" t="s">
        <v>74</v>
      </c>
      <c r="C52" s="4">
        <v>450</v>
      </c>
      <c r="D52" s="4"/>
    </row>
    <row r="53" spans="1:4">
      <c r="A53" s="5">
        <v>45153</v>
      </c>
      <c r="B53" s="26" t="s">
        <v>57</v>
      </c>
      <c r="C53" s="4">
        <v>231</v>
      </c>
      <c r="D53" s="4"/>
    </row>
    <row r="54" spans="1:4">
      <c r="A54" s="5">
        <v>45153</v>
      </c>
      <c r="B54" s="26" t="s">
        <v>78</v>
      </c>
      <c r="C54" s="4">
        <v>255</v>
      </c>
      <c r="D54" s="4"/>
    </row>
    <row r="55" spans="1:4">
      <c r="A55" s="5">
        <v>45153</v>
      </c>
      <c r="B55" s="26" t="s">
        <v>80</v>
      </c>
      <c r="C55" s="4">
        <v>480</v>
      </c>
      <c r="D55" s="4"/>
    </row>
    <row r="56" spans="1:4">
      <c r="A56" s="5">
        <v>45153</v>
      </c>
      <c r="B56" s="26" t="s">
        <v>61</v>
      </c>
      <c r="C56" s="4">
        <v>345</v>
      </c>
      <c r="D56" s="4"/>
    </row>
  </sheetData>
  <mergeCells count="1">
    <mergeCell ref="A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90"/>
  <sheetViews>
    <sheetView workbookViewId="0">
      <pane ySplit="1" topLeftCell="A29" activePane="bottomLeft" state="frozen"/>
      <selection pane="bottomLeft" activeCell="J268" sqref="J268:J269"/>
    </sheetView>
  </sheetViews>
  <sheetFormatPr defaultRowHeight="15"/>
  <cols>
    <col min="1" max="1" width="9.7109375" bestFit="1" customWidth="1"/>
    <col min="2" max="2" width="19.5703125" bestFit="1" customWidth="1"/>
    <col min="3" max="3" width="29.28515625" bestFit="1" customWidth="1"/>
    <col min="4" max="4" width="20.85546875" bestFit="1" customWidth="1"/>
    <col min="5" max="5" width="7.42578125" bestFit="1" customWidth="1"/>
    <col min="6" max="6" width="11.140625" bestFit="1" customWidth="1"/>
    <col min="7" max="7" width="9.42578125" customWidth="1"/>
    <col min="8" max="8" width="20.140625" bestFit="1" customWidth="1"/>
    <col min="9" max="9" width="13.28515625" bestFit="1" customWidth="1"/>
    <col min="10" max="10" width="20.85546875" bestFit="1" customWidth="1"/>
    <col min="11" max="11" width="13.7109375" bestFit="1" customWidth="1"/>
    <col min="12" max="12" width="33.85546875" bestFit="1" customWidth="1"/>
    <col min="13" max="13" width="174" bestFit="1" customWidth="1"/>
    <col min="14" max="14" width="12.140625" bestFit="1" customWidth="1"/>
  </cols>
  <sheetData>
    <row r="1" spans="1:23">
      <c r="A1" s="38" t="s">
        <v>193</v>
      </c>
      <c r="B1" s="38" t="s">
        <v>194</v>
      </c>
      <c r="C1" s="38" t="s">
        <v>195</v>
      </c>
      <c r="D1" s="38" t="s">
        <v>196</v>
      </c>
      <c r="E1" s="38" t="s">
        <v>197</v>
      </c>
      <c r="F1" s="38" t="s">
        <v>198</v>
      </c>
      <c r="G1" s="38" t="s">
        <v>199</v>
      </c>
      <c r="H1" s="38" t="s">
        <v>200</v>
      </c>
      <c r="I1" s="38" t="s">
        <v>201</v>
      </c>
      <c r="J1" s="38" t="s">
        <v>202</v>
      </c>
      <c r="K1" s="38" t="s">
        <v>203</v>
      </c>
      <c r="L1" s="38" t="s">
        <v>204</v>
      </c>
      <c r="M1" s="38" t="s">
        <v>205</v>
      </c>
      <c r="N1" s="38" t="s">
        <v>206</v>
      </c>
    </row>
    <row r="2" spans="1:23">
      <c r="A2" s="8">
        <v>45139</v>
      </c>
      <c r="B2" s="6" t="s">
        <v>27</v>
      </c>
      <c r="C2" s="6" t="s">
        <v>88</v>
      </c>
      <c r="D2" s="6" t="s">
        <v>146</v>
      </c>
      <c r="E2" s="6" t="s">
        <v>58</v>
      </c>
      <c r="F2" s="34">
        <v>0.35416666666666669</v>
      </c>
      <c r="G2" s="34">
        <v>0.46875</v>
      </c>
      <c r="H2" s="34">
        <f t="shared" ref="H2:H65" si="0">G2-F2</f>
        <v>0.11458333333333331</v>
      </c>
      <c r="I2" s="33">
        <f t="shared" ref="I2:I65" si="1">HOUR(H2)+MINUTE(H2)/60</f>
        <v>2.75</v>
      </c>
      <c r="J2" s="33">
        <f t="shared" ref="J2:J65" si="2">I2*60</f>
        <v>165</v>
      </c>
      <c r="K2" s="6">
        <v>80</v>
      </c>
      <c r="L2" s="6" t="s">
        <v>62</v>
      </c>
      <c r="M2" s="6"/>
      <c r="N2" s="6" t="s">
        <v>207</v>
      </c>
      <c r="O2" s="37"/>
      <c r="P2" s="37"/>
      <c r="Q2" s="37"/>
      <c r="R2" s="37"/>
      <c r="S2" s="37"/>
      <c r="T2" s="37"/>
      <c r="U2" s="37"/>
      <c r="V2" s="37"/>
      <c r="W2" s="37"/>
    </row>
    <row r="3" spans="1:23">
      <c r="A3" s="5">
        <v>45139</v>
      </c>
      <c r="B3" s="4" t="s">
        <v>27</v>
      </c>
      <c r="C3" s="4" t="s">
        <v>88</v>
      </c>
      <c r="D3" s="4" t="s">
        <v>146</v>
      </c>
      <c r="E3" s="4" t="s">
        <v>58</v>
      </c>
      <c r="F3" s="29">
        <v>0.47916666666666669</v>
      </c>
      <c r="G3" s="29">
        <v>0.52083333333333337</v>
      </c>
      <c r="H3" s="29">
        <f t="shared" si="0"/>
        <v>4.1666666666666685E-2</v>
      </c>
      <c r="I3" s="28">
        <f t="shared" si="1"/>
        <v>1</v>
      </c>
      <c r="J3" s="28">
        <f t="shared" si="2"/>
        <v>60</v>
      </c>
      <c r="K3" s="4"/>
      <c r="L3" s="4" t="s">
        <v>59</v>
      </c>
      <c r="M3" s="4"/>
      <c r="N3" s="4" t="s">
        <v>207</v>
      </c>
    </row>
    <row r="4" spans="1:23">
      <c r="A4" s="5">
        <v>45139</v>
      </c>
      <c r="B4" s="4" t="s">
        <v>6</v>
      </c>
      <c r="C4" s="4" t="s">
        <v>83</v>
      </c>
      <c r="D4" s="4" t="s">
        <v>145</v>
      </c>
      <c r="E4" s="4"/>
      <c r="F4" s="29">
        <v>0.54166666666666663</v>
      </c>
      <c r="G4" s="29">
        <v>0.70833333333333337</v>
      </c>
      <c r="H4" s="29">
        <f t="shared" si="0"/>
        <v>0.16666666666666674</v>
      </c>
      <c r="I4" s="28">
        <f t="shared" si="1"/>
        <v>4</v>
      </c>
      <c r="J4" s="28">
        <f t="shared" si="2"/>
        <v>240</v>
      </c>
      <c r="K4" s="4">
        <v>456</v>
      </c>
      <c r="L4" s="4" t="s">
        <v>62</v>
      </c>
      <c r="M4" s="4" t="s">
        <v>208</v>
      </c>
      <c r="N4" s="4" t="s">
        <v>207</v>
      </c>
    </row>
    <row r="5" spans="1:23">
      <c r="A5" s="5">
        <v>45139</v>
      </c>
      <c r="B5" s="4" t="s">
        <v>39</v>
      </c>
      <c r="C5" s="4" t="s">
        <v>119</v>
      </c>
      <c r="D5" s="4" t="s">
        <v>119</v>
      </c>
      <c r="E5" s="4"/>
      <c r="F5" s="29">
        <v>0.35416666666666669</v>
      </c>
      <c r="G5" s="29">
        <v>0.38541666666666669</v>
      </c>
      <c r="H5" s="29">
        <f t="shared" si="0"/>
        <v>3.125E-2</v>
      </c>
      <c r="I5" s="28">
        <f t="shared" si="1"/>
        <v>0.75</v>
      </c>
      <c r="J5" s="28">
        <f t="shared" si="2"/>
        <v>45</v>
      </c>
      <c r="K5" s="4"/>
      <c r="L5" s="4"/>
      <c r="M5" s="4"/>
      <c r="N5" s="4"/>
    </row>
    <row r="6" spans="1:23">
      <c r="A6" s="5">
        <v>45139</v>
      </c>
      <c r="B6" s="4" t="s">
        <v>37</v>
      </c>
      <c r="C6" s="4" t="s">
        <v>79</v>
      </c>
      <c r="D6" s="4" t="s">
        <v>5</v>
      </c>
      <c r="E6" s="4"/>
      <c r="F6" s="29">
        <v>0.39583333333333331</v>
      </c>
      <c r="G6" s="29">
        <v>0.44791666666666669</v>
      </c>
      <c r="H6" s="29">
        <f t="shared" si="0"/>
        <v>5.208333333333337E-2</v>
      </c>
      <c r="I6" s="28">
        <f t="shared" si="1"/>
        <v>1.25</v>
      </c>
      <c r="J6" s="28">
        <f t="shared" si="2"/>
        <v>75</v>
      </c>
      <c r="K6" s="4">
        <v>150</v>
      </c>
      <c r="L6" s="4"/>
      <c r="M6" s="4" t="s">
        <v>209</v>
      </c>
      <c r="N6" s="4" t="s">
        <v>210</v>
      </c>
    </row>
    <row r="7" spans="1:23">
      <c r="A7" s="5">
        <v>45139</v>
      </c>
      <c r="B7" s="4" t="s">
        <v>15</v>
      </c>
      <c r="C7" s="4" t="s">
        <v>15</v>
      </c>
      <c r="D7" s="4" t="s">
        <v>15</v>
      </c>
      <c r="E7" s="4"/>
      <c r="F7" s="29">
        <v>0.44791666666666669</v>
      </c>
      <c r="G7" s="29">
        <v>0.58333333333333337</v>
      </c>
      <c r="H7" s="29">
        <f t="shared" si="0"/>
        <v>0.13541666666666669</v>
      </c>
      <c r="I7" s="28">
        <f t="shared" si="1"/>
        <v>3.25</v>
      </c>
      <c r="J7" s="28">
        <f t="shared" si="2"/>
        <v>195</v>
      </c>
      <c r="K7" s="4">
        <v>100</v>
      </c>
      <c r="L7" s="4"/>
      <c r="M7" s="4" t="s">
        <v>211</v>
      </c>
      <c r="N7" s="4" t="s">
        <v>210</v>
      </c>
    </row>
    <row r="8" spans="1:23">
      <c r="A8" s="5">
        <v>45139</v>
      </c>
      <c r="B8" s="4" t="s">
        <v>37</v>
      </c>
      <c r="C8" s="4" t="s">
        <v>79</v>
      </c>
      <c r="D8" s="4" t="s">
        <v>5</v>
      </c>
      <c r="E8" s="4"/>
      <c r="F8" s="29">
        <v>0.58333333333333337</v>
      </c>
      <c r="G8" s="29">
        <v>0.625</v>
      </c>
      <c r="H8" s="29">
        <f t="shared" si="0"/>
        <v>4.166666666666663E-2</v>
      </c>
      <c r="I8" s="28">
        <f t="shared" si="1"/>
        <v>1</v>
      </c>
      <c r="J8" s="28">
        <f t="shared" si="2"/>
        <v>60</v>
      </c>
      <c r="K8" s="4">
        <v>100</v>
      </c>
      <c r="L8" s="4"/>
      <c r="M8" s="4" t="s">
        <v>209</v>
      </c>
      <c r="N8" s="4" t="s">
        <v>210</v>
      </c>
    </row>
    <row r="9" spans="1:23">
      <c r="A9" s="5">
        <v>45139</v>
      </c>
      <c r="B9" s="4" t="s">
        <v>37</v>
      </c>
      <c r="C9" s="4" t="s">
        <v>79</v>
      </c>
      <c r="D9" s="4" t="s">
        <v>5</v>
      </c>
      <c r="E9" s="4"/>
      <c r="F9" s="29">
        <v>0.64583333333333337</v>
      </c>
      <c r="G9" s="29">
        <v>0.70833333333333337</v>
      </c>
      <c r="H9" s="29">
        <f t="shared" si="0"/>
        <v>6.25E-2</v>
      </c>
      <c r="I9" s="28">
        <f t="shared" si="1"/>
        <v>1.5</v>
      </c>
      <c r="J9" s="28">
        <f t="shared" si="2"/>
        <v>90</v>
      </c>
      <c r="K9" s="4">
        <v>250</v>
      </c>
      <c r="L9" s="4"/>
      <c r="M9" s="4"/>
      <c r="N9" s="4" t="s">
        <v>210</v>
      </c>
    </row>
    <row r="10" spans="1:23">
      <c r="A10" s="5">
        <v>45139</v>
      </c>
      <c r="B10" s="4" t="s">
        <v>19</v>
      </c>
      <c r="C10" s="4" t="s">
        <v>73</v>
      </c>
      <c r="D10" s="4" t="s">
        <v>8</v>
      </c>
      <c r="E10" s="4"/>
      <c r="F10" s="29">
        <v>0.35416666666666669</v>
      </c>
      <c r="G10" s="29">
        <v>0.3888888888888889</v>
      </c>
      <c r="H10" s="29">
        <f t="shared" si="0"/>
        <v>3.472222222222221E-2</v>
      </c>
      <c r="I10" s="28">
        <f t="shared" si="1"/>
        <v>0.83333333333333337</v>
      </c>
      <c r="J10" s="28">
        <f t="shared" si="2"/>
        <v>50</v>
      </c>
      <c r="K10" s="4">
        <v>457</v>
      </c>
      <c r="L10" s="4" t="s">
        <v>59</v>
      </c>
      <c r="M10" s="4" t="s">
        <v>212</v>
      </c>
      <c r="N10" s="4"/>
    </row>
    <row r="11" spans="1:23">
      <c r="A11" s="5">
        <v>45139</v>
      </c>
      <c r="B11" s="4" t="s">
        <v>19</v>
      </c>
      <c r="C11" s="4" t="s">
        <v>73</v>
      </c>
      <c r="D11" s="4" t="s">
        <v>8</v>
      </c>
      <c r="E11" s="4"/>
      <c r="F11" s="29">
        <v>0.39166666666666666</v>
      </c>
      <c r="G11" s="29">
        <v>0.46249999999999997</v>
      </c>
      <c r="H11" s="29">
        <f t="shared" si="0"/>
        <v>7.0833333333333304E-2</v>
      </c>
      <c r="I11" s="28">
        <f t="shared" si="1"/>
        <v>1.7</v>
      </c>
      <c r="J11" s="28">
        <f t="shared" si="2"/>
        <v>102</v>
      </c>
      <c r="K11" s="4">
        <v>148</v>
      </c>
      <c r="L11" s="4" t="s">
        <v>59</v>
      </c>
      <c r="M11" s="4" t="s">
        <v>213</v>
      </c>
      <c r="N11" s="4"/>
    </row>
    <row r="12" spans="1:23">
      <c r="A12" s="5">
        <v>45139</v>
      </c>
      <c r="B12" s="4" t="s">
        <v>19</v>
      </c>
      <c r="C12" s="4" t="s">
        <v>73</v>
      </c>
      <c r="D12" s="4" t="s">
        <v>8</v>
      </c>
      <c r="E12" s="4"/>
      <c r="F12" s="29">
        <v>0.46319444444444446</v>
      </c>
      <c r="G12" s="29">
        <v>0.46875</v>
      </c>
      <c r="H12" s="29">
        <f t="shared" si="0"/>
        <v>5.5555555555555358E-3</v>
      </c>
      <c r="I12" s="28">
        <f t="shared" si="1"/>
        <v>0.13333333333333333</v>
      </c>
      <c r="J12" s="28">
        <f t="shared" si="2"/>
        <v>8</v>
      </c>
      <c r="K12" s="4"/>
      <c r="L12" s="4"/>
      <c r="M12" s="4"/>
      <c r="N12" s="4"/>
    </row>
    <row r="13" spans="1:23">
      <c r="A13" s="5">
        <v>45139</v>
      </c>
      <c r="B13" s="4" t="s">
        <v>19</v>
      </c>
      <c r="C13" s="4" t="s">
        <v>73</v>
      </c>
      <c r="D13" s="4" t="s">
        <v>8</v>
      </c>
      <c r="E13" s="4"/>
      <c r="F13" s="29">
        <v>0.47916666666666669</v>
      </c>
      <c r="G13" s="29">
        <v>0.49722222222222223</v>
      </c>
      <c r="H13" s="29">
        <f t="shared" si="0"/>
        <v>1.8055555555555547E-2</v>
      </c>
      <c r="I13" s="28">
        <f t="shared" si="1"/>
        <v>0.43333333333333335</v>
      </c>
      <c r="J13" s="28">
        <f t="shared" si="2"/>
        <v>26</v>
      </c>
      <c r="K13" s="4">
        <v>147</v>
      </c>
      <c r="L13" s="4" t="s">
        <v>59</v>
      </c>
      <c r="M13" s="4" t="s">
        <v>214</v>
      </c>
      <c r="N13" s="4"/>
    </row>
    <row r="14" spans="1:23">
      <c r="A14" s="5">
        <v>45139</v>
      </c>
      <c r="B14" s="4" t="s">
        <v>19</v>
      </c>
      <c r="C14" s="4" t="s">
        <v>73</v>
      </c>
      <c r="D14" s="4" t="s">
        <v>8</v>
      </c>
      <c r="E14" s="4"/>
      <c r="F14" s="29">
        <v>0.49722222222222223</v>
      </c>
      <c r="G14" s="29">
        <v>0.52083333333333337</v>
      </c>
      <c r="H14" s="29">
        <f t="shared" si="0"/>
        <v>2.3611111111111138E-2</v>
      </c>
      <c r="I14" s="28">
        <f t="shared" si="1"/>
        <v>0.56666666666666665</v>
      </c>
      <c r="J14" s="28">
        <f t="shared" si="2"/>
        <v>34</v>
      </c>
      <c r="K14" s="4"/>
      <c r="L14" s="4" t="s">
        <v>62</v>
      </c>
      <c r="M14" s="4"/>
      <c r="N14" s="4"/>
    </row>
    <row r="15" spans="1:23">
      <c r="A15" s="5">
        <v>45139</v>
      </c>
      <c r="B15" s="4" t="s">
        <v>19</v>
      </c>
      <c r="C15" s="4" t="s">
        <v>73</v>
      </c>
      <c r="D15" s="4" t="s">
        <v>8</v>
      </c>
      <c r="E15" s="4"/>
      <c r="F15" s="29">
        <v>0.54166666666666663</v>
      </c>
      <c r="G15" s="29">
        <v>0.55763888888888891</v>
      </c>
      <c r="H15" s="29">
        <f t="shared" si="0"/>
        <v>1.5972222222222276E-2</v>
      </c>
      <c r="I15" s="28">
        <f t="shared" si="1"/>
        <v>0.38333333333333336</v>
      </c>
      <c r="J15" s="28">
        <f t="shared" si="2"/>
        <v>23</v>
      </c>
      <c r="K15" s="4">
        <v>52</v>
      </c>
      <c r="L15" s="4" t="s">
        <v>59</v>
      </c>
      <c r="M15" s="4" t="s">
        <v>215</v>
      </c>
      <c r="N15" s="4"/>
    </row>
    <row r="16" spans="1:23">
      <c r="A16" s="5">
        <v>45139</v>
      </c>
      <c r="B16" s="4" t="s">
        <v>19</v>
      </c>
      <c r="C16" s="4" t="s">
        <v>73</v>
      </c>
      <c r="D16" s="4" t="s">
        <v>8</v>
      </c>
      <c r="E16" s="4"/>
      <c r="F16" s="29">
        <v>0.55902777777777779</v>
      </c>
      <c r="G16" s="29">
        <v>0.62847222222222221</v>
      </c>
      <c r="H16" s="29">
        <f t="shared" si="0"/>
        <v>6.944444444444442E-2</v>
      </c>
      <c r="I16" s="28">
        <f t="shared" si="1"/>
        <v>1.6666666666666665</v>
      </c>
      <c r="J16" s="28">
        <f t="shared" si="2"/>
        <v>99.999999999999986</v>
      </c>
      <c r="K16" s="4">
        <v>627</v>
      </c>
      <c r="L16" s="4" t="s">
        <v>59</v>
      </c>
      <c r="M16" s="4" t="s">
        <v>216</v>
      </c>
      <c r="N16" s="4" t="s">
        <v>217</v>
      </c>
    </row>
    <row r="17" spans="1:14">
      <c r="A17" s="5">
        <v>45139</v>
      </c>
      <c r="B17" s="4" t="s">
        <v>19</v>
      </c>
      <c r="C17" s="4" t="s">
        <v>73</v>
      </c>
      <c r="D17" s="4" t="s">
        <v>8</v>
      </c>
      <c r="E17" s="4"/>
      <c r="F17" s="29">
        <v>0.63055555555555554</v>
      </c>
      <c r="G17" s="29">
        <v>0.63541666666666663</v>
      </c>
      <c r="H17" s="29">
        <f t="shared" si="0"/>
        <v>4.8611111111110938E-3</v>
      </c>
      <c r="I17" s="28">
        <f t="shared" si="1"/>
        <v>0.11666666666666667</v>
      </c>
      <c r="J17" s="28">
        <f t="shared" si="2"/>
        <v>7</v>
      </c>
      <c r="K17" s="4"/>
      <c r="L17" s="4" t="s">
        <v>62</v>
      </c>
      <c r="M17" s="4" t="s">
        <v>218</v>
      </c>
      <c r="N17" s="4" t="s">
        <v>217</v>
      </c>
    </row>
    <row r="18" spans="1:14">
      <c r="A18" s="5">
        <v>45139</v>
      </c>
      <c r="B18" s="4" t="s">
        <v>19</v>
      </c>
      <c r="C18" s="4" t="s">
        <v>73</v>
      </c>
      <c r="D18" s="4" t="s">
        <v>8</v>
      </c>
      <c r="E18" s="4"/>
      <c r="F18" s="29">
        <v>0.64583333333333337</v>
      </c>
      <c r="G18" s="29">
        <v>0.67708333333333337</v>
      </c>
      <c r="H18" s="29">
        <f t="shared" si="0"/>
        <v>3.125E-2</v>
      </c>
      <c r="I18" s="28">
        <f t="shared" si="1"/>
        <v>0.75</v>
      </c>
      <c r="J18" s="28">
        <f t="shared" si="2"/>
        <v>45</v>
      </c>
      <c r="K18" s="4">
        <v>68</v>
      </c>
      <c r="L18" s="4" t="s">
        <v>59</v>
      </c>
      <c r="M18" s="4" t="s">
        <v>219</v>
      </c>
      <c r="N18" s="4" t="s">
        <v>217</v>
      </c>
    </row>
    <row r="19" spans="1:14">
      <c r="A19" s="5">
        <v>45139</v>
      </c>
      <c r="B19" s="4" t="s">
        <v>19</v>
      </c>
      <c r="C19" s="4" t="s">
        <v>73</v>
      </c>
      <c r="D19" s="4" t="s">
        <v>8</v>
      </c>
      <c r="E19" s="4"/>
      <c r="F19" s="29">
        <v>0.6791666666666667</v>
      </c>
      <c r="G19" s="29">
        <v>0.69444444444444453</v>
      </c>
      <c r="H19" s="29">
        <f t="shared" si="0"/>
        <v>1.5277777777777835E-2</v>
      </c>
      <c r="I19" s="28">
        <f t="shared" si="1"/>
        <v>0.36666666666666664</v>
      </c>
      <c r="J19" s="28">
        <f t="shared" si="2"/>
        <v>22</v>
      </c>
      <c r="K19" s="4" t="s">
        <v>220</v>
      </c>
      <c r="L19" s="4" t="s">
        <v>62</v>
      </c>
      <c r="M19" s="4" t="s">
        <v>221</v>
      </c>
      <c r="N19" s="4" t="s">
        <v>217</v>
      </c>
    </row>
    <row r="20" spans="1:14">
      <c r="A20" s="5">
        <v>45139</v>
      </c>
      <c r="B20" s="4" t="s">
        <v>19</v>
      </c>
      <c r="C20" s="4" t="s">
        <v>73</v>
      </c>
      <c r="D20" s="4" t="s">
        <v>8</v>
      </c>
      <c r="E20" s="4"/>
      <c r="F20" s="29">
        <v>0.6958333333333333</v>
      </c>
      <c r="G20" s="29">
        <v>0.70833333333333337</v>
      </c>
      <c r="H20" s="29">
        <f t="shared" si="0"/>
        <v>1.2500000000000067E-2</v>
      </c>
      <c r="I20" s="28">
        <f t="shared" si="1"/>
        <v>0.3</v>
      </c>
      <c r="J20" s="28">
        <f t="shared" si="2"/>
        <v>18</v>
      </c>
      <c r="K20" s="4" t="s">
        <v>3</v>
      </c>
      <c r="L20" s="4" t="s">
        <v>62</v>
      </c>
      <c r="M20" s="4"/>
      <c r="N20" s="4" t="s">
        <v>217</v>
      </c>
    </row>
    <row r="21" spans="1:14">
      <c r="A21" s="5">
        <v>45139</v>
      </c>
      <c r="B21" s="4" t="s">
        <v>21</v>
      </c>
      <c r="C21" s="4" t="s">
        <v>106</v>
      </c>
      <c r="D21" s="4" t="s">
        <v>3</v>
      </c>
      <c r="E21" s="4">
        <v>3</v>
      </c>
      <c r="F21" s="29">
        <v>0.47916666666666669</v>
      </c>
      <c r="G21" s="29">
        <v>0.67708333333333337</v>
      </c>
      <c r="H21" s="29">
        <f t="shared" si="0"/>
        <v>0.19791666666666669</v>
      </c>
      <c r="I21" s="28">
        <f t="shared" si="1"/>
        <v>4.75</v>
      </c>
      <c r="J21" s="28">
        <f t="shared" si="2"/>
        <v>285</v>
      </c>
      <c r="K21" s="4"/>
      <c r="L21" s="4" t="s">
        <v>62</v>
      </c>
      <c r="M21" s="4" t="s">
        <v>222</v>
      </c>
      <c r="N21" s="4" t="s">
        <v>223</v>
      </c>
    </row>
    <row r="22" spans="1:14">
      <c r="A22" s="5">
        <v>45139</v>
      </c>
      <c r="B22" s="4" t="s">
        <v>6</v>
      </c>
      <c r="C22" s="4" t="s">
        <v>224</v>
      </c>
      <c r="D22" s="4" t="s">
        <v>9</v>
      </c>
      <c r="E22" s="4"/>
      <c r="F22" s="29">
        <v>0.5625</v>
      </c>
      <c r="G22" s="29">
        <v>0.57222222222222219</v>
      </c>
      <c r="H22" s="29">
        <f t="shared" si="0"/>
        <v>9.7222222222221877E-3</v>
      </c>
      <c r="I22" s="28">
        <f t="shared" si="1"/>
        <v>0.23333333333333334</v>
      </c>
      <c r="J22" s="28">
        <f t="shared" si="2"/>
        <v>14</v>
      </c>
      <c r="K22" s="4"/>
      <c r="L22" s="4" t="s">
        <v>59</v>
      </c>
      <c r="M22" s="4"/>
      <c r="N22" s="4" t="s">
        <v>225</v>
      </c>
    </row>
    <row r="23" spans="1:14">
      <c r="A23" s="5">
        <v>45139</v>
      </c>
      <c r="B23" s="4" t="s">
        <v>6</v>
      </c>
      <c r="C23" s="4" t="s">
        <v>123</v>
      </c>
      <c r="D23" s="4" t="s">
        <v>9</v>
      </c>
      <c r="E23" s="4"/>
      <c r="F23" s="29">
        <v>0.57291666666666663</v>
      </c>
      <c r="G23" s="29">
        <v>0.5756944444444444</v>
      </c>
      <c r="H23" s="29">
        <f t="shared" si="0"/>
        <v>2.7777777777777679E-3</v>
      </c>
      <c r="I23" s="28">
        <f t="shared" si="1"/>
        <v>6.6666666666666666E-2</v>
      </c>
      <c r="J23" s="28">
        <f t="shared" si="2"/>
        <v>4</v>
      </c>
      <c r="K23" s="4"/>
      <c r="L23" s="4" t="s">
        <v>59</v>
      </c>
      <c r="M23" s="4"/>
      <c r="N23" s="4" t="s">
        <v>225</v>
      </c>
    </row>
    <row r="24" spans="1:14">
      <c r="A24" s="5">
        <v>45139</v>
      </c>
      <c r="B24" s="4" t="s">
        <v>6</v>
      </c>
      <c r="C24" s="4" t="s">
        <v>226</v>
      </c>
      <c r="D24" s="4" t="s">
        <v>9</v>
      </c>
      <c r="E24" s="4"/>
      <c r="F24" s="29">
        <v>0.57638888888888895</v>
      </c>
      <c r="G24" s="29">
        <v>0.59375</v>
      </c>
      <c r="H24" s="29">
        <f t="shared" si="0"/>
        <v>1.7361111111111049E-2</v>
      </c>
      <c r="I24" s="28">
        <f t="shared" si="1"/>
        <v>0.41666666666666669</v>
      </c>
      <c r="J24" s="28">
        <f t="shared" si="2"/>
        <v>25</v>
      </c>
      <c r="K24" s="4"/>
      <c r="L24" s="4" t="s">
        <v>59</v>
      </c>
      <c r="M24" s="4"/>
      <c r="N24" s="4" t="s">
        <v>225</v>
      </c>
    </row>
    <row r="25" spans="1:14">
      <c r="A25" s="5">
        <v>45139</v>
      </c>
      <c r="B25" s="4" t="s">
        <v>6</v>
      </c>
      <c r="C25" s="4" t="s">
        <v>121</v>
      </c>
      <c r="D25" s="4" t="s">
        <v>9</v>
      </c>
      <c r="E25" s="4"/>
      <c r="F25" s="29">
        <v>0.59375</v>
      </c>
      <c r="G25" s="29">
        <v>0.60555555555555551</v>
      </c>
      <c r="H25" s="29">
        <f t="shared" si="0"/>
        <v>1.1805555555555514E-2</v>
      </c>
      <c r="I25" s="28">
        <f t="shared" si="1"/>
        <v>0.28333333333333333</v>
      </c>
      <c r="J25" s="28">
        <f t="shared" si="2"/>
        <v>17</v>
      </c>
      <c r="K25" s="4"/>
      <c r="L25" s="4" t="s">
        <v>59</v>
      </c>
      <c r="M25" s="4"/>
      <c r="N25" s="4" t="s">
        <v>225</v>
      </c>
    </row>
    <row r="26" spans="1:14">
      <c r="A26" s="5">
        <v>45139</v>
      </c>
      <c r="B26" s="4" t="s">
        <v>17</v>
      </c>
      <c r="C26" s="4" t="s">
        <v>17</v>
      </c>
      <c r="D26" s="4" t="s">
        <v>9</v>
      </c>
      <c r="E26" s="4"/>
      <c r="F26" s="29">
        <v>0.61111111111111105</v>
      </c>
      <c r="G26" s="29">
        <v>0.67638888888888893</v>
      </c>
      <c r="H26" s="29">
        <f t="shared" si="0"/>
        <v>6.5277777777777879E-2</v>
      </c>
      <c r="I26" s="28">
        <f t="shared" si="1"/>
        <v>1.5666666666666667</v>
      </c>
      <c r="J26" s="28">
        <f t="shared" si="2"/>
        <v>94</v>
      </c>
      <c r="K26" s="4"/>
      <c r="L26" s="4" t="s">
        <v>59</v>
      </c>
      <c r="M26" s="4"/>
      <c r="N26" s="4" t="s">
        <v>225</v>
      </c>
    </row>
    <row r="27" spans="1:14">
      <c r="A27" s="5">
        <v>45139</v>
      </c>
      <c r="B27" s="4" t="s">
        <v>27</v>
      </c>
      <c r="C27" s="4" t="s">
        <v>88</v>
      </c>
      <c r="D27" s="4" t="s">
        <v>146</v>
      </c>
      <c r="E27" s="4">
        <v>20</v>
      </c>
      <c r="F27" s="29">
        <v>0.375</v>
      </c>
      <c r="G27" s="29">
        <v>0.46875</v>
      </c>
      <c r="H27" s="29">
        <f t="shared" si="0"/>
        <v>9.375E-2</v>
      </c>
      <c r="I27" s="28">
        <f t="shared" si="1"/>
        <v>2.25</v>
      </c>
      <c r="J27" s="28">
        <f t="shared" si="2"/>
        <v>135</v>
      </c>
      <c r="K27" s="4"/>
      <c r="L27" s="4" t="s">
        <v>62</v>
      </c>
      <c r="M27" s="4" t="s">
        <v>114</v>
      </c>
      <c r="N27" s="4" t="s">
        <v>227</v>
      </c>
    </row>
    <row r="28" spans="1:14">
      <c r="A28" s="5">
        <v>45139</v>
      </c>
      <c r="B28" s="4" t="s">
        <v>27</v>
      </c>
      <c r="C28" s="4" t="s">
        <v>88</v>
      </c>
      <c r="D28" s="4" t="s">
        <v>146</v>
      </c>
      <c r="E28" s="4">
        <v>20</v>
      </c>
      <c r="F28" s="29">
        <v>0.47916666666666669</v>
      </c>
      <c r="G28" s="29">
        <v>0.52083333333333337</v>
      </c>
      <c r="H28" s="29">
        <f t="shared" si="0"/>
        <v>4.1666666666666685E-2</v>
      </c>
      <c r="I28" s="28">
        <f t="shared" si="1"/>
        <v>1</v>
      </c>
      <c r="J28" s="28">
        <f t="shared" si="2"/>
        <v>60</v>
      </c>
      <c r="K28" s="4"/>
      <c r="L28" s="4" t="s">
        <v>62</v>
      </c>
      <c r="M28" s="4" t="s">
        <v>114</v>
      </c>
      <c r="N28" s="4" t="s">
        <v>227</v>
      </c>
    </row>
    <row r="29" spans="1:14">
      <c r="A29" s="5">
        <v>45139</v>
      </c>
      <c r="B29" s="4" t="s">
        <v>228</v>
      </c>
      <c r="C29" s="4" t="s">
        <v>83</v>
      </c>
      <c r="D29" s="4" t="s">
        <v>8</v>
      </c>
      <c r="E29" s="4"/>
      <c r="F29" s="29">
        <v>0.54166666666666663</v>
      </c>
      <c r="G29" s="29">
        <v>0.64583333333333337</v>
      </c>
      <c r="H29" s="29">
        <f t="shared" si="0"/>
        <v>0.10416666666666674</v>
      </c>
      <c r="I29" s="28">
        <f t="shared" si="1"/>
        <v>2.5</v>
      </c>
      <c r="J29" s="28">
        <f t="shared" si="2"/>
        <v>150</v>
      </c>
      <c r="K29" s="4"/>
      <c r="L29" s="4" t="s">
        <v>62</v>
      </c>
      <c r="M29" s="4" t="s">
        <v>114</v>
      </c>
      <c r="N29" s="4" t="s">
        <v>227</v>
      </c>
    </row>
    <row r="30" spans="1:14">
      <c r="A30" s="5">
        <v>45140</v>
      </c>
      <c r="B30" s="4" t="s">
        <v>21</v>
      </c>
      <c r="C30" s="4" t="s">
        <v>106</v>
      </c>
      <c r="D30" s="4" t="s">
        <v>3</v>
      </c>
      <c r="E30" s="4">
        <v>3</v>
      </c>
      <c r="F30" s="29">
        <v>0.35416666666666669</v>
      </c>
      <c r="G30" s="29">
        <v>0.4375</v>
      </c>
      <c r="H30" s="29">
        <f t="shared" si="0"/>
        <v>8.3333333333333315E-2</v>
      </c>
      <c r="I30" s="28">
        <f t="shared" si="1"/>
        <v>2</v>
      </c>
      <c r="J30" s="28">
        <f t="shared" si="2"/>
        <v>120</v>
      </c>
      <c r="K30" s="4"/>
      <c r="L30" s="4" t="s">
        <v>59</v>
      </c>
      <c r="M30" s="4" t="s">
        <v>229</v>
      </c>
      <c r="N30" s="4" t="s">
        <v>230</v>
      </c>
    </row>
    <row r="31" spans="1:14">
      <c r="A31" s="5">
        <v>45140</v>
      </c>
      <c r="B31" s="4" t="s">
        <v>21</v>
      </c>
      <c r="C31" s="4" t="s">
        <v>106</v>
      </c>
      <c r="D31" s="4" t="s">
        <v>3</v>
      </c>
      <c r="E31" s="4">
        <v>2</v>
      </c>
      <c r="F31" s="29">
        <v>0.44097222222222227</v>
      </c>
      <c r="G31" s="29">
        <v>0.5625</v>
      </c>
      <c r="H31" s="29">
        <f t="shared" si="0"/>
        <v>0.12152777777777773</v>
      </c>
      <c r="I31" s="28">
        <f t="shared" si="1"/>
        <v>2.9166666666666665</v>
      </c>
      <c r="J31" s="28">
        <f t="shared" si="2"/>
        <v>175</v>
      </c>
      <c r="K31" s="4"/>
      <c r="L31" s="4" t="s">
        <v>59</v>
      </c>
      <c r="M31" s="4" t="s">
        <v>231</v>
      </c>
      <c r="N31" s="4" t="s">
        <v>230</v>
      </c>
    </row>
    <row r="32" spans="1:14">
      <c r="A32" s="5">
        <v>45140</v>
      </c>
      <c r="B32" s="4" t="s">
        <v>21</v>
      </c>
      <c r="C32" s="4" t="s">
        <v>106</v>
      </c>
      <c r="D32" s="4" t="s">
        <v>3</v>
      </c>
      <c r="E32" s="4">
        <v>4</v>
      </c>
      <c r="F32" s="29">
        <v>0.56597222222222221</v>
      </c>
      <c r="G32" s="29">
        <v>0.67222222222222217</v>
      </c>
      <c r="H32" s="29">
        <f t="shared" si="0"/>
        <v>0.10624999999999996</v>
      </c>
      <c r="I32" s="28">
        <f t="shared" si="1"/>
        <v>2.5499999999999998</v>
      </c>
      <c r="J32" s="28">
        <f t="shared" si="2"/>
        <v>153</v>
      </c>
      <c r="K32" s="4"/>
      <c r="L32" s="4" t="s">
        <v>62</v>
      </c>
      <c r="M32" s="4"/>
      <c r="N32" s="4" t="s">
        <v>230</v>
      </c>
    </row>
    <row r="33" spans="1:14">
      <c r="A33" s="5">
        <v>45140</v>
      </c>
      <c r="B33" s="4" t="s">
        <v>37</v>
      </c>
      <c r="C33" s="4" t="s">
        <v>79</v>
      </c>
      <c r="D33" s="4" t="s">
        <v>4</v>
      </c>
      <c r="E33" s="4">
        <v>1</v>
      </c>
      <c r="F33" s="29">
        <v>0.52083333333333337</v>
      </c>
      <c r="G33" s="29">
        <v>0.55208333333333337</v>
      </c>
      <c r="H33" s="29">
        <f t="shared" si="0"/>
        <v>3.125E-2</v>
      </c>
      <c r="I33" s="28">
        <f t="shared" si="1"/>
        <v>0.75</v>
      </c>
      <c r="J33" s="28">
        <f t="shared" si="2"/>
        <v>45</v>
      </c>
      <c r="K33" s="4">
        <v>608</v>
      </c>
      <c r="L33" s="4" t="s">
        <v>62</v>
      </c>
      <c r="M33" s="4"/>
      <c r="N33" s="4" t="s">
        <v>232</v>
      </c>
    </row>
    <row r="34" spans="1:14">
      <c r="A34" s="5">
        <v>45140</v>
      </c>
      <c r="B34" s="4" t="s">
        <v>6</v>
      </c>
      <c r="C34" s="4" t="s">
        <v>67</v>
      </c>
      <c r="D34" s="4" t="s">
        <v>3</v>
      </c>
      <c r="E34" s="4"/>
      <c r="F34" s="29">
        <v>0.55208333333333337</v>
      </c>
      <c r="G34" s="29">
        <v>0.56666666666666665</v>
      </c>
      <c r="H34" s="29">
        <f t="shared" si="0"/>
        <v>1.4583333333333282E-2</v>
      </c>
      <c r="I34" s="28">
        <f t="shared" si="1"/>
        <v>0.35</v>
      </c>
      <c r="J34" s="28">
        <f t="shared" si="2"/>
        <v>21</v>
      </c>
      <c r="K34" s="4"/>
      <c r="L34" s="4"/>
      <c r="M34" s="4"/>
      <c r="N34" s="4" t="s">
        <v>232</v>
      </c>
    </row>
    <row r="35" spans="1:14">
      <c r="A35" s="5">
        <v>45140</v>
      </c>
      <c r="B35" s="4" t="s">
        <v>37</v>
      </c>
      <c r="C35" s="4" t="s">
        <v>79</v>
      </c>
      <c r="D35" s="4" t="s">
        <v>4</v>
      </c>
      <c r="E35" s="4">
        <v>1</v>
      </c>
      <c r="F35" s="29">
        <v>0.56666666666666665</v>
      </c>
      <c r="G35" s="29">
        <v>0.60416666666666663</v>
      </c>
      <c r="H35" s="29">
        <f t="shared" si="0"/>
        <v>3.7499999999999978E-2</v>
      </c>
      <c r="I35" s="28">
        <f t="shared" si="1"/>
        <v>0.9</v>
      </c>
      <c r="J35" s="28">
        <f t="shared" si="2"/>
        <v>54</v>
      </c>
      <c r="K35" s="4">
        <v>1158</v>
      </c>
      <c r="L35" s="4" t="s">
        <v>62</v>
      </c>
      <c r="M35" s="4"/>
      <c r="N35" s="4" t="s">
        <v>232</v>
      </c>
    </row>
    <row r="36" spans="1:14">
      <c r="A36" s="5">
        <v>45140</v>
      </c>
      <c r="B36" s="4" t="s">
        <v>37</v>
      </c>
      <c r="C36" s="4" t="s">
        <v>79</v>
      </c>
      <c r="D36" s="4" t="s">
        <v>4</v>
      </c>
      <c r="E36" s="4">
        <v>1</v>
      </c>
      <c r="F36" s="29">
        <v>0.63541666666666663</v>
      </c>
      <c r="G36" s="29">
        <v>0.67708333333333337</v>
      </c>
      <c r="H36" s="29">
        <f t="shared" si="0"/>
        <v>4.1666666666666741E-2</v>
      </c>
      <c r="I36" s="28">
        <f t="shared" si="1"/>
        <v>1</v>
      </c>
      <c r="J36" s="28">
        <f t="shared" si="2"/>
        <v>60</v>
      </c>
      <c r="K36" s="4">
        <v>514</v>
      </c>
      <c r="L36" s="4" t="s">
        <v>59</v>
      </c>
      <c r="M36" s="4"/>
      <c r="N36" s="4" t="s">
        <v>232</v>
      </c>
    </row>
    <row r="37" spans="1:14">
      <c r="A37" s="5">
        <v>45140</v>
      </c>
      <c r="B37" s="4" t="s">
        <v>37</v>
      </c>
      <c r="C37" s="4" t="s">
        <v>79</v>
      </c>
      <c r="D37" s="4" t="s">
        <v>28</v>
      </c>
      <c r="E37" s="4">
        <v>1</v>
      </c>
      <c r="F37" s="29">
        <v>0.67708333333333337</v>
      </c>
      <c r="G37" s="29">
        <v>0.70833333333333337</v>
      </c>
      <c r="H37" s="29">
        <f t="shared" si="0"/>
        <v>3.125E-2</v>
      </c>
      <c r="I37" s="28">
        <f t="shared" si="1"/>
        <v>0.75</v>
      </c>
      <c r="J37" s="28">
        <f t="shared" si="2"/>
        <v>45</v>
      </c>
      <c r="K37" s="4"/>
      <c r="L37" s="4"/>
      <c r="M37" s="4"/>
      <c r="N37" s="4" t="s">
        <v>232</v>
      </c>
    </row>
    <row r="38" spans="1:14">
      <c r="A38" s="5">
        <v>45140</v>
      </c>
      <c r="B38" s="4" t="s">
        <v>37</v>
      </c>
      <c r="C38" s="4" t="s">
        <v>79</v>
      </c>
      <c r="D38" s="4" t="s">
        <v>4</v>
      </c>
      <c r="E38" s="4">
        <v>3</v>
      </c>
      <c r="F38" s="29">
        <v>0.48958333333333331</v>
      </c>
      <c r="G38" s="29">
        <v>0.51041666666666663</v>
      </c>
      <c r="H38" s="29">
        <f t="shared" si="0"/>
        <v>2.0833333333333315E-2</v>
      </c>
      <c r="I38" s="28">
        <f t="shared" si="1"/>
        <v>0.5</v>
      </c>
      <c r="J38" s="28">
        <f t="shared" si="2"/>
        <v>30</v>
      </c>
      <c r="K38" s="4">
        <v>370</v>
      </c>
      <c r="L38" s="4" t="s">
        <v>62</v>
      </c>
      <c r="M38" s="4"/>
      <c r="N38" s="4" t="s">
        <v>232</v>
      </c>
    </row>
    <row r="39" spans="1:14">
      <c r="A39" s="5">
        <v>45140</v>
      </c>
      <c r="B39" s="4" t="s">
        <v>37</v>
      </c>
      <c r="C39" s="4" t="s">
        <v>79</v>
      </c>
      <c r="D39" s="4" t="s">
        <v>4</v>
      </c>
      <c r="E39" s="4">
        <v>3</v>
      </c>
      <c r="F39" s="29">
        <v>0.67361111111111116</v>
      </c>
      <c r="G39" s="29">
        <v>0.69791666666666663</v>
      </c>
      <c r="H39" s="29">
        <f t="shared" si="0"/>
        <v>2.4305555555555469E-2</v>
      </c>
      <c r="I39" s="28">
        <f t="shared" si="1"/>
        <v>0.58333333333333337</v>
      </c>
      <c r="J39" s="28">
        <f t="shared" si="2"/>
        <v>35</v>
      </c>
      <c r="K39" s="4">
        <v>151</v>
      </c>
      <c r="L39" s="4" t="s">
        <v>62</v>
      </c>
      <c r="M39" s="4" t="s">
        <v>233</v>
      </c>
      <c r="N39" s="4" t="s">
        <v>232</v>
      </c>
    </row>
    <row r="40" spans="1:14">
      <c r="A40" s="5">
        <v>45140</v>
      </c>
      <c r="B40" s="4" t="s">
        <v>37</v>
      </c>
      <c r="C40" s="4" t="s">
        <v>79</v>
      </c>
      <c r="D40" s="4" t="s">
        <v>5</v>
      </c>
      <c r="E40" s="4">
        <v>2</v>
      </c>
      <c r="F40" s="29">
        <v>0.35416666666666669</v>
      </c>
      <c r="G40" s="29">
        <v>0.47222222222222227</v>
      </c>
      <c r="H40" s="29">
        <f t="shared" si="0"/>
        <v>0.11805555555555558</v>
      </c>
      <c r="I40" s="28">
        <f t="shared" si="1"/>
        <v>2.8333333333333335</v>
      </c>
      <c r="J40" s="28">
        <f t="shared" si="2"/>
        <v>170</v>
      </c>
      <c r="K40" s="4"/>
      <c r="L40" s="4"/>
      <c r="M40" s="4"/>
      <c r="N40" s="4" t="s">
        <v>210</v>
      </c>
    </row>
    <row r="41" spans="1:14">
      <c r="A41" s="5">
        <v>45140</v>
      </c>
      <c r="B41" s="4" t="s">
        <v>15</v>
      </c>
      <c r="C41" s="4" t="s">
        <v>234</v>
      </c>
      <c r="D41" s="4" t="s">
        <v>15</v>
      </c>
      <c r="E41" s="4"/>
      <c r="F41" s="29">
        <v>0.47222222222222227</v>
      </c>
      <c r="G41" s="29">
        <v>0.48958333333333331</v>
      </c>
      <c r="H41" s="29">
        <f t="shared" si="0"/>
        <v>1.7361111111111049E-2</v>
      </c>
      <c r="I41" s="28">
        <f t="shared" si="1"/>
        <v>0.41666666666666669</v>
      </c>
      <c r="J41" s="28">
        <f t="shared" si="2"/>
        <v>25</v>
      </c>
      <c r="K41" s="4"/>
      <c r="L41" s="4"/>
      <c r="M41" s="4"/>
      <c r="N41" s="4" t="s">
        <v>210</v>
      </c>
    </row>
    <row r="42" spans="1:14">
      <c r="A42" s="5">
        <v>45140</v>
      </c>
      <c r="B42" s="4" t="s">
        <v>37</v>
      </c>
      <c r="C42" s="4" t="s">
        <v>79</v>
      </c>
      <c r="D42" s="4" t="s">
        <v>5</v>
      </c>
      <c r="E42" s="4">
        <v>2</v>
      </c>
      <c r="F42" s="29">
        <v>0.48958333333333331</v>
      </c>
      <c r="G42" s="29">
        <v>0.59375</v>
      </c>
      <c r="H42" s="29">
        <f t="shared" si="0"/>
        <v>0.10416666666666669</v>
      </c>
      <c r="I42" s="28">
        <f t="shared" si="1"/>
        <v>2.5</v>
      </c>
      <c r="J42" s="28">
        <f t="shared" si="2"/>
        <v>150</v>
      </c>
      <c r="K42" s="4"/>
      <c r="L42" s="4"/>
      <c r="M42" s="4"/>
      <c r="N42" s="4" t="s">
        <v>210</v>
      </c>
    </row>
    <row r="43" spans="1:14">
      <c r="A43" s="5">
        <v>45140</v>
      </c>
      <c r="B43" s="4" t="s">
        <v>37</v>
      </c>
      <c r="C43" s="4" t="s">
        <v>79</v>
      </c>
      <c r="D43" s="4" t="s">
        <v>5</v>
      </c>
      <c r="E43" s="4">
        <v>2</v>
      </c>
      <c r="F43" s="29">
        <v>0.61458333333333337</v>
      </c>
      <c r="G43" s="29">
        <v>0.63888888888888895</v>
      </c>
      <c r="H43" s="29">
        <f t="shared" si="0"/>
        <v>2.430555555555558E-2</v>
      </c>
      <c r="I43" s="28">
        <f t="shared" si="1"/>
        <v>0.58333333333333337</v>
      </c>
      <c r="J43" s="28">
        <f t="shared" si="2"/>
        <v>35</v>
      </c>
      <c r="K43" s="4"/>
      <c r="L43" s="4"/>
      <c r="M43" s="4"/>
      <c r="N43" s="4" t="s">
        <v>210</v>
      </c>
    </row>
    <row r="44" spans="1:14">
      <c r="A44" s="5">
        <v>45140</v>
      </c>
      <c r="B44" s="4" t="s">
        <v>15</v>
      </c>
      <c r="C44" s="4" t="s">
        <v>20</v>
      </c>
      <c r="D44" s="4" t="s">
        <v>15</v>
      </c>
      <c r="E44" s="4"/>
      <c r="F44" s="29">
        <v>0.63888888888888895</v>
      </c>
      <c r="G44" s="29">
        <v>0.65277777777777779</v>
      </c>
      <c r="H44" s="29">
        <f t="shared" si="0"/>
        <v>1.388888888888884E-2</v>
      </c>
      <c r="I44" s="28">
        <f t="shared" si="1"/>
        <v>0.33333333333333331</v>
      </c>
      <c r="J44" s="28">
        <f t="shared" si="2"/>
        <v>20</v>
      </c>
      <c r="K44" s="4"/>
      <c r="L44" s="4"/>
      <c r="M44" s="4"/>
      <c r="N44" s="4" t="s">
        <v>210</v>
      </c>
    </row>
    <row r="45" spans="1:14">
      <c r="A45" s="5">
        <v>45140</v>
      </c>
      <c r="B45" s="4" t="s">
        <v>37</v>
      </c>
      <c r="C45" s="4" t="s">
        <v>79</v>
      </c>
      <c r="D45" s="4" t="s">
        <v>5</v>
      </c>
      <c r="E45" s="4">
        <v>2</v>
      </c>
      <c r="F45" s="29">
        <v>0.65277777777777779</v>
      </c>
      <c r="G45" s="29">
        <v>0.65972222222222221</v>
      </c>
      <c r="H45" s="29">
        <f t="shared" si="0"/>
        <v>6.9444444444444198E-3</v>
      </c>
      <c r="I45" s="28">
        <f t="shared" si="1"/>
        <v>0.16666666666666666</v>
      </c>
      <c r="J45" s="28">
        <f t="shared" si="2"/>
        <v>10</v>
      </c>
      <c r="K45" s="4">
        <v>1100</v>
      </c>
      <c r="L45" s="4" t="s">
        <v>59</v>
      </c>
      <c r="M45" s="4"/>
      <c r="N45" s="4" t="s">
        <v>210</v>
      </c>
    </row>
    <row r="46" spans="1:14">
      <c r="A46" s="5">
        <v>45140</v>
      </c>
      <c r="B46" s="4" t="s">
        <v>21</v>
      </c>
      <c r="C46" s="4" t="s">
        <v>106</v>
      </c>
      <c r="D46" s="4" t="s">
        <v>5</v>
      </c>
      <c r="E46" s="4">
        <v>2</v>
      </c>
      <c r="F46" s="29">
        <v>0.65972222222222221</v>
      </c>
      <c r="G46" s="29">
        <v>0.70833333333333337</v>
      </c>
      <c r="H46" s="29">
        <f t="shared" si="0"/>
        <v>4.861111111111116E-2</v>
      </c>
      <c r="I46" s="28">
        <f t="shared" si="1"/>
        <v>1.1666666666666667</v>
      </c>
      <c r="J46" s="28">
        <f t="shared" si="2"/>
        <v>70</v>
      </c>
      <c r="K46" s="4">
        <v>803</v>
      </c>
      <c r="L46" s="4" t="s">
        <v>62</v>
      </c>
      <c r="M46" s="4"/>
      <c r="N46" s="4" t="s">
        <v>210</v>
      </c>
    </row>
    <row r="47" spans="1:14">
      <c r="A47" s="5">
        <v>45140</v>
      </c>
      <c r="B47" s="4" t="s">
        <v>19</v>
      </c>
      <c r="C47" s="4" t="s">
        <v>73</v>
      </c>
      <c r="D47" s="4" t="s">
        <v>8</v>
      </c>
      <c r="E47" s="4"/>
      <c r="F47" s="29">
        <v>0.35416666666666669</v>
      </c>
      <c r="G47" s="29">
        <v>0.45833333333333331</v>
      </c>
      <c r="H47" s="29">
        <f t="shared" si="0"/>
        <v>0.10416666666666663</v>
      </c>
      <c r="I47" s="28">
        <f t="shared" si="1"/>
        <v>2.5</v>
      </c>
      <c r="J47" s="28">
        <f t="shared" si="2"/>
        <v>150</v>
      </c>
      <c r="K47" s="4"/>
      <c r="L47" s="4" t="s">
        <v>59</v>
      </c>
      <c r="M47" s="4"/>
      <c r="N47" s="4" t="s">
        <v>217</v>
      </c>
    </row>
    <row r="48" spans="1:14">
      <c r="A48" s="5">
        <v>45140</v>
      </c>
      <c r="B48" s="4" t="s">
        <v>19</v>
      </c>
      <c r="C48" s="4" t="s">
        <v>73</v>
      </c>
      <c r="D48" s="4" t="s">
        <v>8</v>
      </c>
      <c r="E48" s="4"/>
      <c r="F48" s="29">
        <v>0.47083333333333338</v>
      </c>
      <c r="G48" s="29">
        <v>0.49861111111111112</v>
      </c>
      <c r="H48" s="29">
        <f t="shared" si="0"/>
        <v>2.7777777777777735E-2</v>
      </c>
      <c r="I48" s="28">
        <f t="shared" si="1"/>
        <v>0.66666666666666663</v>
      </c>
      <c r="J48" s="28">
        <f t="shared" si="2"/>
        <v>40</v>
      </c>
      <c r="K48" s="4">
        <v>126</v>
      </c>
      <c r="L48" s="4" t="s">
        <v>59</v>
      </c>
      <c r="M48" s="4"/>
      <c r="N48" s="4" t="s">
        <v>217</v>
      </c>
    </row>
    <row r="49" spans="1:14">
      <c r="A49" s="5">
        <v>45140</v>
      </c>
      <c r="B49" s="4" t="s">
        <v>27</v>
      </c>
      <c r="C49" s="4" t="s">
        <v>88</v>
      </c>
      <c r="D49" s="4" t="s">
        <v>3</v>
      </c>
      <c r="E49" s="4">
        <v>26</v>
      </c>
      <c r="F49" s="29">
        <v>0.52083333333333337</v>
      </c>
      <c r="G49" s="29">
        <v>0.63541666666666663</v>
      </c>
      <c r="H49" s="29">
        <f t="shared" si="0"/>
        <v>0.11458333333333326</v>
      </c>
      <c r="I49" s="28">
        <f t="shared" si="1"/>
        <v>2.75</v>
      </c>
      <c r="J49" s="28">
        <f t="shared" si="2"/>
        <v>165</v>
      </c>
      <c r="K49" s="4"/>
      <c r="L49" s="4"/>
      <c r="M49" s="4"/>
      <c r="N49" s="4" t="s">
        <v>217</v>
      </c>
    </row>
    <row r="50" spans="1:14">
      <c r="A50" s="5">
        <v>45140</v>
      </c>
      <c r="B50" s="4" t="s">
        <v>27</v>
      </c>
      <c r="C50" s="4" t="s">
        <v>88</v>
      </c>
      <c r="D50" s="4" t="s">
        <v>8</v>
      </c>
      <c r="E50" s="4">
        <v>26</v>
      </c>
      <c r="F50" s="29">
        <v>0.64583333333333337</v>
      </c>
      <c r="G50" s="29">
        <v>0.70833333333333337</v>
      </c>
      <c r="H50" s="29">
        <f t="shared" si="0"/>
        <v>6.25E-2</v>
      </c>
      <c r="I50" s="28">
        <f t="shared" si="1"/>
        <v>1.5</v>
      </c>
      <c r="J50" s="28">
        <f t="shared" si="2"/>
        <v>90</v>
      </c>
      <c r="K50" s="4">
        <v>8070</v>
      </c>
      <c r="L50" s="4" t="s">
        <v>62</v>
      </c>
      <c r="M50" s="4"/>
      <c r="N50" s="4" t="s">
        <v>217</v>
      </c>
    </row>
    <row r="51" spans="1:14">
      <c r="A51" s="5">
        <v>45140</v>
      </c>
      <c r="B51" s="4" t="s">
        <v>6</v>
      </c>
      <c r="C51" s="4" t="s">
        <v>83</v>
      </c>
      <c r="D51" s="4" t="s">
        <v>8</v>
      </c>
      <c r="E51" s="4"/>
      <c r="F51" s="29">
        <v>0.35416666666666669</v>
      </c>
      <c r="G51" s="29">
        <v>0.37013888888888885</v>
      </c>
      <c r="H51" s="29">
        <f t="shared" si="0"/>
        <v>1.5972222222222165E-2</v>
      </c>
      <c r="I51" s="28">
        <f t="shared" si="1"/>
        <v>0.38333333333333336</v>
      </c>
      <c r="J51" s="28">
        <f t="shared" si="2"/>
        <v>23</v>
      </c>
      <c r="K51" s="4">
        <v>110</v>
      </c>
      <c r="L51" s="4" t="s">
        <v>59</v>
      </c>
      <c r="M51" s="4" t="s">
        <v>235</v>
      </c>
      <c r="N51" s="4" t="s">
        <v>207</v>
      </c>
    </row>
    <row r="52" spans="1:14">
      <c r="A52" s="5">
        <v>45140</v>
      </c>
      <c r="B52" s="4" t="s">
        <v>6</v>
      </c>
      <c r="C52" s="4" t="s">
        <v>83</v>
      </c>
      <c r="D52" s="4" t="s">
        <v>8</v>
      </c>
      <c r="E52" s="4"/>
      <c r="F52" s="29">
        <v>0.37013888888888885</v>
      </c>
      <c r="G52" s="29">
        <v>0.45833333333333331</v>
      </c>
      <c r="H52" s="29">
        <f t="shared" si="0"/>
        <v>8.8194444444444464E-2</v>
      </c>
      <c r="I52" s="28">
        <f t="shared" si="1"/>
        <v>2.1166666666666667</v>
      </c>
      <c r="J52" s="28">
        <f t="shared" si="2"/>
        <v>127</v>
      </c>
      <c r="K52" s="4"/>
      <c r="L52" s="4" t="s">
        <v>62</v>
      </c>
      <c r="M52" s="4"/>
      <c r="N52" s="4" t="s">
        <v>207</v>
      </c>
    </row>
    <row r="53" spans="1:14">
      <c r="A53" s="5">
        <v>45140</v>
      </c>
      <c r="B53" s="4" t="s">
        <v>27</v>
      </c>
      <c r="C53" s="4" t="s">
        <v>88</v>
      </c>
      <c r="D53" s="4" t="s">
        <v>23</v>
      </c>
      <c r="E53" s="4" t="s">
        <v>58</v>
      </c>
      <c r="F53" s="29">
        <v>0.46875</v>
      </c>
      <c r="G53" s="29">
        <v>0.47916666666666669</v>
      </c>
      <c r="H53" s="29">
        <f t="shared" si="0"/>
        <v>1.0416666666666685E-2</v>
      </c>
      <c r="I53" s="28">
        <f t="shared" si="1"/>
        <v>0.25</v>
      </c>
      <c r="J53" s="28">
        <f t="shared" si="2"/>
        <v>15</v>
      </c>
      <c r="K53" s="4"/>
      <c r="L53" s="4" t="s">
        <v>59</v>
      </c>
      <c r="M53" s="4"/>
      <c r="N53" s="4" t="s">
        <v>207</v>
      </c>
    </row>
    <row r="54" spans="1:14">
      <c r="A54" s="5">
        <v>45140</v>
      </c>
      <c r="B54" s="4" t="s">
        <v>6</v>
      </c>
      <c r="C54" s="4" t="s">
        <v>83</v>
      </c>
      <c r="D54" s="4" t="s">
        <v>8</v>
      </c>
      <c r="E54" s="4"/>
      <c r="F54" s="29">
        <v>0.47916666666666669</v>
      </c>
      <c r="G54" s="29">
        <v>0.5</v>
      </c>
      <c r="H54" s="29">
        <f t="shared" si="0"/>
        <v>2.0833333333333315E-2</v>
      </c>
      <c r="I54" s="28">
        <f t="shared" si="1"/>
        <v>0.5</v>
      </c>
      <c r="J54" s="28">
        <f t="shared" si="2"/>
        <v>30</v>
      </c>
      <c r="K54" s="4">
        <v>200</v>
      </c>
      <c r="L54" s="4" t="s">
        <v>59</v>
      </c>
      <c r="M54" s="4" t="s">
        <v>236</v>
      </c>
      <c r="N54" s="4" t="s">
        <v>207</v>
      </c>
    </row>
    <row r="55" spans="1:14">
      <c r="A55" s="5">
        <v>45140</v>
      </c>
      <c r="B55" s="4" t="s">
        <v>27</v>
      </c>
      <c r="C55" s="4" t="s">
        <v>88</v>
      </c>
      <c r="D55" s="4" t="s">
        <v>146</v>
      </c>
      <c r="E55" s="4">
        <v>21</v>
      </c>
      <c r="F55" s="29">
        <v>0.53472222222222221</v>
      </c>
      <c r="G55" s="29">
        <v>0.63541666666666663</v>
      </c>
      <c r="H55" s="29">
        <f t="shared" si="0"/>
        <v>0.10069444444444442</v>
      </c>
      <c r="I55" s="28">
        <f t="shared" si="1"/>
        <v>2.4166666666666665</v>
      </c>
      <c r="J55" s="28">
        <f t="shared" si="2"/>
        <v>145</v>
      </c>
      <c r="K55" s="4"/>
      <c r="L55" s="4"/>
      <c r="M55" s="4"/>
      <c r="N55" s="4" t="s">
        <v>207</v>
      </c>
    </row>
    <row r="56" spans="1:14">
      <c r="A56" s="5">
        <v>45140</v>
      </c>
      <c r="B56" s="4" t="s">
        <v>27</v>
      </c>
      <c r="C56" s="4" t="s">
        <v>88</v>
      </c>
      <c r="D56" s="4" t="s">
        <v>146</v>
      </c>
      <c r="E56" s="4">
        <v>21</v>
      </c>
      <c r="F56" s="29">
        <v>0.64583333333333337</v>
      </c>
      <c r="G56" s="29">
        <v>0.70833333333333337</v>
      </c>
      <c r="H56" s="29">
        <f t="shared" si="0"/>
        <v>6.25E-2</v>
      </c>
      <c r="I56" s="28">
        <f t="shared" si="1"/>
        <v>1.5</v>
      </c>
      <c r="J56" s="28">
        <f t="shared" si="2"/>
        <v>90</v>
      </c>
      <c r="K56" s="4"/>
      <c r="L56" s="4" t="s">
        <v>62</v>
      </c>
      <c r="M56" s="4"/>
      <c r="N56" s="4" t="s">
        <v>207</v>
      </c>
    </row>
    <row r="57" spans="1:14">
      <c r="A57" s="5">
        <v>45140</v>
      </c>
      <c r="B57" s="4" t="s">
        <v>6</v>
      </c>
      <c r="C57" s="4" t="s">
        <v>83</v>
      </c>
      <c r="D57" s="4" t="s">
        <v>130</v>
      </c>
      <c r="E57" s="4"/>
      <c r="F57" s="29">
        <v>0.375</v>
      </c>
      <c r="G57" s="29">
        <v>0.45833333333333331</v>
      </c>
      <c r="H57" s="29">
        <f t="shared" si="0"/>
        <v>8.3333333333333315E-2</v>
      </c>
      <c r="I57" s="28">
        <f t="shared" si="1"/>
        <v>2</v>
      </c>
      <c r="J57" s="28">
        <f t="shared" si="2"/>
        <v>120</v>
      </c>
      <c r="K57" s="4"/>
      <c r="L57" s="4"/>
      <c r="M57" s="4"/>
      <c r="N57" s="4" t="s">
        <v>227</v>
      </c>
    </row>
    <row r="58" spans="1:14">
      <c r="A58" s="5">
        <v>45140</v>
      </c>
      <c r="B58" s="4" t="s">
        <v>6</v>
      </c>
      <c r="C58" s="4" t="s">
        <v>83</v>
      </c>
      <c r="D58" s="4" t="s">
        <v>130</v>
      </c>
      <c r="E58" s="4"/>
      <c r="F58" s="29">
        <v>0.46875</v>
      </c>
      <c r="G58" s="29">
        <v>0.5</v>
      </c>
      <c r="H58" s="29">
        <f t="shared" si="0"/>
        <v>3.125E-2</v>
      </c>
      <c r="I58" s="28">
        <f t="shared" si="1"/>
        <v>0.75</v>
      </c>
      <c r="J58" s="28">
        <f t="shared" si="2"/>
        <v>45</v>
      </c>
      <c r="K58" s="4"/>
      <c r="L58" s="4"/>
      <c r="M58" s="4"/>
      <c r="N58" s="4" t="s">
        <v>227</v>
      </c>
    </row>
    <row r="59" spans="1:14">
      <c r="A59" s="5">
        <v>45140</v>
      </c>
      <c r="B59" s="4" t="s">
        <v>27</v>
      </c>
      <c r="C59" s="4" t="s">
        <v>88</v>
      </c>
      <c r="D59" s="4" t="s">
        <v>146</v>
      </c>
      <c r="E59" s="4"/>
      <c r="F59" s="29">
        <v>0.52083333333333337</v>
      </c>
      <c r="G59" s="29">
        <v>0.60416666666666663</v>
      </c>
      <c r="H59" s="29">
        <f t="shared" si="0"/>
        <v>8.3333333333333259E-2</v>
      </c>
      <c r="I59" s="28">
        <f t="shared" si="1"/>
        <v>2</v>
      </c>
      <c r="J59" s="28">
        <f t="shared" si="2"/>
        <v>120</v>
      </c>
      <c r="K59" s="4"/>
      <c r="L59" s="4" t="s">
        <v>62</v>
      </c>
      <c r="M59" s="4" t="s">
        <v>237</v>
      </c>
      <c r="N59" s="4" t="s">
        <v>227</v>
      </c>
    </row>
    <row r="60" spans="1:14">
      <c r="A60" s="5">
        <v>45141</v>
      </c>
      <c r="B60" s="4" t="s">
        <v>27</v>
      </c>
      <c r="C60" s="4" t="s">
        <v>88</v>
      </c>
      <c r="D60" s="4" t="s">
        <v>3</v>
      </c>
      <c r="E60" s="4">
        <v>26</v>
      </c>
      <c r="F60" s="29">
        <v>0.35416666666666669</v>
      </c>
      <c r="G60" s="29">
        <v>0.41666666666666669</v>
      </c>
      <c r="H60" s="29">
        <f t="shared" si="0"/>
        <v>6.25E-2</v>
      </c>
      <c r="I60" s="28">
        <f t="shared" si="1"/>
        <v>1.5</v>
      </c>
      <c r="J60" s="28">
        <f t="shared" si="2"/>
        <v>90</v>
      </c>
      <c r="K60" s="32">
        <v>0.2</v>
      </c>
      <c r="L60" s="4" t="s">
        <v>59</v>
      </c>
      <c r="M60" s="4"/>
      <c r="N60" s="4" t="s">
        <v>217</v>
      </c>
    </row>
    <row r="61" spans="1:14">
      <c r="A61" s="5">
        <v>45141</v>
      </c>
      <c r="B61" s="4" t="s">
        <v>27</v>
      </c>
      <c r="C61" s="4" t="s">
        <v>88</v>
      </c>
      <c r="D61" s="4" t="s">
        <v>3</v>
      </c>
      <c r="E61" s="4">
        <v>30</v>
      </c>
      <c r="F61" s="29">
        <v>0.43055555555555558</v>
      </c>
      <c r="G61" s="29">
        <v>0.4375</v>
      </c>
      <c r="H61" s="29">
        <f t="shared" si="0"/>
        <v>6.9444444444444198E-3</v>
      </c>
      <c r="I61" s="28">
        <f t="shared" si="1"/>
        <v>0.16666666666666666</v>
      </c>
      <c r="J61" s="28">
        <f t="shared" si="2"/>
        <v>10</v>
      </c>
      <c r="K61" s="32">
        <v>0.02</v>
      </c>
      <c r="L61" s="4" t="s">
        <v>62</v>
      </c>
      <c r="M61" s="4"/>
      <c r="N61" s="4" t="s">
        <v>217</v>
      </c>
    </row>
    <row r="62" spans="1:14">
      <c r="A62" s="5">
        <v>45141</v>
      </c>
      <c r="B62" s="4" t="s">
        <v>27</v>
      </c>
      <c r="C62" s="4" t="s">
        <v>88</v>
      </c>
      <c r="D62" s="4" t="s">
        <v>3</v>
      </c>
      <c r="E62" s="4">
        <v>30</v>
      </c>
      <c r="F62" s="29">
        <v>0.46875</v>
      </c>
      <c r="G62" s="29">
        <v>0.52083333333333337</v>
      </c>
      <c r="H62" s="29">
        <f t="shared" si="0"/>
        <v>5.208333333333337E-2</v>
      </c>
      <c r="I62" s="28">
        <f t="shared" si="1"/>
        <v>1.25</v>
      </c>
      <c r="J62" s="28">
        <f t="shared" si="2"/>
        <v>75</v>
      </c>
      <c r="K62" s="32">
        <v>0.25</v>
      </c>
      <c r="L62" s="4" t="s">
        <v>62</v>
      </c>
      <c r="M62" s="4"/>
      <c r="N62" s="4" t="s">
        <v>217</v>
      </c>
    </row>
    <row r="63" spans="1:14">
      <c r="A63" s="5">
        <v>45141</v>
      </c>
      <c r="B63" s="4" t="s">
        <v>27</v>
      </c>
      <c r="C63" s="4" t="s">
        <v>88</v>
      </c>
      <c r="D63" s="4" t="s">
        <v>3</v>
      </c>
      <c r="E63" s="4">
        <v>30</v>
      </c>
      <c r="F63" s="29">
        <v>0.54166666666666663</v>
      </c>
      <c r="G63" s="29">
        <v>0.63541666666666663</v>
      </c>
      <c r="H63" s="29">
        <f t="shared" si="0"/>
        <v>9.375E-2</v>
      </c>
      <c r="I63" s="28">
        <f t="shared" si="1"/>
        <v>2.25</v>
      </c>
      <c r="J63" s="28">
        <f t="shared" si="2"/>
        <v>135</v>
      </c>
      <c r="K63" s="32">
        <v>0.4</v>
      </c>
      <c r="L63" s="4" t="s">
        <v>62</v>
      </c>
      <c r="M63" s="4"/>
      <c r="N63" s="4" t="s">
        <v>217</v>
      </c>
    </row>
    <row r="64" spans="1:14">
      <c r="A64" s="5">
        <v>45141</v>
      </c>
      <c r="B64" s="4" t="s">
        <v>27</v>
      </c>
      <c r="C64" s="4" t="s">
        <v>88</v>
      </c>
      <c r="D64" s="4" t="s">
        <v>3</v>
      </c>
      <c r="E64" s="4">
        <v>30</v>
      </c>
      <c r="F64" s="29">
        <v>0.64583333333333337</v>
      </c>
      <c r="G64" s="29">
        <v>0.70833333333333337</v>
      </c>
      <c r="H64" s="29">
        <f t="shared" si="0"/>
        <v>6.25E-2</v>
      </c>
      <c r="I64" s="28">
        <f t="shared" si="1"/>
        <v>1.5</v>
      </c>
      <c r="J64" s="28">
        <f t="shared" si="2"/>
        <v>90</v>
      </c>
      <c r="K64" s="32">
        <v>0.75</v>
      </c>
      <c r="L64" s="4" t="s">
        <v>62</v>
      </c>
      <c r="M64" s="4"/>
      <c r="N64" s="4" t="s">
        <v>217</v>
      </c>
    </row>
    <row r="65" spans="1:14">
      <c r="A65" s="5">
        <v>45141</v>
      </c>
      <c r="B65" s="4" t="s">
        <v>27</v>
      </c>
      <c r="C65" s="4" t="s">
        <v>88</v>
      </c>
      <c r="D65" s="4" t="s">
        <v>146</v>
      </c>
      <c r="E65" s="4">
        <v>21</v>
      </c>
      <c r="F65" s="29">
        <v>0.35416666666666669</v>
      </c>
      <c r="G65" s="29">
        <v>0.40625</v>
      </c>
      <c r="H65" s="29">
        <f t="shared" si="0"/>
        <v>5.2083333333333315E-2</v>
      </c>
      <c r="I65" s="28">
        <f t="shared" si="1"/>
        <v>1.25</v>
      </c>
      <c r="J65" s="28">
        <f t="shared" si="2"/>
        <v>75</v>
      </c>
      <c r="K65" s="4"/>
      <c r="L65" s="4" t="s">
        <v>59</v>
      </c>
      <c r="M65" s="4"/>
      <c r="N65" s="4" t="s">
        <v>207</v>
      </c>
    </row>
    <row r="66" spans="1:14">
      <c r="A66" s="5">
        <v>45141</v>
      </c>
      <c r="B66" s="4" t="s">
        <v>27</v>
      </c>
      <c r="C66" s="4" t="s">
        <v>88</v>
      </c>
      <c r="D66" s="4" t="s">
        <v>146</v>
      </c>
      <c r="E66" s="4" t="s">
        <v>147</v>
      </c>
      <c r="F66" s="29">
        <v>0.40625</v>
      </c>
      <c r="G66" s="29">
        <v>0.45833333333333331</v>
      </c>
      <c r="H66" s="29">
        <f t="shared" ref="H66:H129" si="3">G66-F66</f>
        <v>5.2083333333333315E-2</v>
      </c>
      <c r="I66" s="28">
        <f t="shared" ref="I66:I129" si="4">HOUR(H66)+MINUTE(H66)/60</f>
        <v>1.25</v>
      </c>
      <c r="J66" s="28">
        <f t="shared" ref="J66:J129" si="5">I66*60</f>
        <v>75</v>
      </c>
      <c r="K66" s="4"/>
      <c r="L66" s="4"/>
      <c r="M66" s="4"/>
      <c r="N66" s="4" t="s">
        <v>207</v>
      </c>
    </row>
    <row r="67" spans="1:14">
      <c r="A67" s="5">
        <v>45141</v>
      </c>
      <c r="B67" s="4" t="s">
        <v>27</v>
      </c>
      <c r="C67" s="4" t="s">
        <v>88</v>
      </c>
      <c r="D67" s="4" t="s">
        <v>146</v>
      </c>
      <c r="E67" s="4" t="s">
        <v>147</v>
      </c>
      <c r="F67" s="29">
        <v>0.46875</v>
      </c>
      <c r="G67" s="29">
        <v>0.52083333333333337</v>
      </c>
      <c r="H67" s="29">
        <f t="shared" si="3"/>
        <v>5.208333333333337E-2</v>
      </c>
      <c r="I67" s="28">
        <f t="shared" si="4"/>
        <v>1.25</v>
      </c>
      <c r="J67" s="28">
        <f t="shared" si="5"/>
        <v>75</v>
      </c>
      <c r="K67" s="4"/>
      <c r="L67" s="4" t="s">
        <v>62</v>
      </c>
      <c r="M67" s="4"/>
      <c r="N67" s="4" t="s">
        <v>207</v>
      </c>
    </row>
    <row r="68" spans="1:14">
      <c r="A68" s="5">
        <v>45141</v>
      </c>
      <c r="B68" s="4" t="s">
        <v>6</v>
      </c>
      <c r="C68" s="4" t="s">
        <v>83</v>
      </c>
      <c r="D68" s="4" t="s">
        <v>8</v>
      </c>
      <c r="E68" s="4"/>
      <c r="F68" s="29">
        <v>0.54166666666666663</v>
      </c>
      <c r="G68" s="29">
        <v>0.59375</v>
      </c>
      <c r="H68" s="29">
        <f t="shared" si="3"/>
        <v>5.208333333333337E-2</v>
      </c>
      <c r="I68" s="28">
        <f t="shared" si="4"/>
        <v>1.25</v>
      </c>
      <c r="J68" s="28">
        <f t="shared" si="5"/>
        <v>75</v>
      </c>
      <c r="K68" s="4"/>
      <c r="L68" s="4" t="s">
        <v>59</v>
      </c>
      <c r="M68" s="4"/>
      <c r="N68" s="4" t="s">
        <v>207</v>
      </c>
    </row>
    <row r="69" spans="1:14">
      <c r="A69" s="5">
        <v>45141</v>
      </c>
      <c r="B69" s="4" t="s">
        <v>6</v>
      </c>
      <c r="C69" s="4" t="s">
        <v>83</v>
      </c>
      <c r="D69" s="4" t="s">
        <v>8</v>
      </c>
      <c r="E69" s="4"/>
      <c r="F69" s="29">
        <v>0.59375</v>
      </c>
      <c r="G69" s="29">
        <v>0.60416666666666663</v>
      </c>
      <c r="H69" s="29">
        <f t="shared" si="3"/>
        <v>1.041666666666663E-2</v>
      </c>
      <c r="I69" s="28">
        <f t="shared" si="4"/>
        <v>0.25</v>
      </c>
      <c r="J69" s="28">
        <f t="shared" si="5"/>
        <v>15</v>
      </c>
      <c r="K69" s="4"/>
      <c r="L69" s="4"/>
      <c r="M69" s="4"/>
      <c r="N69" s="4" t="s">
        <v>207</v>
      </c>
    </row>
    <row r="70" spans="1:14">
      <c r="A70" s="5">
        <v>45141</v>
      </c>
      <c r="B70" s="4" t="s">
        <v>6</v>
      </c>
      <c r="C70" s="4" t="s">
        <v>83</v>
      </c>
      <c r="D70" s="4" t="s">
        <v>238</v>
      </c>
      <c r="E70" s="4"/>
      <c r="F70" s="29">
        <v>0.60416666666666663</v>
      </c>
      <c r="G70" s="29">
        <v>0.625</v>
      </c>
      <c r="H70" s="29">
        <f t="shared" si="3"/>
        <v>2.083333333333337E-2</v>
      </c>
      <c r="I70" s="28">
        <f t="shared" si="4"/>
        <v>0.5</v>
      </c>
      <c r="J70" s="28">
        <f t="shared" si="5"/>
        <v>30</v>
      </c>
      <c r="K70" s="4">
        <v>115</v>
      </c>
      <c r="L70" s="4" t="s">
        <v>59</v>
      </c>
      <c r="M70" s="4"/>
      <c r="N70" s="4" t="s">
        <v>207</v>
      </c>
    </row>
    <row r="71" spans="1:14">
      <c r="A71" s="5">
        <v>45141</v>
      </c>
      <c r="B71" s="4" t="s">
        <v>6</v>
      </c>
      <c r="C71" s="4" t="s">
        <v>83</v>
      </c>
      <c r="D71" s="4" t="s">
        <v>239</v>
      </c>
      <c r="E71" s="4"/>
      <c r="F71" s="29">
        <v>0.625</v>
      </c>
      <c r="G71" s="29">
        <v>0.62847222222222221</v>
      </c>
      <c r="H71" s="29">
        <f t="shared" si="3"/>
        <v>3.4722222222222099E-3</v>
      </c>
      <c r="I71" s="28">
        <f t="shared" si="4"/>
        <v>8.3333333333333329E-2</v>
      </c>
      <c r="J71" s="28">
        <f t="shared" si="5"/>
        <v>5</v>
      </c>
      <c r="K71" s="4">
        <v>13</v>
      </c>
      <c r="L71" s="4" t="s">
        <v>59</v>
      </c>
      <c r="M71" s="4"/>
      <c r="N71" s="4" t="s">
        <v>207</v>
      </c>
    </row>
    <row r="72" spans="1:14">
      <c r="A72" s="5">
        <v>45141</v>
      </c>
      <c r="B72" s="4" t="s">
        <v>6</v>
      </c>
      <c r="C72" s="4" t="s">
        <v>83</v>
      </c>
      <c r="D72" s="4" t="s">
        <v>240</v>
      </c>
      <c r="E72" s="4"/>
      <c r="F72" s="29">
        <v>0.625</v>
      </c>
      <c r="G72" s="29">
        <v>0.62847222222222221</v>
      </c>
      <c r="H72" s="29">
        <f t="shared" si="3"/>
        <v>3.4722222222222099E-3</v>
      </c>
      <c r="I72" s="28">
        <f t="shared" si="4"/>
        <v>8.3333333333333329E-2</v>
      </c>
      <c r="J72" s="28">
        <f t="shared" si="5"/>
        <v>5</v>
      </c>
      <c r="K72" s="4">
        <v>177</v>
      </c>
      <c r="L72" s="4" t="s">
        <v>59</v>
      </c>
      <c r="M72" s="4"/>
      <c r="N72" s="4" t="s">
        <v>207</v>
      </c>
    </row>
    <row r="73" spans="1:14">
      <c r="A73" s="5">
        <v>45141</v>
      </c>
      <c r="B73" s="4" t="s">
        <v>6</v>
      </c>
      <c r="C73" s="4" t="s">
        <v>83</v>
      </c>
      <c r="D73" s="4" t="s">
        <v>241</v>
      </c>
      <c r="E73" s="4"/>
      <c r="F73" s="29">
        <v>0.65972222222222221</v>
      </c>
      <c r="G73" s="29">
        <v>0.66666666666666663</v>
      </c>
      <c r="H73" s="29">
        <f t="shared" si="3"/>
        <v>6.9444444444444198E-3</v>
      </c>
      <c r="I73" s="28">
        <f t="shared" si="4"/>
        <v>0.16666666666666666</v>
      </c>
      <c r="J73" s="28">
        <f t="shared" si="5"/>
        <v>10</v>
      </c>
      <c r="K73" s="4">
        <v>32</v>
      </c>
      <c r="L73" s="4" t="s">
        <v>59</v>
      </c>
      <c r="M73" s="4"/>
      <c r="N73" s="4" t="s">
        <v>207</v>
      </c>
    </row>
    <row r="74" spans="1:14">
      <c r="A74" s="5">
        <v>45141</v>
      </c>
      <c r="B74" s="4" t="s">
        <v>27</v>
      </c>
      <c r="C74" s="4" t="s">
        <v>88</v>
      </c>
      <c r="D74" s="4" t="s">
        <v>8</v>
      </c>
      <c r="E74" s="4" t="s">
        <v>148</v>
      </c>
      <c r="F74" s="29">
        <v>0.66666666666666663</v>
      </c>
      <c r="G74" s="29">
        <v>0.70833333333333337</v>
      </c>
      <c r="H74" s="29">
        <f t="shared" si="3"/>
        <v>4.1666666666666741E-2</v>
      </c>
      <c r="I74" s="28">
        <f t="shared" si="4"/>
        <v>1</v>
      </c>
      <c r="J74" s="28">
        <f t="shared" si="5"/>
        <v>60</v>
      </c>
      <c r="K74" s="4"/>
      <c r="L74" s="4" t="s">
        <v>62</v>
      </c>
      <c r="M74" s="4"/>
      <c r="N74" s="4" t="s">
        <v>207</v>
      </c>
    </row>
    <row r="75" spans="1:14">
      <c r="A75" s="5">
        <v>45141</v>
      </c>
      <c r="B75" s="4" t="s">
        <v>21</v>
      </c>
      <c r="C75" s="4" t="s">
        <v>106</v>
      </c>
      <c r="D75" s="4" t="s">
        <v>5</v>
      </c>
      <c r="E75" s="4">
        <v>2</v>
      </c>
      <c r="F75" s="29">
        <v>0.35416666666666669</v>
      </c>
      <c r="G75" s="29">
        <v>0.47916666666666669</v>
      </c>
      <c r="H75" s="29">
        <f t="shared" si="3"/>
        <v>0.125</v>
      </c>
      <c r="I75" s="28">
        <f t="shared" si="4"/>
        <v>3</v>
      </c>
      <c r="J75" s="28">
        <f t="shared" si="5"/>
        <v>180</v>
      </c>
      <c r="K75" s="4">
        <v>2627</v>
      </c>
      <c r="L75" s="4" t="s">
        <v>59</v>
      </c>
      <c r="M75" s="4" t="s">
        <v>242</v>
      </c>
      <c r="N75" s="4" t="s">
        <v>210</v>
      </c>
    </row>
    <row r="76" spans="1:14">
      <c r="A76" s="5">
        <v>45141</v>
      </c>
      <c r="B76" s="4" t="s">
        <v>21</v>
      </c>
      <c r="C76" s="4" t="s">
        <v>106</v>
      </c>
      <c r="D76" s="4" t="s">
        <v>5</v>
      </c>
      <c r="E76" s="4">
        <v>3</v>
      </c>
      <c r="F76" s="29">
        <v>0.47916666666666669</v>
      </c>
      <c r="G76" s="29">
        <v>0.58333333333333337</v>
      </c>
      <c r="H76" s="29">
        <f t="shared" si="3"/>
        <v>0.10416666666666669</v>
      </c>
      <c r="I76" s="28">
        <f t="shared" si="4"/>
        <v>2.5</v>
      </c>
      <c r="J76" s="28">
        <f t="shared" si="5"/>
        <v>150</v>
      </c>
      <c r="K76" s="4"/>
      <c r="L76" s="4"/>
      <c r="M76" s="4"/>
      <c r="N76" s="4" t="s">
        <v>210</v>
      </c>
    </row>
    <row r="77" spans="1:14">
      <c r="A77" s="5">
        <v>45141</v>
      </c>
      <c r="B77" s="4" t="s">
        <v>243</v>
      </c>
      <c r="C77" s="4" t="s">
        <v>15</v>
      </c>
      <c r="D77" s="4" t="s">
        <v>15</v>
      </c>
      <c r="E77" s="4"/>
      <c r="F77" s="29">
        <v>0.58333333333333337</v>
      </c>
      <c r="G77" s="29">
        <v>0.60416666666666663</v>
      </c>
      <c r="H77" s="29">
        <f t="shared" si="3"/>
        <v>2.0833333333333259E-2</v>
      </c>
      <c r="I77" s="28">
        <f t="shared" si="4"/>
        <v>0.5</v>
      </c>
      <c r="J77" s="28">
        <f t="shared" si="5"/>
        <v>30</v>
      </c>
      <c r="K77" s="4"/>
      <c r="L77" s="4"/>
      <c r="M77" s="4"/>
      <c r="N77" s="4" t="s">
        <v>210</v>
      </c>
    </row>
    <row r="78" spans="1:14">
      <c r="A78" s="5">
        <v>45141</v>
      </c>
      <c r="B78" s="4" t="s">
        <v>21</v>
      </c>
      <c r="C78" s="4" t="s">
        <v>106</v>
      </c>
      <c r="D78" s="4" t="s">
        <v>5</v>
      </c>
      <c r="E78" s="4">
        <v>3</v>
      </c>
      <c r="F78" s="29">
        <v>0.60416666666666663</v>
      </c>
      <c r="G78" s="29">
        <v>0.64583333333333337</v>
      </c>
      <c r="H78" s="29">
        <f t="shared" si="3"/>
        <v>4.1666666666666741E-2</v>
      </c>
      <c r="I78" s="28">
        <f t="shared" si="4"/>
        <v>1</v>
      </c>
      <c r="J78" s="28">
        <f t="shared" si="5"/>
        <v>60</v>
      </c>
      <c r="K78" s="4"/>
      <c r="L78" s="4"/>
      <c r="M78" s="4"/>
      <c r="N78" s="4" t="s">
        <v>210</v>
      </c>
    </row>
    <row r="79" spans="1:14">
      <c r="A79" s="5">
        <v>45141</v>
      </c>
      <c r="B79" s="4" t="s">
        <v>21</v>
      </c>
      <c r="C79" s="4" t="s">
        <v>106</v>
      </c>
      <c r="D79" s="4" t="s">
        <v>5</v>
      </c>
      <c r="E79" s="4">
        <v>3</v>
      </c>
      <c r="F79" s="29">
        <v>0.66666666666666663</v>
      </c>
      <c r="G79" s="29">
        <v>0.70833333333333337</v>
      </c>
      <c r="H79" s="29">
        <f t="shared" si="3"/>
        <v>4.1666666666666741E-2</v>
      </c>
      <c r="I79" s="28">
        <f t="shared" si="4"/>
        <v>1</v>
      </c>
      <c r="J79" s="28">
        <f t="shared" si="5"/>
        <v>60</v>
      </c>
      <c r="K79" s="4">
        <v>1959</v>
      </c>
      <c r="L79" s="4" t="s">
        <v>62</v>
      </c>
      <c r="M79" s="4"/>
      <c r="N79" s="4" t="s">
        <v>210</v>
      </c>
    </row>
    <row r="80" spans="1:14">
      <c r="A80" s="5">
        <v>45141</v>
      </c>
      <c r="B80" s="4" t="s">
        <v>21</v>
      </c>
      <c r="C80" s="4" t="s">
        <v>106</v>
      </c>
      <c r="D80" s="4" t="s">
        <v>4</v>
      </c>
      <c r="E80" s="4">
        <v>1</v>
      </c>
      <c r="F80" s="29">
        <v>0.35416666666666669</v>
      </c>
      <c r="G80" s="29">
        <v>0.54861111111111105</v>
      </c>
      <c r="H80" s="29">
        <f t="shared" si="3"/>
        <v>0.19444444444444436</v>
      </c>
      <c r="I80" s="28">
        <f t="shared" si="4"/>
        <v>4.666666666666667</v>
      </c>
      <c r="J80" s="28">
        <f t="shared" si="5"/>
        <v>280</v>
      </c>
      <c r="K80" s="4">
        <v>2690</v>
      </c>
      <c r="L80" s="4" t="s">
        <v>59</v>
      </c>
      <c r="M80" s="4"/>
      <c r="N80" s="4" t="s">
        <v>244</v>
      </c>
    </row>
    <row r="81" spans="1:14">
      <c r="A81" s="5">
        <v>45141</v>
      </c>
      <c r="B81" s="4" t="s">
        <v>21</v>
      </c>
      <c r="C81" s="4" t="s">
        <v>106</v>
      </c>
      <c r="D81" s="4" t="s">
        <v>4</v>
      </c>
      <c r="E81" s="4">
        <v>2</v>
      </c>
      <c r="F81" s="29">
        <v>0.54861111111111105</v>
      </c>
      <c r="G81" s="29">
        <v>0.58333333333333337</v>
      </c>
      <c r="H81" s="29">
        <f t="shared" si="3"/>
        <v>3.4722222222222321E-2</v>
      </c>
      <c r="I81" s="28">
        <f t="shared" si="4"/>
        <v>0.83333333333333337</v>
      </c>
      <c r="J81" s="28">
        <f t="shared" si="5"/>
        <v>50</v>
      </c>
      <c r="K81" s="4"/>
      <c r="L81" s="4" t="s">
        <v>62</v>
      </c>
      <c r="M81" s="4"/>
      <c r="N81" s="4" t="s">
        <v>244</v>
      </c>
    </row>
    <row r="82" spans="1:14">
      <c r="A82" s="5">
        <v>45141</v>
      </c>
      <c r="B82" s="4" t="s">
        <v>21</v>
      </c>
      <c r="C82" s="4" t="s">
        <v>106</v>
      </c>
      <c r="D82" s="4" t="s">
        <v>4</v>
      </c>
      <c r="E82" s="4">
        <v>2</v>
      </c>
      <c r="F82" s="29">
        <v>0.60416666666666663</v>
      </c>
      <c r="G82" s="29">
        <v>0.69444444444444453</v>
      </c>
      <c r="H82" s="29">
        <f t="shared" si="3"/>
        <v>9.0277777777777901E-2</v>
      </c>
      <c r="I82" s="28">
        <f t="shared" si="4"/>
        <v>2.1666666666666665</v>
      </c>
      <c r="J82" s="28">
        <f t="shared" si="5"/>
        <v>130</v>
      </c>
      <c r="K82" s="4"/>
      <c r="L82" s="4" t="s">
        <v>62</v>
      </c>
      <c r="M82" s="4"/>
      <c r="N82" s="4" t="s">
        <v>244</v>
      </c>
    </row>
    <row r="83" spans="1:14">
      <c r="A83" s="5">
        <v>45141</v>
      </c>
      <c r="B83" s="4" t="s">
        <v>21</v>
      </c>
      <c r="C83" s="4" t="s">
        <v>106</v>
      </c>
      <c r="D83" s="4" t="s">
        <v>3</v>
      </c>
      <c r="E83" s="4">
        <v>4</v>
      </c>
      <c r="F83" s="29">
        <v>0.375</v>
      </c>
      <c r="G83" s="29">
        <v>0.47916666666666669</v>
      </c>
      <c r="H83" s="29">
        <f t="shared" si="3"/>
        <v>0.10416666666666669</v>
      </c>
      <c r="I83" s="28">
        <f t="shared" si="4"/>
        <v>2.5</v>
      </c>
      <c r="J83" s="28">
        <f t="shared" si="5"/>
        <v>150</v>
      </c>
      <c r="K83" s="4"/>
      <c r="L83" s="4" t="s">
        <v>245</v>
      </c>
      <c r="M83" s="4"/>
      <c r="N83" s="4" t="s">
        <v>246</v>
      </c>
    </row>
    <row r="84" spans="1:14">
      <c r="A84" s="5">
        <v>45141</v>
      </c>
      <c r="B84" s="4" t="s">
        <v>21</v>
      </c>
      <c r="C84" s="4" t="s">
        <v>106</v>
      </c>
      <c r="D84" s="4" t="s">
        <v>3</v>
      </c>
      <c r="E84" s="4">
        <v>5</v>
      </c>
      <c r="F84" s="29">
        <v>0.51736111111111105</v>
      </c>
      <c r="G84" s="29">
        <v>0.66666666666666663</v>
      </c>
      <c r="H84" s="29">
        <f t="shared" si="3"/>
        <v>0.14930555555555558</v>
      </c>
      <c r="I84" s="28">
        <f t="shared" si="4"/>
        <v>3.5833333333333335</v>
      </c>
      <c r="J84" s="28">
        <f t="shared" si="5"/>
        <v>215</v>
      </c>
      <c r="K84" s="4"/>
      <c r="L84" s="4" t="s">
        <v>245</v>
      </c>
      <c r="M84" s="4"/>
      <c r="N84" s="4" t="s">
        <v>246</v>
      </c>
    </row>
    <row r="85" spans="1:14">
      <c r="A85" s="5">
        <v>45141</v>
      </c>
      <c r="B85" s="4" t="s">
        <v>27</v>
      </c>
      <c r="C85" s="4" t="s">
        <v>88</v>
      </c>
      <c r="D85" s="4" t="s">
        <v>146</v>
      </c>
      <c r="E85" s="4">
        <v>20</v>
      </c>
      <c r="F85" s="29">
        <v>0.375</v>
      </c>
      <c r="G85" s="29">
        <v>0.46875</v>
      </c>
      <c r="H85" s="29">
        <f t="shared" si="3"/>
        <v>9.375E-2</v>
      </c>
      <c r="I85" s="28">
        <f t="shared" si="4"/>
        <v>2.25</v>
      </c>
      <c r="J85" s="28">
        <f t="shared" si="5"/>
        <v>135</v>
      </c>
      <c r="K85" s="4"/>
      <c r="L85" s="4"/>
      <c r="M85" s="4"/>
      <c r="N85" s="4" t="s">
        <v>227</v>
      </c>
    </row>
    <row r="86" spans="1:14">
      <c r="A86" s="5">
        <v>45141</v>
      </c>
      <c r="B86" s="4" t="s">
        <v>27</v>
      </c>
      <c r="C86" s="4" t="s">
        <v>88</v>
      </c>
      <c r="D86" s="4" t="s">
        <v>146</v>
      </c>
      <c r="E86" s="4">
        <v>20</v>
      </c>
      <c r="F86" s="29">
        <v>0.47916666666666669</v>
      </c>
      <c r="G86" s="29">
        <v>0.5</v>
      </c>
      <c r="H86" s="29">
        <f t="shared" si="3"/>
        <v>2.0833333333333315E-2</v>
      </c>
      <c r="I86" s="28">
        <f t="shared" si="4"/>
        <v>0.5</v>
      </c>
      <c r="J86" s="28">
        <f t="shared" si="5"/>
        <v>30</v>
      </c>
      <c r="K86" s="4"/>
      <c r="L86" s="4"/>
      <c r="M86" s="4"/>
      <c r="N86" s="4" t="s">
        <v>227</v>
      </c>
    </row>
    <row r="87" spans="1:14">
      <c r="A87" s="5">
        <v>45141</v>
      </c>
      <c r="B87" s="4" t="s">
        <v>27</v>
      </c>
      <c r="C87" s="4" t="s">
        <v>88</v>
      </c>
      <c r="D87" s="4" t="s">
        <v>146</v>
      </c>
      <c r="E87" s="4">
        <v>20</v>
      </c>
      <c r="F87" s="29">
        <v>0.58333333333333337</v>
      </c>
      <c r="G87" s="29">
        <v>0.64583333333333337</v>
      </c>
      <c r="H87" s="29">
        <f t="shared" si="3"/>
        <v>6.25E-2</v>
      </c>
      <c r="I87" s="28">
        <f t="shared" si="4"/>
        <v>1.5</v>
      </c>
      <c r="J87" s="28">
        <f t="shared" si="5"/>
        <v>90</v>
      </c>
      <c r="K87" s="4"/>
      <c r="L87" s="4" t="s">
        <v>59</v>
      </c>
      <c r="M87" s="4"/>
      <c r="N87" s="4" t="s">
        <v>227</v>
      </c>
    </row>
    <row r="88" spans="1:14">
      <c r="A88" s="5">
        <v>45141</v>
      </c>
      <c r="B88" s="4" t="s">
        <v>15</v>
      </c>
      <c r="C88" s="4"/>
      <c r="D88" s="4"/>
      <c r="E88" s="4"/>
      <c r="F88" s="29">
        <v>0.48958333333333331</v>
      </c>
      <c r="G88" s="29">
        <v>0.53125</v>
      </c>
      <c r="H88" s="29">
        <f t="shared" si="3"/>
        <v>4.1666666666666685E-2</v>
      </c>
      <c r="I88" s="28">
        <f t="shared" si="4"/>
        <v>1</v>
      </c>
      <c r="J88" s="28">
        <f t="shared" si="5"/>
        <v>60</v>
      </c>
      <c r="K88" s="4"/>
      <c r="L88" s="4" t="s">
        <v>59</v>
      </c>
      <c r="M88" s="4">
        <v>1</v>
      </c>
      <c r="N88" s="4" t="s">
        <v>225</v>
      </c>
    </row>
    <row r="89" spans="1:14">
      <c r="A89" s="5">
        <v>45141</v>
      </c>
      <c r="B89" s="4" t="s">
        <v>17</v>
      </c>
      <c r="C89" s="4"/>
      <c r="D89" s="4" t="s">
        <v>8</v>
      </c>
      <c r="E89" s="4"/>
      <c r="F89" s="29">
        <v>0.54166666666666663</v>
      </c>
      <c r="G89" s="29">
        <v>0.58333333333333337</v>
      </c>
      <c r="H89" s="29">
        <f t="shared" si="3"/>
        <v>4.1666666666666741E-2</v>
      </c>
      <c r="I89" s="28">
        <f t="shared" si="4"/>
        <v>1</v>
      </c>
      <c r="J89" s="28">
        <f t="shared" si="5"/>
        <v>60</v>
      </c>
      <c r="K89" s="4"/>
      <c r="L89" s="4" t="s">
        <v>59</v>
      </c>
      <c r="M89" s="4">
        <v>1.5</v>
      </c>
      <c r="N89" s="4" t="s">
        <v>225</v>
      </c>
    </row>
    <row r="90" spans="1:14">
      <c r="A90" s="5">
        <v>45141</v>
      </c>
      <c r="B90" s="4" t="s">
        <v>6</v>
      </c>
      <c r="C90" s="4"/>
      <c r="D90" s="4" t="s">
        <v>8</v>
      </c>
      <c r="E90" s="4"/>
      <c r="F90" s="29">
        <v>0.60555555555555551</v>
      </c>
      <c r="G90" s="29">
        <v>0.63055555555555554</v>
      </c>
      <c r="H90" s="29">
        <f t="shared" si="3"/>
        <v>2.5000000000000022E-2</v>
      </c>
      <c r="I90" s="28">
        <f t="shared" si="4"/>
        <v>0.6</v>
      </c>
      <c r="J90" s="28">
        <f t="shared" si="5"/>
        <v>36</v>
      </c>
      <c r="K90" s="4"/>
      <c r="L90" s="4" t="s">
        <v>59</v>
      </c>
      <c r="M90" s="4">
        <v>1.5</v>
      </c>
      <c r="N90" s="4" t="s">
        <v>225</v>
      </c>
    </row>
    <row r="91" spans="1:14">
      <c r="A91" s="5">
        <v>45141</v>
      </c>
      <c r="B91" s="4"/>
      <c r="C91" s="4" t="s">
        <v>96</v>
      </c>
      <c r="D91" s="4" t="s">
        <v>7</v>
      </c>
      <c r="E91" s="4"/>
      <c r="F91" s="29">
        <v>0.63194444444444442</v>
      </c>
      <c r="G91" s="29">
        <v>0.64236111111111105</v>
      </c>
      <c r="H91" s="29">
        <f t="shared" si="3"/>
        <v>1.041666666666663E-2</v>
      </c>
      <c r="I91" s="28">
        <f t="shared" si="4"/>
        <v>0.25</v>
      </c>
      <c r="J91" s="28">
        <f t="shared" si="5"/>
        <v>15</v>
      </c>
      <c r="K91" s="4"/>
      <c r="L91" s="4" t="s">
        <v>59</v>
      </c>
      <c r="M91" s="4">
        <v>0.25</v>
      </c>
      <c r="N91" s="4" t="s">
        <v>225</v>
      </c>
    </row>
    <row r="92" spans="1:14">
      <c r="A92" s="5">
        <v>45141</v>
      </c>
      <c r="B92" s="4" t="s">
        <v>37</v>
      </c>
      <c r="C92" s="4" t="s">
        <v>79</v>
      </c>
      <c r="D92" s="4" t="s">
        <v>23</v>
      </c>
      <c r="E92" s="4">
        <v>1</v>
      </c>
      <c r="F92" s="29">
        <v>0.46875</v>
      </c>
      <c r="G92" s="29">
        <v>0.625</v>
      </c>
      <c r="H92" s="29">
        <f t="shared" si="3"/>
        <v>0.15625</v>
      </c>
      <c r="I92" s="28">
        <f t="shared" si="4"/>
        <v>3.75</v>
      </c>
      <c r="J92" s="28">
        <f t="shared" si="5"/>
        <v>225</v>
      </c>
      <c r="K92" s="4"/>
      <c r="L92" s="4" t="s">
        <v>59</v>
      </c>
      <c r="M92" s="4"/>
      <c r="N92" s="4" t="s">
        <v>223</v>
      </c>
    </row>
    <row r="93" spans="1:14">
      <c r="A93" s="5">
        <v>45141</v>
      </c>
      <c r="B93" s="4" t="s">
        <v>37</v>
      </c>
      <c r="C93" s="4" t="s">
        <v>79</v>
      </c>
      <c r="D93" s="4" t="s">
        <v>23</v>
      </c>
      <c r="E93" s="4">
        <v>3</v>
      </c>
      <c r="F93" s="29">
        <v>0.625</v>
      </c>
      <c r="G93" s="29">
        <v>0.70833333333333337</v>
      </c>
      <c r="H93" s="29">
        <f t="shared" si="3"/>
        <v>8.333333333333337E-2</v>
      </c>
      <c r="I93" s="28">
        <f t="shared" si="4"/>
        <v>2</v>
      </c>
      <c r="J93" s="28">
        <f t="shared" si="5"/>
        <v>120</v>
      </c>
      <c r="K93" s="4"/>
      <c r="L93" s="4" t="s">
        <v>59</v>
      </c>
      <c r="M93" s="4"/>
      <c r="N93" s="4" t="s">
        <v>223</v>
      </c>
    </row>
    <row r="94" spans="1:14">
      <c r="A94" s="5">
        <v>45142</v>
      </c>
      <c r="B94" s="4" t="s">
        <v>27</v>
      </c>
      <c r="C94" s="4" t="s">
        <v>88</v>
      </c>
      <c r="D94" s="4" t="s">
        <v>15</v>
      </c>
      <c r="E94" s="4">
        <v>30</v>
      </c>
      <c r="F94" s="29">
        <v>0.35416666666666669</v>
      </c>
      <c r="G94" s="29">
        <v>0.42708333333333331</v>
      </c>
      <c r="H94" s="29">
        <f t="shared" si="3"/>
        <v>7.291666666666663E-2</v>
      </c>
      <c r="I94" s="28">
        <f t="shared" si="4"/>
        <v>1.75</v>
      </c>
      <c r="J94" s="28">
        <f t="shared" si="5"/>
        <v>105</v>
      </c>
      <c r="K94" s="32">
        <v>0.25</v>
      </c>
      <c r="L94" s="4" t="s">
        <v>59</v>
      </c>
      <c r="M94" s="4"/>
      <c r="N94" s="4" t="s">
        <v>217</v>
      </c>
    </row>
    <row r="95" spans="1:14">
      <c r="A95" s="5">
        <v>45142</v>
      </c>
      <c r="B95" s="4" t="s">
        <v>27</v>
      </c>
      <c r="C95" s="4" t="s">
        <v>88</v>
      </c>
      <c r="D95" s="4" t="s">
        <v>31</v>
      </c>
      <c r="E95" s="4">
        <v>32</v>
      </c>
      <c r="F95" s="29">
        <v>0.43055555555555558</v>
      </c>
      <c r="G95" s="29">
        <v>0.46875</v>
      </c>
      <c r="H95" s="29">
        <f t="shared" si="3"/>
        <v>3.819444444444442E-2</v>
      </c>
      <c r="I95" s="28">
        <f t="shared" si="4"/>
        <v>0.91666666666666663</v>
      </c>
      <c r="J95" s="28">
        <f t="shared" si="5"/>
        <v>55</v>
      </c>
      <c r="K95" s="32">
        <v>0.15</v>
      </c>
      <c r="L95" s="4" t="s">
        <v>62</v>
      </c>
      <c r="M95" s="4"/>
      <c r="N95" s="4" t="s">
        <v>217</v>
      </c>
    </row>
    <row r="96" spans="1:14">
      <c r="A96" s="5">
        <v>45142</v>
      </c>
      <c r="B96" s="4" t="s">
        <v>27</v>
      </c>
      <c r="C96" s="4" t="s">
        <v>88</v>
      </c>
      <c r="D96" s="4" t="s">
        <v>31</v>
      </c>
      <c r="E96" s="4">
        <v>32</v>
      </c>
      <c r="F96" s="29">
        <v>0.47916666666666669</v>
      </c>
      <c r="G96" s="29">
        <v>0.52083333333333337</v>
      </c>
      <c r="H96" s="29">
        <f t="shared" si="3"/>
        <v>4.1666666666666685E-2</v>
      </c>
      <c r="I96" s="28">
        <f t="shared" si="4"/>
        <v>1</v>
      </c>
      <c r="J96" s="28">
        <f t="shared" si="5"/>
        <v>60</v>
      </c>
      <c r="K96" s="32">
        <v>0.5</v>
      </c>
      <c r="L96" s="4" t="s">
        <v>62</v>
      </c>
      <c r="M96" s="4"/>
      <c r="N96" s="4" t="s">
        <v>217</v>
      </c>
    </row>
    <row r="97" spans="1:14">
      <c r="A97" s="5">
        <v>45142</v>
      </c>
      <c r="B97" s="4" t="s">
        <v>27</v>
      </c>
      <c r="C97" s="4" t="s">
        <v>88</v>
      </c>
      <c r="D97" s="4" t="s">
        <v>31</v>
      </c>
      <c r="E97" s="4">
        <v>32</v>
      </c>
      <c r="F97" s="29">
        <v>0.54166666666666663</v>
      </c>
      <c r="G97" s="29">
        <v>0.625</v>
      </c>
      <c r="H97" s="29">
        <f t="shared" si="3"/>
        <v>8.333333333333337E-2</v>
      </c>
      <c r="I97" s="28">
        <f t="shared" si="4"/>
        <v>2</v>
      </c>
      <c r="J97" s="28">
        <f t="shared" si="5"/>
        <v>120</v>
      </c>
      <c r="K97" s="32">
        <v>0.97</v>
      </c>
      <c r="L97" s="4" t="s">
        <v>62</v>
      </c>
      <c r="M97" s="4"/>
      <c r="N97" s="4" t="s">
        <v>217</v>
      </c>
    </row>
    <row r="98" spans="1:14">
      <c r="A98" s="5">
        <v>45142</v>
      </c>
      <c r="B98" s="4" t="s">
        <v>27</v>
      </c>
      <c r="C98" s="4" t="s">
        <v>88</v>
      </c>
      <c r="D98" s="4" t="s">
        <v>3</v>
      </c>
      <c r="E98" s="4">
        <v>32</v>
      </c>
      <c r="F98" s="29">
        <v>0.63541666666666663</v>
      </c>
      <c r="G98" s="29">
        <v>0.65972222222222221</v>
      </c>
      <c r="H98" s="29">
        <f t="shared" si="3"/>
        <v>2.430555555555558E-2</v>
      </c>
      <c r="I98" s="28">
        <f t="shared" si="4"/>
        <v>0.58333333333333337</v>
      </c>
      <c r="J98" s="28">
        <f t="shared" si="5"/>
        <v>35</v>
      </c>
      <c r="K98" s="32">
        <v>1</v>
      </c>
      <c r="L98" s="4" t="s">
        <v>59</v>
      </c>
      <c r="M98" s="4"/>
      <c r="N98" s="4" t="s">
        <v>217</v>
      </c>
    </row>
    <row r="99" spans="1:14">
      <c r="A99" s="5">
        <v>45142</v>
      </c>
      <c r="B99" s="4" t="s">
        <v>27</v>
      </c>
      <c r="C99" s="4" t="s">
        <v>88</v>
      </c>
      <c r="D99" s="4" t="s">
        <v>31</v>
      </c>
      <c r="E99" s="4">
        <v>33</v>
      </c>
      <c r="F99" s="29">
        <v>0.66319444444444442</v>
      </c>
      <c r="G99" s="29">
        <v>0.70833333333333337</v>
      </c>
      <c r="H99" s="29">
        <f t="shared" si="3"/>
        <v>4.5138888888888951E-2</v>
      </c>
      <c r="I99" s="28">
        <f t="shared" si="4"/>
        <v>1.0833333333333333</v>
      </c>
      <c r="J99" s="28">
        <f t="shared" si="5"/>
        <v>65</v>
      </c>
      <c r="K99" s="32">
        <v>0.2</v>
      </c>
      <c r="L99" s="4" t="s">
        <v>62</v>
      </c>
      <c r="M99" s="4"/>
      <c r="N99" s="4" t="s">
        <v>217</v>
      </c>
    </row>
    <row r="100" spans="1:14">
      <c r="A100" s="5">
        <v>45142</v>
      </c>
      <c r="B100" s="4" t="s">
        <v>27</v>
      </c>
      <c r="C100" s="4" t="s">
        <v>88</v>
      </c>
      <c r="D100" s="4" t="s">
        <v>146</v>
      </c>
      <c r="E100" s="4" t="s">
        <v>149</v>
      </c>
      <c r="F100" s="29">
        <v>0.35416666666666669</v>
      </c>
      <c r="G100" s="29">
        <v>0.42777777777777781</v>
      </c>
      <c r="H100" s="29">
        <f t="shared" si="3"/>
        <v>7.3611111111111127E-2</v>
      </c>
      <c r="I100" s="28">
        <f t="shared" si="4"/>
        <v>1.7666666666666666</v>
      </c>
      <c r="J100" s="28">
        <f t="shared" si="5"/>
        <v>106</v>
      </c>
      <c r="K100" s="4"/>
      <c r="L100" s="4" t="s">
        <v>59</v>
      </c>
      <c r="M100" s="4"/>
      <c r="N100" s="4" t="s">
        <v>207</v>
      </c>
    </row>
    <row r="101" spans="1:14">
      <c r="A101" s="5">
        <v>45142</v>
      </c>
      <c r="B101" s="4" t="s">
        <v>27</v>
      </c>
      <c r="C101" s="4" t="s">
        <v>88</v>
      </c>
      <c r="D101" s="4" t="s">
        <v>146</v>
      </c>
      <c r="E101" s="4" t="s">
        <v>150</v>
      </c>
      <c r="F101" s="29">
        <v>0.42777777777777781</v>
      </c>
      <c r="G101" s="29">
        <v>0.45833333333333331</v>
      </c>
      <c r="H101" s="29">
        <f t="shared" si="3"/>
        <v>3.0555555555555503E-2</v>
      </c>
      <c r="I101" s="28">
        <f t="shared" si="4"/>
        <v>0.73333333333333328</v>
      </c>
      <c r="J101" s="28">
        <f t="shared" si="5"/>
        <v>44</v>
      </c>
      <c r="K101" s="4"/>
      <c r="L101" s="4" t="s">
        <v>62</v>
      </c>
      <c r="M101" s="4"/>
      <c r="N101" s="4" t="s">
        <v>207</v>
      </c>
    </row>
    <row r="102" spans="1:14">
      <c r="A102" s="5">
        <v>45142</v>
      </c>
      <c r="B102" s="4" t="s">
        <v>27</v>
      </c>
      <c r="C102" s="4" t="s">
        <v>88</v>
      </c>
      <c r="D102" s="4" t="s">
        <v>146</v>
      </c>
      <c r="E102" s="4" t="s">
        <v>150</v>
      </c>
      <c r="F102" s="29">
        <v>0.46875</v>
      </c>
      <c r="G102" s="29">
        <v>0.52083333333333337</v>
      </c>
      <c r="H102" s="29">
        <f t="shared" si="3"/>
        <v>5.208333333333337E-2</v>
      </c>
      <c r="I102" s="28">
        <f t="shared" si="4"/>
        <v>1.25</v>
      </c>
      <c r="J102" s="28">
        <f t="shared" si="5"/>
        <v>75</v>
      </c>
      <c r="K102" s="4"/>
      <c r="L102" s="4" t="s">
        <v>62</v>
      </c>
      <c r="M102" s="4"/>
      <c r="N102" s="4" t="s">
        <v>207</v>
      </c>
    </row>
    <row r="103" spans="1:14">
      <c r="A103" s="5">
        <v>45142</v>
      </c>
      <c r="B103" s="4" t="s">
        <v>27</v>
      </c>
      <c r="C103" s="4" t="s">
        <v>88</v>
      </c>
      <c r="D103" s="4" t="s">
        <v>146</v>
      </c>
      <c r="E103" s="4" t="s">
        <v>150</v>
      </c>
      <c r="F103" s="29">
        <v>4.1666666666666664E-2</v>
      </c>
      <c r="G103" s="29">
        <v>0.12847222222222224</v>
      </c>
      <c r="H103" s="29">
        <f t="shared" si="3"/>
        <v>8.680555555555558E-2</v>
      </c>
      <c r="I103" s="28">
        <f t="shared" si="4"/>
        <v>2.0833333333333335</v>
      </c>
      <c r="J103" s="28">
        <f t="shared" si="5"/>
        <v>125.00000000000001</v>
      </c>
      <c r="K103" s="4"/>
      <c r="L103" s="4" t="s">
        <v>59</v>
      </c>
      <c r="M103" s="4"/>
      <c r="N103" s="4" t="s">
        <v>207</v>
      </c>
    </row>
    <row r="104" spans="1:14">
      <c r="A104" s="5">
        <v>45142</v>
      </c>
      <c r="B104" s="4" t="s">
        <v>27</v>
      </c>
      <c r="C104" s="4" t="s">
        <v>88</v>
      </c>
      <c r="D104" s="4" t="s">
        <v>146</v>
      </c>
      <c r="E104" s="4" t="s">
        <v>150</v>
      </c>
      <c r="F104" s="29">
        <v>0.1388888888888889</v>
      </c>
      <c r="G104" s="29">
        <v>0.15277777777777776</v>
      </c>
      <c r="H104" s="29">
        <f t="shared" si="3"/>
        <v>1.3888888888888867E-2</v>
      </c>
      <c r="I104" s="28">
        <f t="shared" si="4"/>
        <v>0.33333333333333331</v>
      </c>
      <c r="J104" s="28">
        <f t="shared" si="5"/>
        <v>20</v>
      </c>
      <c r="K104" s="4"/>
      <c r="L104" s="4" t="s">
        <v>59</v>
      </c>
      <c r="M104" s="4"/>
      <c r="N104" s="4" t="s">
        <v>207</v>
      </c>
    </row>
    <row r="105" spans="1:14">
      <c r="A105" s="5">
        <v>45142</v>
      </c>
      <c r="B105" s="4" t="s">
        <v>27</v>
      </c>
      <c r="C105" s="4" t="s">
        <v>88</v>
      </c>
      <c r="D105" s="4" t="s">
        <v>146</v>
      </c>
      <c r="E105" s="4">
        <v>25</v>
      </c>
      <c r="F105" s="29">
        <v>0.15277777777777776</v>
      </c>
      <c r="G105" s="29">
        <v>0.70833333333333337</v>
      </c>
      <c r="H105" s="29">
        <f t="shared" si="3"/>
        <v>0.55555555555555558</v>
      </c>
      <c r="I105" s="28">
        <f t="shared" si="4"/>
        <v>13.333333333333334</v>
      </c>
      <c r="J105" s="28">
        <f t="shared" si="5"/>
        <v>800</v>
      </c>
      <c r="K105" s="4"/>
      <c r="L105" s="4"/>
      <c r="M105" s="4"/>
      <c r="N105" s="4" t="s">
        <v>207</v>
      </c>
    </row>
    <row r="106" spans="1:14">
      <c r="A106" s="5">
        <v>45142</v>
      </c>
      <c r="B106" s="4" t="s">
        <v>21</v>
      </c>
      <c r="C106" s="4" t="s">
        <v>84</v>
      </c>
      <c r="D106" s="4" t="s">
        <v>5</v>
      </c>
      <c r="E106" s="4">
        <v>3</v>
      </c>
      <c r="F106" s="29">
        <v>0.35416666666666669</v>
      </c>
      <c r="G106" s="29">
        <v>0.41666666666666669</v>
      </c>
      <c r="H106" s="29">
        <f t="shared" si="3"/>
        <v>6.25E-2</v>
      </c>
      <c r="I106" s="28">
        <f t="shared" si="4"/>
        <v>1.5</v>
      </c>
      <c r="J106" s="28">
        <f t="shared" si="5"/>
        <v>90</v>
      </c>
      <c r="K106" s="4">
        <v>857</v>
      </c>
      <c r="L106" s="4" t="s">
        <v>59</v>
      </c>
      <c r="M106" s="4"/>
      <c r="N106" s="4" t="s">
        <v>80</v>
      </c>
    </row>
    <row r="107" spans="1:14">
      <c r="A107" s="5">
        <v>45142</v>
      </c>
      <c r="B107" s="4" t="s">
        <v>21</v>
      </c>
      <c r="C107" s="4" t="s">
        <v>84</v>
      </c>
      <c r="D107" s="4" t="s">
        <v>5</v>
      </c>
      <c r="E107" s="4">
        <v>4</v>
      </c>
      <c r="F107" s="29">
        <v>8.3333333333333329E-2</v>
      </c>
      <c r="G107" s="29">
        <v>0.125</v>
      </c>
      <c r="H107" s="29">
        <f t="shared" si="3"/>
        <v>4.1666666666666671E-2</v>
      </c>
      <c r="I107" s="28">
        <f t="shared" si="4"/>
        <v>1</v>
      </c>
      <c r="J107" s="28">
        <f t="shared" si="5"/>
        <v>60</v>
      </c>
      <c r="K107" s="4">
        <v>325</v>
      </c>
      <c r="L107" s="4" t="s">
        <v>62</v>
      </c>
      <c r="M107" s="4"/>
      <c r="N107" s="4" t="s">
        <v>80</v>
      </c>
    </row>
    <row r="108" spans="1:14">
      <c r="A108" s="5">
        <v>45142</v>
      </c>
      <c r="B108" s="4" t="s">
        <v>21</v>
      </c>
      <c r="C108" s="4" t="s">
        <v>84</v>
      </c>
      <c r="D108" s="4" t="s">
        <v>5</v>
      </c>
      <c r="E108" s="4">
        <v>4</v>
      </c>
      <c r="F108" s="29">
        <v>0.14583333333333334</v>
      </c>
      <c r="G108" s="29">
        <v>0.17708333333333334</v>
      </c>
      <c r="H108" s="29">
        <f t="shared" si="3"/>
        <v>3.125E-2</v>
      </c>
      <c r="I108" s="28">
        <f t="shared" si="4"/>
        <v>0.75</v>
      </c>
      <c r="J108" s="28">
        <f t="shared" si="5"/>
        <v>45</v>
      </c>
      <c r="K108" s="4">
        <v>313</v>
      </c>
      <c r="L108" s="4" t="s">
        <v>62</v>
      </c>
      <c r="M108" s="4"/>
      <c r="N108" s="4" t="s">
        <v>80</v>
      </c>
    </row>
    <row r="109" spans="1:14">
      <c r="A109" s="5">
        <v>45142</v>
      </c>
      <c r="B109" s="4" t="s">
        <v>16</v>
      </c>
      <c r="C109" s="4" t="s">
        <v>103</v>
      </c>
      <c r="D109" s="4" t="s">
        <v>16</v>
      </c>
      <c r="E109" s="4"/>
      <c r="F109" s="29">
        <v>0.41666666666666669</v>
      </c>
      <c r="G109" s="29">
        <v>0.44097222222222227</v>
      </c>
      <c r="H109" s="29">
        <f t="shared" si="3"/>
        <v>2.430555555555558E-2</v>
      </c>
      <c r="I109" s="28">
        <f t="shared" si="4"/>
        <v>0.58333333333333337</v>
      </c>
      <c r="J109" s="28">
        <f t="shared" si="5"/>
        <v>35</v>
      </c>
      <c r="K109" s="4"/>
      <c r="L109" s="4"/>
      <c r="M109" s="4"/>
      <c r="N109" s="4" t="s">
        <v>80</v>
      </c>
    </row>
    <row r="110" spans="1:14">
      <c r="A110" s="5">
        <v>45142</v>
      </c>
      <c r="B110" s="4" t="s">
        <v>15</v>
      </c>
      <c r="C110" s="4" t="s">
        <v>15</v>
      </c>
      <c r="D110" s="4" t="s">
        <v>16</v>
      </c>
      <c r="E110" s="4"/>
      <c r="F110" s="29">
        <v>0.44097222222222227</v>
      </c>
      <c r="G110" s="29">
        <v>0.58333333333333337</v>
      </c>
      <c r="H110" s="29">
        <f t="shared" si="3"/>
        <v>0.1423611111111111</v>
      </c>
      <c r="I110" s="28">
        <f t="shared" si="4"/>
        <v>3.4166666666666665</v>
      </c>
      <c r="J110" s="28">
        <f t="shared" si="5"/>
        <v>205</v>
      </c>
      <c r="K110" s="4"/>
      <c r="L110" s="4"/>
      <c r="M110" s="4" t="s">
        <v>104</v>
      </c>
      <c r="N110" s="4" t="s">
        <v>80</v>
      </c>
    </row>
    <row r="111" spans="1:14">
      <c r="A111" s="5">
        <v>45142</v>
      </c>
      <c r="B111" s="4" t="s">
        <v>15</v>
      </c>
      <c r="C111" s="4" t="s">
        <v>15</v>
      </c>
      <c r="D111" s="4" t="s">
        <v>16</v>
      </c>
      <c r="E111" s="4"/>
      <c r="F111" s="29">
        <v>0.67708333333333337</v>
      </c>
      <c r="G111" s="29">
        <v>0.70833333333333337</v>
      </c>
      <c r="H111" s="29">
        <f t="shared" si="3"/>
        <v>3.125E-2</v>
      </c>
      <c r="I111" s="28">
        <f t="shared" si="4"/>
        <v>0.75</v>
      </c>
      <c r="J111" s="28">
        <f t="shared" si="5"/>
        <v>45</v>
      </c>
      <c r="K111" s="4"/>
      <c r="L111" s="4"/>
      <c r="M111" s="4" t="s">
        <v>105</v>
      </c>
      <c r="N111" s="4" t="s">
        <v>80</v>
      </c>
    </row>
    <row r="112" spans="1:14">
      <c r="A112" s="5">
        <v>45142</v>
      </c>
      <c r="B112" s="4" t="s">
        <v>21</v>
      </c>
      <c r="C112" s="4" t="s">
        <v>84</v>
      </c>
      <c r="D112" s="4" t="s">
        <v>4</v>
      </c>
      <c r="E112" s="4">
        <v>2</v>
      </c>
      <c r="F112" s="29">
        <v>0.35416666666666669</v>
      </c>
      <c r="G112" s="29">
        <v>0.47569444444444442</v>
      </c>
      <c r="H112" s="29">
        <f t="shared" si="3"/>
        <v>0.12152777777777773</v>
      </c>
      <c r="I112" s="28">
        <f t="shared" si="4"/>
        <v>2.9166666666666665</v>
      </c>
      <c r="J112" s="28">
        <f t="shared" si="5"/>
        <v>175</v>
      </c>
      <c r="K112" s="4"/>
      <c r="L112" s="4"/>
      <c r="M112" s="4"/>
      <c r="N112" s="4" t="s">
        <v>244</v>
      </c>
    </row>
    <row r="113" spans="1:23">
      <c r="A113" s="5">
        <v>45142</v>
      </c>
      <c r="B113" s="4" t="s">
        <v>19</v>
      </c>
      <c r="C113" s="4" t="s">
        <v>73</v>
      </c>
      <c r="D113" s="4" t="s">
        <v>8</v>
      </c>
      <c r="E113" s="4"/>
      <c r="F113" s="29">
        <v>0.47569444444444442</v>
      </c>
      <c r="G113" s="29">
        <v>0.59722222222222221</v>
      </c>
      <c r="H113" s="29">
        <f t="shared" si="3"/>
        <v>0.12152777777777779</v>
      </c>
      <c r="I113" s="28">
        <f t="shared" si="4"/>
        <v>2.9166666666666665</v>
      </c>
      <c r="J113" s="28">
        <f t="shared" si="5"/>
        <v>175</v>
      </c>
      <c r="K113" s="4"/>
      <c r="L113" s="4"/>
      <c r="M113" s="4"/>
      <c r="N113" s="4" t="s">
        <v>244</v>
      </c>
    </row>
    <row r="114" spans="1:23">
      <c r="A114" s="5">
        <v>45142</v>
      </c>
      <c r="B114" s="4" t="s">
        <v>19</v>
      </c>
      <c r="C114" s="4" t="s">
        <v>73</v>
      </c>
      <c r="D114" s="4" t="s">
        <v>8</v>
      </c>
      <c r="E114" s="4"/>
      <c r="F114" s="29">
        <v>0.61805555555555558</v>
      </c>
      <c r="G114" s="29">
        <v>0.69791666666666663</v>
      </c>
      <c r="H114" s="29">
        <f t="shared" si="3"/>
        <v>7.9861111111111049E-2</v>
      </c>
      <c r="I114" s="28">
        <f t="shared" si="4"/>
        <v>1.9166666666666665</v>
      </c>
      <c r="J114" s="28">
        <f t="shared" si="5"/>
        <v>114.99999999999999</v>
      </c>
      <c r="K114" s="4"/>
      <c r="L114" s="4"/>
      <c r="M114" s="4"/>
      <c r="N114" s="4" t="s">
        <v>244</v>
      </c>
    </row>
    <row r="115" spans="1:23">
      <c r="A115" s="5">
        <v>45142</v>
      </c>
      <c r="B115" s="4" t="s">
        <v>27</v>
      </c>
      <c r="C115" s="4" t="s">
        <v>88</v>
      </c>
      <c r="D115" s="4" t="s">
        <v>146</v>
      </c>
      <c r="E115" s="4">
        <v>23</v>
      </c>
      <c r="F115" s="29">
        <v>0.375</v>
      </c>
      <c r="G115" s="29">
        <v>0.45833333333333331</v>
      </c>
      <c r="H115" s="29">
        <f t="shared" si="3"/>
        <v>8.3333333333333315E-2</v>
      </c>
      <c r="I115" s="28">
        <f t="shared" si="4"/>
        <v>2</v>
      </c>
      <c r="J115" s="28">
        <f t="shared" si="5"/>
        <v>120</v>
      </c>
      <c r="K115" s="4"/>
      <c r="L115" s="4"/>
      <c r="M115" s="4"/>
      <c r="N115" s="4" t="s">
        <v>227</v>
      </c>
    </row>
    <row r="116" spans="1:23">
      <c r="A116" s="5">
        <v>45142</v>
      </c>
      <c r="B116" s="4" t="s">
        <v>27</v>
      </c>
      <c r="C116" s="4" t="s">
        <v>88</v>
      </c>
      <c r="D116" s="4" t="s">
        <v>146</v>
      </c>
      <c r="E116" s="4">
        <v>23</v>
      </c>
      <c r="F116" s="29">
        <v>0.46875</v>
      </c>
      <c r="G116" s="29">
        <v>0.52083333333333337</v>
      </c>
      <c r="H116" s="29">
        <f t="shared" si="3"/>
        <v>5.208333333333337E-2</v>
      </c>
      <c r="I116" s="28">
        <f t="shared" si="4"/>
        <v>1.25</v>
      </c>
      <c r="J116" s="28">
        <f t="shared" si="5"/>
        <v>75</v>
      </c>
      <c r="K116" s="4"/>
      <c r="L116" s="4"/>
      <c r="M116" s="4"/>
      <c r="N116" s="4" t="s">
        <v>227</v>
      </c>
    </row>
    <row r="117" spans="1:23">
      <c r="A117" s="5">
        <v>45142</v>
      </c>
      <c r="B117" s="4" t="s">
        <v>27</v>
      </c>
      <c r="C117" s="4" t="s">
        <v>88</v>
      </c>
      <c r="D117" s="4" t="s">
        <v>146</v>
      </c>
      <c r="E117" s="4">
        <v>23</v>
      </c>
      <c r="F117" s="29">
        <v>0.54166666666666663</v>
      </c>
      <c r="G117" s="29">
        <v>0.60416666666666663</v>
      </c>
      <c r="H117" s="29">
        <f t="shared" si="3"/>
        <v>6.25E-2</v>
      </c>
      <c r="I117" s="28">
        <f t="shared" si="4"/>
        <v>1.5</v>
      </c>
      <c r="J117" s="28">
        <f t="shared" si="5"/>
        <v>90</v>
      </c>
      <c r="K117" s="4"/>
      <c r="L117" s="4"/>
      <c r="M117" s="4"/>
      <c r="N117" s="4" t="s">
        <v>227</v>
      </c>
    </row>
    <row r="118" spans="1:23">
      <c r="A118" s="20">
        <v>45145</v>
      </c>
      <c r="B118" s="4" t="s">
        <v>21</v>
      </c>
      <c r="C118" s="4" t="s">
        <v>106</v>
      </c>
      <c r="D118" s="4" t="s">
        <v>5</v>
      </c>
      <c r="E118" s="4">
        <v>4</v>
      </c>
      <c r="F118" s="30">
        <v>0.35416666666666669</v>
      </c>
      <c r="G118" s="30">
        <v>0.47569444444444442</v>
      </c>
      <c r="H118" s="29">
        <f t="shared" si="3"/>
        <v>0.12152777777777773</v>
      </c>
      <c r="I118" s="28">
        <f t="shared" si="4"/>
        <v>2.9166666666666665</v>
      </c>
      <c r="J118" s="28">
        <f t="shared" si="5"/>
        <v>175</v>
      </c>
      <c r="K118" s="4"/>
      <c r="L118" s="4" t="s">
        <v>247</v>
      </c>
      <c r="M118" s="4"/>
      <c r="N118" s="4" t="s">
        <v>210</v>
      </c>
    </row>
    <row r="119" spans="1:23">
      <c r="A119" s="20">
        <v>45145</v>
      </c>
      <c r="B119" s="4"/>
      <c r="C119" s="4" t="s">
        <v>107</v>
      </c>
      <c r="D119" s="4" t="s">
        <v>15</v>
      </c>
      <c r="E119" s="4"/>
      <c r="F119" s="30">
        <v>0.47569444444444442</v>
      </c>
      <c r="G119" s="30">
        <v>0.48958333333333331</v>
      </c>
      <c r="H119" s="29">
        <f t="shared" si="3"/>
        <v>1.3888888888888895E-2</v>
      </c>
      <c r="I119" s="28">
        <f t="shared" si="4"/>
        <v>0.33333333333333331</v>
      </c>
      <c r="J119" s="28">
        <f t="shared" si="5"/>
        <v>20</v>
      </c>
      <c r="K119" s="4"/>
      <c r="L119" s="4"/>
      <c r="M119" s="4"/>
      <c r="N119" s="4" t="s">
        <v>210</v>
      </c>
    </row>
    <row r="120" spans="1:23">
      <c r="A120" s="20">
        <v>45145</v>
      </c>
      <c r="B120" s="4" t="s">
        <v>21</v>
      </c>
      <c r="C120" s="4" t="s">
        <v>106</v>
      </c>
      <c r="D120" s="4" t="s">
        <v>5</v>
      </c>
      <c r="E120" s="4">
        <v>4</v>
      </c>
      <c r="F120" s="30">
        <v>0.48958333333333331</v>
      </c>
      <c r="G120" s="30">
        <v>0.53125</v>
      </c>
      <c r="H120" s="29">
        <f t="shared" si="3"/>
        <v>4.1666666666666685E-2</v>
      </c>
      <c r="I120" s="28">
        <f t="shared" si="4"/>
        <v>1</v>
      </c>
      <c r="J120" s="28">
        <f t="shared" si="5"/>
        <v>60</v>
      </c>
      <c r="K120" s="4">
        <v>2000</v>
      </c>
      <c r="L120" s="4" t="s">
        <v>59</v>
      </c>
      <c r="M120" s="4"/>
      <c r="N120" s="4" t="s">
        <v>210</v>
      </c>
    </row>
    <row r="121" spans="1:23">
      <c r="A121" s="20">
        <v>45145</v>
      </c>
      <c r="B121" s="4" t="s">
        <v>21</v>
      </c>
      <c r="C121" s="4" t="s">
        <v>106</v>
      </c>
      <c r="D121" s="4" t="s">
        <v>5</v>
      </c>
      <c r="E121" s="4">
        <v>5</v>
      </c>
      <c r="F121" s="30">
        <v>0.53125</v>
      </c>
      <c r="G121" s="30">
        <v>0.625</v>
      </c>
      <c r="H121" s="29">
        <f t="shared" si="3"/>
        <v>9.375E-2</v>
      </c>
      <c r="I121" s="28">
        <f t="shared" si="4"/>
        <v>2.25</v>
      </c>
      <c r="J121" s="28">
        <f t="shared" si="5"/>
        <v>135</v>
      </c>
      <c r="K121" s="4">
        <v>1443</v>
      </c>
      <c r="L121" s="4"/>
      <c r="M121" s="4"/>
      <c r="N121" s="4" t="s">
        <v>210</v>
      </c>
    </row>
    <row r="122" spans="1:23">
      <c r="A122" s="20">
        <v>45145</v>
      </c>
      <c r="B122" s="4" t="s">
        <v>21</v>
      </c>
      <c r="C122" s="4" t="s">
        <v>106</v>
      </c>
      <c r="D122" s="4" t="s">
        <v>5</v>
      </c>
      <c r="E122" s="4">
        <v>5</v>
      </c>
      <c r="F122" s="30">
        <v>0.64583333333333337</v>
      </c>
      <c r="G122" s="30">
        <v>0.70833333333333337</v>
      </c>
      <c r="H122" s="29">
        <f t="shared" si="3"/>
        <v>6.25E-2</v>
      </c>
      <c r="I122" s="28">
        <f t="shared" si="4"/>
        <v>1.5</v>
      </c>
      <c r="J122" s="28">
        <f t="shared" si="5"/>
        <v>90</v>
      </c>
      <c r="K122" s="4">
        <v>537</v>
      </c>
      <c r="L122" s="4" t="s">
        <v>248</v>
      </c>
      <c r="M122" s="4"/>
      <c r="N122" s="4" t="s">
        <v>210</v>
      </c>
      <c r="O122" s="37"/>
      <c r="P122" s="37"/>
      <c r="Q122" s="37"/>
      <c r="R122" s="37"/>
      <c r="S122" s="37"/>
      <c r="T122" s="37"/>
      <c r="U122" s="37"/>
      <c r="V122" s="37"/>
      <c r="W122" s="37"/>
    </row>
    <row r="123" spans="1:23">
      <c r="A123" s="20">
        <v>45145</v>
      </c>
      <c r="B123" s="4" t="s">
        <v>27</v>
      </c>
      <c r="C123" s="4" t="s">
        <v>88</v>
      </c>
      <c r="D123" s="4" t="s">
        <v>31</v>
      </c>
      <c r="E123" s="4">
        <v>33</v>
      </c>
      <c r="F123" s="30">
        <v>0.35416666666666669</v>
      </c>
      <c r="G123" s="30">
        <v>0.45833333333333331</v>
      </c>
      <c r="H123" s="29">
        <f t="shared" si="3"/>
        <v>0.10416666666666663</v>
      </c>
      <c r="I123" s="28">
        <f t="shared" si="4"/>
        <v>2.5</v>
      </c>
      <c r="J123" s="28">
        <f t="shared" si="5"/>
        <v>150</v>
      </c>
      <c r="K123" s="32">
        <v>0.4</v>
      </c>
      <c r="L123" s="4" t="s">
        <v>62</v>
      </c>
      <c r="M123" s="4"/>
      <c r="N123" s="4" t="s">
        <v>217</v>
      </c>
    </row>
    <row r="124" spans="1:23">
      <c r="A124" s="20">
        <v>45145</v>
      </c>
      <c r="B124" s="4" t="s">
        <v>27</v>
      </c>
      <c r="C124" s="4" t="s">
        <v>88</v>
      </c>
      <c r="D124" s="4" t="s">
        <v>31</v>
      </c>
      <c r="E124" s="4">
        <v>33</v>
      </c>
      <c r="F124" s="30">
        <v>0.46875</v>
      </c>
      <c r="G124" s="30">
        <v>0.52430555555555558</v>
      </c>
      <c r="H124" s="29">
        <f t="shared" si="3"/>
        <v>5.555555555555558E-2</v>
      </c>
      <c r="I124" s="28">
        <f t="shared" si="4"/>
        <v>1.3333333333333333</v>
      </c>
      <c r="J124" s="28">
        <f t="shared" si="5"/>
        <v>80</v>
      </c>
      <c r="K124" s="32">
        <v>0.7</v>
      </c>
      <c r="L124" s="4" t="s">
        <v>62</v>
      </c>
      <c r="M124" s="4"/>
      <c r="N124" s="4" t="s">
        <v>217</v>
      </c>
    </row>
    <row r="125" spans="1:23">
      <c r="A125" s="20">
        <v>45145</v>
      </c>
      <c r="B125" s="4" t="s">
        <v>27</v>
      </c>
      <c r="C125" s="4" t="s">
        <v>88</v>
      </c>
      <c r="D125" s="4" t="s">
        <v>31</v>
      </c>
      <c r="E125" s="4">
        <v>33</v>
      </c>
      <c r="F125" s="30">
        <v>0.54513888888888895</v>
      </c>
      <c r="G125" s="30">
        <v>0.63194444444444442</v>
      </c>
      <c r="H125" s="29">
        <f t="shared" si="3"/>
        <v>8.6805555555555469E-2</v>
      </c>
      <c r="I125" s="28">
        <f t="shared" si="4"/>
        <v>2.0833333333333335</v>
      </c>
      <c r="J125" s="28">
        <f t="shared" si="5"/>
        <v>125.00000000000001</v>
      </c>
      <c r="K125" s="32">
        <v>0.9</v>
      </c>
      <c r="L125" s="4" t="s">
        <v>62</v>
      </c>
      <c r="M125" s="4"/>
      <c r="N125" s="4" t="s">
        <v>217</v>
      </c>
    </row>
    <row r="126" spans="1:23">
      <c r="A126" s="20">
        <v>45145</v>
      </c>
      <c r="B126" s="4" t="s">
        <v>27</v>
      </c>
      <c r="C126" s="4" t="s">
        <v>88</v>
      </c>
      <c r="D126" s="4" t="s">
        <v>31</v>
      </c>
      <c r="E126" s="4">
        <v>33</v>
      </c>
      <c r="F126" s="30">
        <v>0.64236111111111105</v>
      </c>
      <c r="G126" s="30">
        <v>0.67708333333333337</v>
      </c>
      <c r="H126" s="29">
        <f t="shared" si="3"/>
        <v>3.4722222222222321E-2</v>
      </c>
      <c r="I126" s="28">
        <f t="shared" si="4"/>
        <v>0.83333333333333337</v>
      </c>
      <c r="J126" s="28">
        <f t="shared" si="5"/>
        <v>50</v>
      </c>
      <c r="K126" s="32">
        <v>1</v>
      </c>
      <c r="L126" s="4" t="s">
        <v>59</v>
      </c>
      <c r="M126" s="4"/>
      <c r="N126" s="4" t="s">
        <v>217</v>
      </c>
    </row>
    <row r="127" spans="1:23">
      <c r="A127" s="20">
        <v>45145</v>
      </c>
      <c r="B127" s="4" t="s">
        <v>27</v>
      </c>
      <c r="C127" s="4" t="s">
        <v>88</v>
      </c>
      <c r="D127" s="4" t="s">
        <v>31</v>
      </c>
      <c r="E127" s="4">
        <v>33</v>
      </c>
      <c r="F127" s="30">
        <v>0.68055555555555547</v>
      </c>
      <c r="G127" s="30">
        <v>0.70833333333333337</v>
      </c>
      <c r="H127" s="29">
        <f t="shared" si="3"/>
        <v>2.7777777777777901E-2</v>
      </c>
      <c r="I127" s="28">
        <f t="shared" si="4"/>
        <v>0.66666666666666663</v>
      </c>
      <c r="J127" s="28">
        <f t="shared" si="5"/>
        <v>40</v>
      </c>
      <c r="K127" s="32">
        <v>0.05</v>
      </c>
      <c r="L127" s="4" t="s">
        <v>62</v>
      </c>
      <c r="M127" s="4"/>
      <c r="N127" s="4" t="s">
        <v>217</v>
      </c>
    </row>
    <row r="128" spans="1:23">
      <c r="A128" s="20">
        <v>45145</v>
      </c>
      <c r="B128" s="4" t="s">
        <v>27</v>
      </c>
      <c r="C128" s="4" t="s">
        <v>88</v>
      </c>
      <c r="D128" s="4" t="s">
        <v>146</v>
      </c>
      <c r="E128" s="4">
        <v>25</v>
      </c>
      <c r="F128" s="30">
        <v>0.35416666666666669</v>
      </c>
      <c r="G128" s="30">
        <v>0.45833333333333331</v>
      </c>
      <c r="H128" s="29">
        <f t="shared" si="3"/>
        <v>0.10416666666666663</v>
      </c>
      <c r="I128" s="28">
        <f t="shared" si="4"/>
        <v>2.5</v>
      </c>
      <c r="J128" s="28">
        <f t="shared" si="5"/>
        <v>150</v>
      </c>
      <c r="K128" s="4"/>
      <c r="L128" s="4" t="s">
        <v>62</v>
      </c>
      <c r="M128" s="4" t="s">
        <v>151</v>
      </c>
      <c r="N128" s="4" t="s">
        <v>207</v>
      </c>
    </row>
    <row r="129" spans="1:14">
      <c r="A129" s="20">
        <v>45145</v>
      </c>
      <c r="B129" s="4" t="s">
        <v>27</v>
      </c>
      <c r="C129" s="4" t="s">
        <v>88</v>
      </c>
      <c r="D129" s="4" t="s">
        <v>146</v>
      </c>
      <c r="E129" s="4">
        <v>25</v>
      </c>
      <c r="F129" s="30">
        <v>0.46875</v>
      </c>
      <c r="G129" s="30">
        <v>0.52777777777777779</v>
      </c>
      <c r="H129" s="29">
        <f t="shared" si="3"/>
        <v>5.902777777777779E-2</v>
      </c>
      <c r="I129" s="28">
        <f t="shared" si="4"/>
        <v>1.4166666666666667</v>
      </c>
      <c r="J129" s="28">
        <f t="shared" si="5"/>
        <v>85</v>
      </c>
      <c r="K129" s="4"/>
      <c r="L129" s="4" t="s">
        <v>62</v>
      </c>
      <c r="M129" s="4"/>
      <c r="N129" s="4" t="s">
        <v>207</v>
      </c>
    </row>
    <row r="130" spans="1:14">
      <c r="A130" s="20">
        <v>45145</v>
      </c>
      <c r="B130" s="4" t="s">
        <v>27</v>
      </c>
      <c r="C130" s="4" t="s">
        <v>88</v>
      </c>
      <c r="D130" s="4" t="s">
        <v>146</v>
      </c>
      <c r="E130" s="4"/>
      <c r="F130" s="30">
        <v>0.54861111111111105</v>
      </c>
      <c r="G130" s="30">
        <v>0.55902777777777779</v>
      </c>
      <c r="H130" s="29">
        <f t="shared" ref="H130:H193" si="6">G130-F130</f>
        <v>1.0416666666666741E-2</v>
      </c>
      <c r="I130" s="28">
        <f t="shared" ref="I130:I193" si="7">HOUR(H130)+MINUTE(H130)/60</f>
        <v>0.25</v>
      </c>
      <c r="J130" s="28">
        <f t="shared" ref="J130:J193" si="8">I130*60</f>
        <v>15</v>
      </c>
      <c r="K130" s="4"/>
      <c r="L130" s="4" t="s">
        <v>62</v>
      </c>
      <c r="M130" s="4"/>
      <c r="N130" s="4" t="s">
        <v>207</v>
      </c>
    </row>
    <row r="131" spans="1:14">
      <c r="A131" s="20">
        <v>45145</v>
      </c>
      <c r="B131" s="4" t="s">
        <v>27</v>
      </c>
      <c r="C131" s="4" t="s">
        <v>88</v>
      </c>
      <c r="D131" s="4" t="s">
        <v>146</v>
      </c>
      <c r="E131" s="4" t="s">
        <v>152</v>
      </c>
      <c r="F131" s="30">
        <v>0.55902777777777779</v>
      </c>
      <c r="G131" s="30">
        <v>0.63194444444444442</v>
      </c>
      <c r="H131" s="29">
        <f t="shared" si="6"/>
        <v>7.291666666666663E-2</v>
      </c>
      <c r="I131" s="28">
        <f t="shared" si="7"/>
        <v>1.75</v>
      </c>
      <c r="J131" s="28">
        <f t="shared" si="8"/>
        <v>105</v>
      </c>
      <c r="K131" s="4"/>
      <c r="L131" s="4" t="s">
        <v>62</v>
      </c>
      <c r="M131" s="4"/>
      <c r="N131" s="4" t="s">
        <v>207</v>
      </c>
    </row>
    <row r="132" spans="1:14">
      <c r="A132" s="20">
        <v>45145</v>
      </c>
      <c r="B132" s="4" t="s">
        <v>27</v>
      </c>
      <c r="C132" s="4" t="s">
        <v>88</v>
      </c>
      <c r="D132" s="4" t="s">
        <v>146</v>
      </c>
      <c r="E132" s="4" t="s">
        <v>152</v>
      </c>
      <c r="F132" s="30">
        <v>0.64236111111111105</v>
      </c>
      <c r="G132" s="30">
        <v>0.70833333333333337</v>
      </c>
      <c r="H132" s="29">
        <f t="shared" si="6"/>
        <v>6.5972222222222321E-2</v>
      </c>
      <c r="I132" s="28">
        <f t="shared" si="7"/>
        <v>1.5833333333333335</v>
      </c>
      <c r="J132" s="28">
        <f t="shared" si="8"/>
        <v>95.000000000000014</v>
      </c>
      <c r="K132" s="4"/>
      <c r="L132" s="4" t="s">
        <v>62</v>
      </c>
      <c r="M132" s="4"/>
      <c r="N132" s="4" t="s">
        <v>207</v>
      </c>
    </row>
    <row r="133" spans="1:14">
      <c r="A133" s="20">
        <v>45145</v>
      </c>
      <c r="B133" s="4" t="s">
        <v>27</v>
      </c>
      <c r="C133" s="4" t="s">
        <v>88</v>
      </c>
      <c r="D133" s="4" t="s">
        <v>146</v>
      </c>
      <c r="E133" s="4">
        <v>23</v>
      </c>
      <c r="F133" s="30">
        <v>0.375</v>
      </c>
      <c r="G133" s="30">
        <v>0.44444444444444442</v>
      </c>
      <c r="H133" s="29">
        <f t="shared" si="6"/>
        <v>6.944444444444442E-2</v>
      </c>
      <c r="I133" s="28">
        <f t="shared" si="7"/>
        <v>1.6666666666666665</v>
      </c>
      <c r="J133" s="28">
        <f t="shared" si="8"/>
        <v>99.999999999999986</v>
      </c>
      <c r="K133" s="4"/>
      <c r="L133" s="4"/>
      <c r="M133" s="4"/>
      <c r="N133" s="4" t="s">
        <v>249</v>
      </c>
    </row>
    <row r="134" spans="1:14">
      <c r="A134" s="20">
        <v>45145</v>
      </c>
      <c r="B134" s="4" t="s">
        <v>27</v>
      </c>
      <c r="C134" s="4" t="s">
        <v>88</v>
      </c>
      <c r="D134" s="4" t="s">
        <v>146</v>
      </c>
      <c r="E134" s="4"/>
      <c r="F134" s="30">
        <v>0.46875</v>
      </c>
      <c r="G134" s="30">
        <v>0.52083333333333337</v>
      </c>
      <c r="H134" s="29">
        <f t="shared" si="6"/>
        <v>5.208333333333337E-2</v>
      </c>
      <c r="I134" s="28">
        <f t="shared" si="7"/>
        <v>1.25</v>
      </c>
      <c r="J134" s="28">
        <f t="shared" si="8"/>
        <v>75</v>
      </c>
      <c r="K134" s="4"/>
      <c r="L134" s="4"/>
      <c r="M134" s="4"/>
      <c r="N134" s="4" t="s">
        <v>249</v>
      </c>
    </row>
    <row r="135" spans="1:14">
      <c r="A135" s="20">
        <v>45145</v>
      </c>
      <c r="B135" s="4" t="s">
        <v>27</v>
      </c>
      <c r="C135" s="4" t="s">
        <v>88</v>
      </c>
      <c r="D135" s="4" t="s">
        <v>146</v>
      </c>
      <c r="E135" s="4"/>
      <c r="F135" s="30">
        <v>0.54166666666666663</v>
      </c>
      <c r="G135" s="30">
        <v>0.60416666666666663</v>
      </c>
      <c r="H135" s="29">
        <f t="shared" si="6"/>
        <v>6.25E-2</v>
      </c>
      <c r="I135" s="28">
        <f t="shared" si="7"/>
        <v>1.5</v>
      </c>
      <c r="J135" s="28">
        <f t="shared" si="8"/>
        <v>90</v>
      </c>
      <c r="K135" s="4"/>
      <c r="L135" s="4"/>
      <c r="M135" s="4"/>
      <c r="N135" s="4" t="s">
        <v>249</v>
      </c>
    </row>
    <row r="136" spans="1:14">
      <c r="A136" s="20">
        <v>45146</v>
      </c>
      <c r="B136" s="4" t="s">
        <v>27</v>
      </c>
      <c r="C136" s="4" t="s">
        <v>88</v>
      </c>
      <c r="D136" s="4" t="s">
        <v>146</v>
      </c>
      <c r="E136" s="4">
        <v>25</v>
      </c>
      <c r="F136" s="30">
        <v>0.35416666666666669</v>
      </c>
      <c r="G136" s="30">
        <v>0.45833333333333331</v>
      </c>
      <c r="H136" s="29">
        <f t="shared" si="6"/>
        <v>0.10416666666666663</v>
      </c>
      <c r="I136" s="28">
        <f t="shared" si="7"/>
        <v>2.5</v>
      </c>
      <c r="J136" s="28">
        <f t="shared" si="8"/>
        <v>150</v>
      </c>
      <c r="K136" s="4"/>
      <c r="L136" s="4" t="s">
        <v>62</v>
      </c>
      <c r="M136" s="4"/>
      <c r="N136" s="4" t="s">
        <v>207</v>
      </c>
    </row>
    <row r="137" spans="1:14">
      <c r="A137" s="20">
        <v>45146</v>
      </c>
      <c r="B137" s="4" t="s">
        <v>27</v>
      </c>
      <c r="C137" s="4" t="s">
        <v>88</v>
      </c>
      <c r="D137" s="4" t="s">
        <v>146</v>
      </c>
      <c r="E137" s="4">
        <v>25</v>
      </c>
      <c r="F137" s="30">
        <v>0.47916666666666669</v>
      </c>
      <c r="G137" s="30">
        <v>0.53819444444444442</v>
      </c>
      <c r="H137" s="29">
        <f t="shared" si="6"/>
        <v>5.9027777777777735E-2</v>
      </c>
      <c r="I137" s="28">
        <f t="shared" si="7"/>
        <v>1.4166666666666667</v>
      </c>
      <c r="J137" s="28">
        <f t="shared" si="8"/>
        <v>85</v>
      </c>
      <c r="K137" s="4"/>
      <c r="L137" s="4" t="s">
        <v>62</v>
      </c>
      <c r="M137" s="4"/>
      <c r="N137" s="4" t="s">
        <v>207</v>
      </c>
    </row>
    <row r="138" spans="1:14">
      <c r="A138" s="20">
        <v>45146</v>
      </c>
      <c r="B138" s="4" t="s">
        <v>153</v>
      </c>
      <c r="C138" s="4" t="s">
        <v>83</v>
      </c>
      <c r="D138" s="4" t="s">
        <v>8</v>
      </c>
      <c r="E138" s="4"/>
      <c r="F138" s="30">
        <v>0.53819444444444442</v>
      </c>
      <c r="G138" s="30">
        <v>0.625</v>
      </c>
      <c r="H138" s="29">
        <f t="shared" si="6"/>
        <v>8.680555555555558E-2</v>
      </c>
      <c r="I138" s="28">
        <f t="shared" si="7"/>
        <v>2.0833333333333335</v>
      </c>
      <c r="J138" s="28">
        <f t="shared" si="8"/>
        <v>125.00000000000001</v>
      </c>
      <c r="K138" s="4"/>
      <c r="L138" s="4"/>
      <c r="M138" s="4"/>
      <c r="N138" s="4" t="s">
        <v>207</v>
      </c>
    </row>
    <row r="139" spans="1:14">
      <c r="A139" s="20">
        <v>45146</v>
      </c>
      <c r="B139" s="4" t="s">
        <v>6</v>
      </c>
      <c r="C139" s="4" t="s">
        <v>83</v>
      </c>
      <c r="D139" s="4" t="s">
        <v>8</v>
      </c>
      <c r="E139" s="4"/>
      <c r="F139" s="30">
        <v>0.63541666666666663</v>
      </c>
      <c r="G139" s="30">
        <v>0.70833333333333337</v>
      </c>
      <c r="H139" s="29">
        <f t="shared" si="6"/>
        <v>7.2916666666666741E-2</v>
      </c>
      <c r="I139" s="28">
        <f t="shared" si="7"/>
        <v>1.75</v>
      </c>
      <c r="J139" s="28">
        <f t="shared" si="8"/>
        <v>105</v>
      </c>
      <c r="K139" s="4"/>
      <c r="L139" s="4" t="s">
        <v>62</v>
      </c>
      <c r="M139" s="4"/>
      <c r="N139" s="4" t="s">
        <v>207</v>
      </c>
    </row>
    <row r="140" spans="1:14">
      <c r="A140" s="20">
        <v>45146</v>
      </c>
      <c r="B140" s="4" t="s">
        <v>27</v>
      </c>
      <c r="C140" s="4" t="s">
        <v>88</v>
      </c>
      <c r="D140" s="4" t="s">
        <v>31</v>
      </c>
      <c r="E140" s="4">
        <v>34</v>
      </c>
      <c r="F140" s="30">
        <v>0.35416666666666669</v>
      </c>
      <c r="G140" s="30">
        <v>0.45833333333333331</v>
      </c>
      <c r="H140" s="29">
        <f t="shared" si="6"/>
        <v>0.10416666666666663</v>
      </c>
      <c r="I140" s="28">
        <f t="shared" si="7"/>
        <v>2.5</v>
      </c>
      <c r="J140" s="28">
        <f t="shared" si="8"/>
        <v>150</v>
      </c>
      <c r="K140" s="32">
        <v>0.8</v>
      </c>
      <c r="L140" s="4" t="s">
        <v>62</v>
      </c>
      <c r="M140" s="4"/>
      <c r="N140" s="4" t="s">
        <v>217</v>
      </c>
    </row>
    <row r="141" spans="1:14">
      <c r="A141" s="20">
        <v>45146</v>
      </c>
      <c r="B141" s="4" t="s">
        <v>27</v>
      </c>
      <c r="C141" s="4" t="s">
        <v>88</v>
      </c>
      <c r="D141" s="4" t="s">
        <v>31</v>
      </c>
      <c r="E141" s="4">
        <v>34</v>
      </c>
      <c r="F141" s="30">
        <v>0.46875</v>
      </c>
      <c r="G141" s="30">
        <v>0.52083333333333337</v>
      </c>
      <c r="H141" s="29">
        <f t="shared" si="6"/>
        <v>5.208333333333337E-2</v>
      </c>
      <c r="I141" s="28">
        <f t="shared" si="7"/>
        <v>1.25</v>
      </c>
      <c r="J141" s="28">
        <f t="shared" si="8"/>
        <v>75</v>
      </c>
      <c r="K141" s="32">
        <v>0.9</v>
      </c>
      <c r="L141" s="4" t="s">
        <v>62</v>
      </c>
      <c r="M141" s="4"/>
      <c r="N141" s="4" t="s">
        <v>217</v>
      </c>
    </row>
    <row r="142" spans="1:14">
      <c r="A142" s="20">
        <v>45146</v>
      </c>
      <c r="B142" s="4" t="s">
        <v>27</v>
      </c>
      <c r="C142" s="4" t="s">
        <v>88</v>
      </c>
      <c r="D142" s="4" t="s">
        <v>31</v>
      </c>
      <c r="E142" s="4">
        <v>34</v>
      </c>
      <c r="F142" s="30">
        <v>0.54166666666666663</v>
      </c>
      <c r="G142" s="30">
        <v>0.62152777777777779</v>
      </c>
      <c r="H142" s="29">
        <f t="shared" si="6"/>
        <v>7.986111111111116E-2</v>
      </c>
      <c r="I142" s="28">
        <f t="shared" si="7"/>
        <v>1.9166666666666665</v>
      </c>
      <c r="J142" s="28">
        <f t="shared" si="8"/>
        <v>114.99999999999999</v>
      </c>
      <c r="K142" s="32">
        <v>1</v>
      </c>
      <c r="L142" s="4" t="s">
        <v>59</v>
      </c>
      <c r="M142" s="4"/>
      <c r="N142" s="4" t="s">
        <v>217</v>
      </c>
    </row>
    <row r="143" spans="1:14">
      <c r="A143" s="20">
        <v>45146</v>
      </c>
      <c r="B143" s="4" t="s">
        <v>27</v>
      </c>
      <c r="C143" s="4" t="s">
        <v>88</v>
      </c>
      <c r="D143" s="4" t="s">
        <v>31</v>
      </c>
      <c r="E143" s="4">
        <v>39</v>
      </c>
      <c r="F143" s="30">
        <v>0.63541666666666663</v>
      </c>
      <c r="G143" s="30">
        <v>0.70833333333333337</v>
      </c>
      <c r="H143" s="29">
        <f t="shared" si="6"/>
        <v>7.2916666666666741E-2</v>
      </c>
      <c r="I143" s="28">
        <f t="shared" si="7"/>
        <v>1.75</v>
      </c>
      <c r="J143" s="28">
        <f t="shared" si="8"/>
        <v>105</v>
      </c>
      <c r="K143" s="32">
        <v>0.35</v>
      </c>
      <c r="L143" s="4" t="s">
        <v>62</v>
      </c>
      <c r="M143" s="4"/>
      <c r="N143" s="4" t="s">
        <v>217</v>
      </c>
    </row>
    <row r="144" spans="1:14">
      <c r="A144" s="20">
        <v>45146</v>
      </c>
      <c r="B144" s="4" t="s">
        <v>21</v>
      </c>
      <c r="C144" s="4" t="s">
        <v>106</v>
      </c>
      <c r="D144" s="4" t="s">
        <v>5</v>
      </c>
      <c r="E144" s="4">
        <v>5</v>
      </c>
      <c r="F144" s="30">
        <v>0.35416666666666669</v>
      </c>
      <c r="G144" s="30">
        <v>0.4375</v>
      </c>
      <c r="H144" s="29">
        <f t="shared" si="6"/>
        <v>8.3333333333333315E-2</v>
      </c>
      <c r="I144" s="28">
        <f t="shared" si="7"/>
        <v>2</v>
      </c>
      <c r="J144" s="28">
        <f t="shared" si="8"/>
        <v>120</v>
      </c>
      <c r="K144" s="4">
        <v>1300</v>
      </c>
      <c r="L144" s="4" t="s">
        <v>59</v>
      </c>
      <c r="M144" s="4"/>
      <c r="N144" s="4"/>
    </row>
    <row r="145" spans="1:14">
      <c r="A145" s="20">
        <v>45146</v>
      </c>
      <c r="B145" s="4" t="s">
        <v>27</v>
      </c>
      <c r="C145" s="4" t="s">
        <v>88</v>
      </c>
      <c r="D145" s="4" t="s">
        <v>29</v>
      </c>
      <c r="E145" s="4"/>
      <c r="F145" s="30">
        <v>0.4375</v>
      </c>
      <c r="G145" s="30">
        <v>0.47916666666666669</v>
      </c>
      <c r="H145" s="29">
        <f t="shared" si="6"/>
        <v>4.1666666666666685E-2</v>
      </c>
      <c r="I145" s="28">
        <f t="shared" si="7"/>
        <v>1</v>
      </c>
      <c r="J145" s="28">
        <f t="shared" si="8"/>
        <v>60</v>
      </c>
      <c r="K145" s="4"/>
      <c r="L145" s="4"/>
      <c r="M145" s="4" t="s">
        <v>108</v>
      </c>
      <c r="N145" s="4" t="s">
        <v>210</v>
      </c>
    </row>
    <row r="146" spans="1:14">
      <c r="A146" s="20">
        <v>45146</v>
      </c>
      <c r="B146" s="4" t="s">
        <v>27</v>
      </c>
      <c r="C146" s="4" t="s">
        <v>88</v>
      </c>
      <c r="D146" s="4" t="s">
        <v>5</v>
      </c>
      <c r="E146" s="4">
        <v>262</v>
      </c>
      <c r="F146" s="30">
        <v>0.47916666666666669</v>
      </c>
      <c r="G146" s="30">
        <v>0.59375</v>
      </c>
      <c r="H146" s="29">
        <f t="shared" si="6"/>
        <v>0.11458333333333331</v>
      </c>
      <c r="I146" s="28">
        <f t="shared" si="7"/>
        <v>2.75</v>
      </c>
      <c r="J146" s="28">
        <f t="shared" si="8"/>
        <v>165</v>
      </c>
      <c r="K146" s="4">
        <v>2542</v>
      </c>
      <c r="L146" s="4"/>
      <c r="M146" s="4"/>
      <c r="N146" s="4" t="s">
        <v>210</v>
      </c>
    </row>
    <row r="147" spans="1:14">
      <c r="A147" s="20">
        <v>45146</v>
      </c>
      <c r="B147" s="4"/>
      <c r="C147" s="4" t="s">
        <v>109</v>
      </c>
      <c r="D147" s="4"/>
      <c r="E147" s="4">
        <v>82</v>
      </c>
      <c r="F147" s="30">
        <v>0.51041666666666663</v>
      </c>
      <c r="G147" s="30">
        <v>0.63541666666666663</v>
      </c>
      <c r="H147" s="29">
        <f t="shared" si="6"/>
        <v>0.125</v>
      </c>
      <c r="I147" s="28">
        <f t="shared" si="7"/>
        <v>3</v>
      </c>
      <c r="J147" s="28">
        <f t="shared" si="8"/>
        <v>180</v>
      </c>
      <c r="K147" s="4"/>
      <c r="L147" s="4"/>
      <c r="M147" s="4"/>
      <c r="N147" s="4" t="s">
        <v>210</v>
      </c>
    </row>
    <row r="148" spans="1:14">
      <c r="A148" s="20">
        <v>45146</v>
      </c>
      <c r="B148" s="4" t="s">
        <v>27</v>
      </c>
      <c r="C148" s="4" t="s">
        <v>88</v>
      </c>
      <c r="D148" s="4" t="s">
        <v>28</v>
      </c>
      <c r="E148" s="4"/>
      <c r="F148" s="30">
        <v>0.65625</v>
      </c>
      <c r="G148" s="30">
        <v>0.66666666666666663</v>
      </c>
      <c r="H148" s="29">
        <f t="shared" si="6"/>
        <v>1.041666666666663E-2</v>
      </c>
      <c r="I148" s="28">
        <f t="shared" si="7"/>
        <v>0.25</v>
      </c>
      <c r="J148" s="28">
        <f t="shared" si="8"/>
        <v>15</v>
      </c>
      <c r="K148" s="4"/>
      <c r="L148" s="4"/>
      <c r="M148" s="4" t="s">
        <v>110</v>
      </c>
      <c r="N148" s="4" t="s">
        <v>210</v>
      </c>
    </row>
    <row r="149" spans="1:14">
      <c r="A149" s="20">
        <v>45146</v>
      </c>
      <c r="B149" s="4" t="s">
        <v>27</v>
      </c>
      <c r="C149" s="4" t="s">
        <v>88</v>
      </c>
      <c r="D149" s="4" t="s">
        <v>5</v>
      </c>
      <c r="E149" s="4">
        <v>26</v>
      </c>
      <c r="F149" s="30">
        <v>0.66666666666666663</v>
      </c>
      <c r="G149" s="30">
        <v>0.70833333333333337</v>
      </c>
      <c r="H149" s="29">
        <f t="shared" si="6"/>
        <v>4.1666666666666741E-2</v>
      </c>
      <c r="I149" s="28">
        <f t="shared" si="7"/>
        <v>1</v>
      </c>
      <c r="J149" s="28">
        <f t="shared" si="8"/>
        <v>60</v>
      </c>
      <c r="K149" s="4">
        <v>400</v>
      </c>
      <c r="L149" s="4"/>
      <c r="M149" s="4"/>
      <c r="N149" s="4" t="s">
        <v>210</v>
      </c>
    </row>
    <row r="150" spans="1:14">
      <c r="A150" s="36">
        <v>45147</v>
      </c>
      <c r="B150" s="6" t="s">
        <v>27</v>
      </c>
      <c r="C150" s="6" t="s">
        <v>88</v>
      </c>
      <c r="D150" s="6" t="s">
        <v>5</v>
      </c>
      <c r="E150" s="6">
        <v>26</v>
      </c>
      <c r="F150" s="35">
        <v>0.35416666666666669</v>
      </c>
      <c r="G150" s="35">
        <v>0.39583333333333331</v>
      </c>
      <c r="H150" s="34">
        <f t="shared" si="6"/>
        <v>4.166666666666663E-2</v>
      </c>
      <c r="I150" s="33">
        <f t="shared" si="7"/>
        <v>1</v>
      </c>
      <c r="J150" s="33">
        <f t="shared" si="8"/>
        <v>60</v>
      </c>
      <c r="K150" s="6">
        <v>805</v>
      </c>
      <c r="L150" s="6"/>
      <c r="M150" s="6"/>
      <c r="N150" s="6" t="s">
        <v>210</v>
      </c>
    </row>
    <row r="151" spans="1:14">
      <c r="A151" s="20">
        <v>45147</v>
      </c>
      <c r="B151" s="4" t="s">
        <v>38</v>
      </c>
      <c r="C151" s="4" t="s">
        <v>15</v>
      </c>
      <c r="D151" s="4" t="s">
        <v>15</v>
      </c>
      <c r="E151" s="4"/>
      <c r="F151" s="30">
        <v>0.39583333333333331</v>
      </c>
      <c r="G151" s="30">
        <v>0.44791666666666669</v>
      </c>
      <c r="H151" s="29">
        <f t="shared" si="6"/>
        <v>5.208333333333337E-2</v>
      </c>
      <c r="I151" s="28">
        <f t="shared" si="7"/>
        <v>1.25</v>
      </c>
      <c r="J151" s="28">
        <f t="shared" si="8"/>
        <v>75</v>
      </c>
      <c r="K151" s="4"/>
      <c r="L151" s="4"/>
      <c r="M151" s="4"/>
      <c r="N151" s="4" t="s">
        <v>210</v>
      </c>
    </row>
    <row r="152" spans="1:14">
      <c r="A152" s="20">
        <v>45147</v>
      </c>
      <c r="B152" s="4" t="s">
        <v>40</v>
      </c>
      <c r="C152" s="4" t="s">
        <v>111</v>
      </c>
      <c r="D152" s="4" t="s">
        <v>154</v>
      </c>
      <c r="E152" s="4">
        <v>1</v>
      </c>
      <c r="F152" s="30">
        <v>0.47916666666666669</v>
      </c>
      <c r="G152" s="30">
        <v>0.73611111111111116</v>
      </c>
      <c r="H152" s="29">
        <f t="shared" si="6"/>
        <v>0.25694444444444448</v>
      </c>
      <c r="I152" s="28">
        <f t="shared" si="7"/>
        <v>6.166666666666667</v>
      </c>
      <c r="J152" s="28">
        <f t="shared" si="8"/>
        <v>370</v>
      </c>
      <c r="K152" s="4">
        <v>372</v>
      </c>
      <c r="L152" s="4"/>
      <c r="M152" s="4" t="s">
        <v>112</v>
      </c>
      <c r="N152" s="4" t="s">
        <v>210</v>
      </c>
    </row>
    <row r="153" spans="1:14">
      <c r="A153" s="20">
        <v>45147</v>
      </c>
      <c r="B153" s="4" t="s">
        <v>6</v>
      </c>
      <c r="C153" s="4" t="s">
        <v>113</v>
      </c>
      <c r="D153" s="4" t="s">
        <v>130</v>
      </c>
      <c r="E153" s="4"/>
      <c r="F153" s="30">
        <v>0.375</v>
      </c>
      <c r="G153" s="30">
        <v>0.45833333333333331</v>
      </c>
      <c r="H153" s="29">
        <f t="shared" si="6"/>
        <v>8.3333333333333315E-2</v>
      </c>
      <c r="I153" s="28">
        <f t="shared" si="7"/>
        <v>2</v>
      </c>
      <c r="J153" s="28">
        <f t="shared" si="8"/>
        <v>120</v>
      </c>
      <c r="K153" s="4"/>
      <c r="L153" s="4"/>
      <c r="M153" s="4"/>
      <c r="N153" s="4" t="s">
        <v>227</v>
      </c>
    </row>
    <row r="154" spans="1:14">
      <c r="A154" s="20">
        <v>45147</v>
      </c>
      <c r="B154" s="4" t="s">
        <v>21</v>
      </c>
      <c r="C154" s="4" t="s">
        <v>106</v>
      </c>
      <c r="D154" s="4" t="s">
        <v>155</v>
      </c>
      <c r="E154" s="4"/>
      <c r="F154" s="30">
        <v>0.46875</v>
      </c>
      <c r="G154" s="30">
        <v>0.52083333333333337</v>
      </c>
      <c r="H154" s="29">
        <f t="shared" si="6"/>
        <v>5.208333333333337E-2</v>
      </c>
      <c r="I154" s="28">
        <f t="shared" si="7"/>
        <v>1.25</v>
      </c>
      <c r="J154" s="28">
        <f t="shared" si="8"/>
        <v>75</v>
      </c>
      <c r="K154" s="4"/>
      <c r="L154" s="4"/>
      <c r="M154" s="4"/>
      <c r="N154" s="4" t="s">
        <v>227</v>
      </c>
    </row>
    <row r="155" spans="1:14">
      <c r="A155" s="20">
        <v>45147</v>
      </c>
      <c r="B155" s="4" t="s">
        <v>21</v>
      </c>
      <c r="C155" s="4" t="s">
        <v>106</v>
      </c>
      <c r="D155" s="4" t="s">
        <v>155</v>
      </c>
      <c r="E155" s="4"/>
      <c r="F155" s="30">
        <v>0.54166666666666663</v>
      </c>
      <c r="G155" s="30">
        <v>0.60416666666666663</v>
      </c>
      <c r="H155" s="29">
        <f t="shared" si="6"/>
        <v>6.25E-2</v>
      </c>
      <c r="I155" s="28">
        <f t="shared" si="7"/>
        <v>1.5</v>
      </c>
      <c r="J155" s="28">
        <f t="shared" si="8"/>
        <v>90</v>
      </c>
      <c r="K155" s="4"/>
      <c r="L155" s="4" t="s">
        <v>62</v>
      </c>
      <c r="M155" s="4" t="s">
        <v>114</v>
      </c>
      <c r="N155" s="4" t="s">
        <v>227</v>
      </c>
    </row>
    <row r="156" spans="1:14">
      <c r="A156" s="20">
        <v>45147</v>
      </c>
      <c r="B156" s="4" t="s">
        <v>21</v>
      </c>
      <c r="C156" s="4" t="s">
        <v>106</v>
      </c>
      <c r="D156" s="4" t="s">
        <v>4</v>
      </c>
      <c r="E156" s="4">
        <v>3</v>
      </c>
      <c r="F156" s="30">
        <v>0.5625</v>
      </c>
      <c r="G156" s="30">
        <v>0.76041666666666663</v>
      </c>
      <c r="H156" s="29">
        <f t="shared" si="6"/>
        <v>0.19791666666666663</v>
      </c>
      <c r="I156" s="28">
        <f t="shared" si="7"/>
        <v>4.75</v>
      </c>
      <c r="J156" s="28">
        <f t="shared" si="8"/>
        <v>285</v>
      </c>
      <c r="K156" s="4"/>
      <c r="L156" s="4" t="s">
        <v>59</v>
      </c>
      <c r="M156" s="4"/>
      <c r="N156" s="4" t="s">
        <v>223</v>
      </c>
    </row>
    <row r="157" spans="1:14">
      <c r="A157" s="20">
        <v>45147</v>
      </c>
      <c r="B157" s="4" t="s">
        <v>27</v>
      </c>
      <c r="C157" s="4" t="s">
        <v>88</v>
      </c>
      <c r="D157" s="4" t="s">
        <v>31</v>
      </c>
      <c r="E157" s="4">
        <v>39</v>
      </c>
      <c r="F157" s="30">
        <v>0.35416666666666669</v>
      </c>
      <c r="G157" s="30">
        <v>0.46875</v>
      </c>
      <c r="H157" s="29">
        <f t="shared" si="6"/>
        <v>0.11458333333333331</v>
      </c>
      <c r="I157" s="28">
        <f t="shared" si="7"/>
        <v>2.75</v>
      </c>
      <c r="J157" s="28">
        <f t="shared" si="8"/>
        <v>165</v>
      </c>
      <c r="K157" s="32">
        <v>0.9</v>
      </c>
      <c r="L157" s="4" t="s">
        <v>62</v>
      </c>
      <c r="M157" s="4"/>
      <c r="N157" s="4" t="s">
        <v>217</v>
      </c>
    </row>
    <row r="158" spans="1:14">
      <c r="A158" s="20">
        <v>45147</v>
      </c>
      <c r="B158" s="4" t="s">
        <v>27</v>
      </c>
      <c r="C158" s="4" t="s">
        <v>88</v>
      </c>
      <c r="D158" s="4" t="s">
        <v>3</v>
      </c>
      <c r="E158" s="4">
        <v>39</v>
      </c>
      <c r="F158" s="30">
        <v>0.47916666666666669</v>
      </c>
      <c r="G158" s="30">
        <v>0.50347222222222221</v>
      </c>
      <c r="H158" s="29">
        <f t="shared" si="6"/>
        <v>2.4305555555555525E-2</v>
      </c>
      <c r="I158" s="28">
        <f t="shared" si="7"/>
        <v>0.58333333333333337</v>
      </c>
      <c r="J158" s="28">
        <f t="shared" si="8"/>
        <v>35</v>
      </c>
      <c r="K158" s="32">
        <v>1</v>
      </c>
      <c r="L158" s="4" t="s">
        <v>59</v>
      </c>
      <c r="M158" s="4"/>
      <c r="N158" s="4" t="s">
        <v>217</v>
      </c>
    </row>
    <row r="159" spans="1:14">
      <c r="A159" s="20">
        <v>45147</v>
      </c>
      <c r="B159" s="4" t="s">
        <v>27</v>
      </c>
      <c r="C159" s="4" t="s">
        <v>88</v>
      </c>
      <c r="D159" s="4" t="s">
        <v>31</v>
      </c>
      <c r="E159" s="4">
        <v>40</v>
      </c>
      <c r="F159" s="30">
        <v>0.5083333333333333</v>
      </c>
      <c r="G159" s="30">
        <v>0.52430555555555558</v>
      </c>
      <c r="H159" s="29">
        <f t="shared" si="6"/>
        <v>1.5972222222222276E-2</v>
      </c>
      <c r="I159" s="28">
        <f t="shared" si="7"/>
        <v>0.38333333333333336</v>
      </c>
      <c r="J159" s="28">
        <f t="shared" si="8"/>
        <v>23</v>
      </c>
      <c r="K159" s="32">
        <v>0.01</v>
      </c>
      <c r="L159" s="4" t="s">
        <v>62</v>
      </c>
      <c r="M159" s="4"/>
      <c r="N159" s="4" t="s">
        <v>217</v>
      </c>
    </row>
    <row r="160" spans="1:14">
      <c r="A160" s="20">
        <v>45147</v>
      </c>
      <c r="B160" s="4" t="s">
        <v>27</v>
      </c>
      <c r="C160" s="4" t="s">
        <v>88</v>
      </c>
      <c r="D160" s="4" t="s">
        <v>31</v>
      </c>
      <c r="E160" s="4">
        <v>40</v>
      </c>
      <c r="F160" s="30">
        <v>0.54166666666666663</v>
      </c>
      <c r="G160" s="30">
        <v>0.625</v>
      </c>
      <c r="H160" s="29">
        <f t="shared" si="6"/>
        <v>8.333333333333337E-2</v>
      </c>
      <c r="I160" s="28">
        <f t="shared" si="7"/>
        <v>2</v>
      </c>
      <c r="J160" s="28">
        <f t="shared" si="8"/>
        <v>120</v>
      </c>
      <c r="K160" s="32">
        <v>0.5</v>
      </c>
      <c r="L160" s="4" t="s">
        <v>62</v>
      </c>
      <c r="M160" s="4"/>
      <c r="N160" s="4" t="s">
        <v>217</v>
      </c>
    </row>
    <row r="161" spans="1:14">
      <c r="A161" s="20">
        <v>45147</v>
      </c>
      <c r="B161" s="4" t="s">
        <v>27</v>
      </c>
      <c r="C161" s="4" t="s">
        <v>88</v>
      </c>
      <c r="D161" s="4" t="s">
        <v>3</v>
      </c>
      <c r="E161" s="4">
        <v>40</v>
      </c>
      <c r="F161" s="30">
        <v>0.63541666666666663</v>
      </c>
      <c r="G161" s="30">
        <v>0.70833333333333337</v>
      </c>
      <c r="H161" s="29">
        <f t="shared" si="6"/>
        <v>7.2916666666666741E-2</v>
      </c>
      <c r="I161" s="28">
        <f t="shared" si="7"/>
        <v>1.75</v>
      </c>
      <c r="J161" s="28">
        <f t="shared" si="8"/>
        <v>105</v>
      </c>
      <c r="K161" s="32">
        <v>0.85</v>
      </c>
      <c r="L161" s="4" t="s">
        <v>62</v>
      </c>
      <c r="M161" s="4"/>
      <c r="N161" s="4" t="s">
        <v>217</v>
      </c>
    </row>
    <row r="162" spans="1:14">
      <c r="A162" s="20">
        <v>45147</v>
      </c>
      <c r="B162" s="4" t="s">
        <v>6</v>
      </c>
      <c r="C162" s="4" t="s">
        <v>83</v>
      </c>
      <c r="D162" s="4" t="s">
        <v>8</v>
      </c>
      <c r="E162" s="4"/>
      <c r="F162" s="30">
        <v>0.35416666666666669</v>
      </c>
      <c r="G162" s="30">
        <v>0.4548611111111111</v>
      </c>
      <c r="H162" s="29">
        <f t="shared" si="6"/>
        <v>0.10069444444444442</v>
      </c>
      <c r="I162" s="28">
        <f t="shared" si="7"/>
        <v>2.4166666666666665</v>
      </c>
      <c r="J162" s="28">
        <f t="shared" si="8"/>
        <v>145</v>
      </c>
      <c r="K162" s="4"/>
      <c r="L162" s="4" t="s">
        <v>59</v>
      </c>
      <c r="M162" s="4" t="s">
        <v>10</v>
      </c>
      <c r="N162" s="4" t="s">
        <v>207</v>
      </c>
    </row>
    <row r="163" spans="1:14">
      <c r="A163" s="20">
        <v>45147</v>
      </c>
      <c r="B163" s="4" t="s">
        <v>6</v>
      </c>
      <c r="C163" s="4" t="s">
        <v>83</v>
      </c>
      <c r="D163" s="4" t="s">
        <v>250</v>
      </c>
      <c r="E163" s="4"/>
      <c r="F163" s="30">
        <v>0.47569444444444442</v>
      </c>
      <c r="G163" s="30">
        <v>0.48333333333333334</v>
      </c>
      <c r="H163" s="29">
        <f t="shared" si="6"/>
        <v>7.6388888888889173E-3</v>
      </c>
      <c r="I163" s="28">
        <f t="shared" si="7"/>
        <v>0.18333333333333332</v>
      </c>
      <c r="J163" s="28">
        <f t="shared" si="8"/>
        <v>11</v>
      </c>
      <c r="K163" s="4">
        <v>315</v>
      </c>
      <c r="L163" s="4" t="s">
        <v>59</v>
      </c>
      <c r="M163" s="4" t="s">
        <v>115</v>
      </c>
      <c r="N163" s="4" t="s">
        <v>207</v>
      </c>
    </row>
    <row r="164" spans="1:14">
      <c r="A164" s="20">
        <v>45147</v>
      </c>
      <c r="B164" s="4" t="s">
        <v>6</v>
      </c>
      <c r="C164" s="4" t="s">
        <v>83</v>
      </c>
      <c r="D164" s="4" t="s">
        <v>251</v>
      </c>
      <c r="E164" s="4"/>
      <c r="F164" s="30">
        <v>0.48333333333333334</v>
      </c>
      <c r="G164" s="30">
        <v>0.50694444444444442</v>
      </c>
      <c r="H164" s="29">
        <f t="shared" si="6"/>
        <v>2.3611111111111083E-2</v>
      </c>
      <c r="I164" s="28">
        <f t="shared" si="7"/>
        <v>0.56666666666666665</v>
      </c>
      <c r="J164" s="28">
        <f t="shared" si="8"/>
        <v>34</v>
      </c>
      <c r="K164" s="4">
        <v>575</v>
      </c>
      <c r="L164" s="4" t="s">
        <v>59</v>
      </c>
      <c r="M164" s="4" t="s">
        <v>116</v>
      </c>
      <c r="N164" s="4" t="s">
        <v>207</v>
      </c>
    </row>
    <row r="165" spans="1:14">
      <c r="A165" s="20">
        <v>45147</v>
      </c>
      <c r="B165" s="4" t="s">
        <v>6</v>
      </c>
      <c r="C165" s="4" t="s">
        <v>83</v>
      </c>
      <c r="D165" s="4" t="s">
        <v>252</v>
      </c>
      <c r="E165" s="4"/>
      <c r="F165" s="30">
        <v>0.50694444444444442</v>
      </c>
      <c r="G165" s="30">
        <v>0.52083333333333337</v>
      </c>
      <c r="H165" s="29">
        <f t="shared" si="6"/>
        <v>1.3888888888888951E-2</v>
      </c>
      <c r="I165" s="28">
        <f t="shared" si="7"/>
        <v>0.33333333333333331</v>
      </c>
      <c r="J165" s="28">
        <f t="shared" si="8"/>
        <v>20</v>
      </c>
      <c r="K165" s="4">
        <v>195</v>
      </c>
      <c r="L165" s="4" t="s">
        <v>59</v>
      </c>
      <c r="M165" s="4"/>
      <c r="N165" s="4" t="s">
        <v>207</v>
      </c>
    </row>
    <row r="166" spans="1:14">
      <c r="A166" s="20">
        <v>45147</v>
      </c>
      <c r="B166" s="4" t="s">
        <v>27</v>
      </c>
      <c r="C166" s="4" t="s">
        <v>88</v>
      </c>
      <c r="D166" s="4" t="s">
        <v>253</v>
      </c>
      <c r="E166" s="4">
        <v>25</v>
      </c>
      <c r="F166" s="30">
        <v>0.54513888888888895</v>
      </c>
      <c r="G166" s="30">
        <v>0.625</v>
      </c>
      <c r="H166" s="29">
        <f t="shared" si="6"/>
        <v>7.9861111111111049E-2</v>
      </c>
      <c r="I166" s="28">
        <f t="shared" si="7"/>
        <v>1.9166666666666665</v>
      </c>
      <c r="J166" s="28">
        <f t="shared" si="8"/>
        <v>114.99999999999999</v>
      </c>
      <c r="K166" s="4"/>
      <c r="L166" s="4" t="s">
        <v>62</v>
      </c>
      <c r="M166" s="4" t="s">
        <v>157</v>
      </c>
      <c r="N166" s="4" t="s">
        <v>207</v>
      </c>
    </row>
    <row r="167" spans="1:14">
      <c r="A167" s="20">
        <v>45147</v>
      </c>
      <c r="B167" s="4" t="s">
        <v>27</v>
      </c>
      <c r="C167" s="4" t="s">
        <v>88</v>
      </c>
      <c r="D167" s="4" t="s">
        <v>253</v>
      </c>
      <c r="E167" s="4">
        <v>25</v>
      </c>
      <c r="F167" s="30">
        <v>0.63541666666666663</v>
      </c>
      <c r="G167" s="30">
        <v>0.66666666666666663</v>
      </c>
      <c r="H167" s="29">
        <f t="shared" si="6"/>
        <v>3.125E-2</v>
      </c>
      <c r="I167" s="28">
        <f t="shared" si="7"/>
        <v>0.75</v>
      </c>
      <c r="J167" s="28">
        <f t="shared" si="8"/>
        <v>45</v>
      </c>
      <c r="K167" s="4"/>
      <c r="L167" s="4" t="s">
        <v>59</v>
      </c>
      <c r="M167" s="4" t="s">
        <v>158</v>
      </c>
      <c r="N167" s="4" t="s">
        <v>207</v>
      </c>
    </row>
    <row r="168" spans="1:14">
      <c r="A168" s="20">
        <v>45147</v>
      </c>
      <c r="B168" s="4" t="s">
        <v>27</v>
      </c>
      <c r="C168" s="4" t="s">
        <v>88</v>
      </c>
      <c r="D168" s="4" t="s">
        <v>253</v>
      </c>
      <c r="E168" s="4">
        <v>26</v>
      </c>
      <c r="F168" s="30">
        <v>0.66666666666666663</v>
      </c>
      <c r="G168" s="30">
        <v>0.70833333333333337</v>
      </c>
      <c r="H168" s="29">
        <f t="shared" si="6"/>
        <v>4.1666666666666741E-2</v>
      </c>
      <c r="I168" s="28">
        <f t="shared" si="7"/>
        <v>1</v>
      </c>
      <c r="J168" s="28">
        <f t="shared" si="8"/>
        <v>60</v>
      </c>
      <c r="K168" s="4"/>
      <c r="L168" s="4" t="s">
        <v>62</v>
      </c>
      <c r="M168" s="4"/>
      <c r="N168" s="4" t="s">
        <v>207</v>
      </c>
    </row>
    <row r="169" spans="1:14">
      <c r="A169" s="20">
        <v>45148</v>
      </c>
      <c r="B169" s="27" t="s">
        <v>21</v>
      </c>
      <c r="C169" s="27" t="s">
        <v>106</v>
      </c>
      <c r="D169" s="27" t="s">
        <v>22</v>
      </c>
      <c r="E169" s="27">
        <v>5</v>
      </c>
      <c r="F169" s="30">
        <v>0.375</v>
      </c>
      <c r="G169" s="30">
        <v>0.45833333333333331</v>
      </c>
      <c r="H169" s="29">
        <f t="shared" si="6"/>
        <v>8.3333333333333315E-2</v>
      </c>
      <c r="I169" s="28">
        <f t="shared" si="7"/>
        <v>2</v>
      </c>
      <c r="J169" s="28">
        <f t="shared" si="8"/>
        <v>120</v>
      </c>
      <c r="K169" s="27"/>
      <c r="L169" s="27"/>
      <c r="M169" s="27"/>
      <c r="N169" s="27" t="s">
        <v>227</v>
      </c>
    </row>
    <row r="170" spans="1:14">
      <c r="A170" s="20">
        <v>45148</v>
      </c>
      <c r="B170" s="27" t="s">
        <v>21</v>
      </c>
      <c r="C170" s="27" t="s">
        <v>106</v>
      </c>
      <c r="D170" s="27" t="s">
        <v>22</v>
      </c>
      <c r="E170" s="27">
        <v>5</v>
      </c>
      <c r="F170" s="30">
        <v>0.46875</v>
      </c>
      <c r="G170" s="30">
        <v>0.52083333333333337</v>
      </c>
      <c r="H170" s="29">
        <f t="shared" si="6"/>
        <v>5.208333333333337E-2</v>
      </c>
      <c r="I170" s="28">
        <f t="shared" si="7"/>
        <v>1.25</v>
      </c>
      <c r="J170" s="28">
        <f t="shared" si="8"/>
        <v>75</v>
      </c>
      <c r="K170" s="27"/>
      <c r="L170" s="27"/>
      <c r="M170" s="27"/>
      <c r="N170" s="27" t="s">
        <v>227</v>
      </c>
    </row>
    <row r="171" spans="1:14">
      <c r="A171" s="20">
        <v>45148</v>
      </c>
      <c r="B171" s="27" t="s">
        <v>6</v>
      </c>
      <c r="C171" s="27" t="s">
        <v>117</v>
      </c>
      <c r="D171" s="27" t="s">
        <v>130</v>
      </c>
      <c r="E171" s="27"/>
      <c r="F171" s="30">
        <v>4.1666666666666664E-2</v>
      </c>
      <c r="G171" s="30">
        <v>0.14583333333333334</v>
      </c>
      <c r="H171" s="29">
        <f t="shared" si="6"/>
        <v>0.10416666666666669</v>
      </c>
      <c r="I171" s="28">
        <f t="shared" si="7"/>
        <v>2.5</v>
      </c>
      <c r="J171" s="28">
        <f t="shared" si="8"/>
        <v>150</v>
      </c>
      <c r="K171" s="27"/>
      <c r="L171" s="27"/>
      <c r="M171" s="27"/>
      <c r="N171" s="27" t="s">
        <v>227</v>
      </c>
    </row>
    <row r="172" spans="1:14">
      <c r="A172" s="20">
        <v>45148</v>
      </c>
      <c r="B172" s="27" t="s">
        <v>40</v>
      </c>
      <c r="C172" s="27" t="s">
        <v>40</v>
      </c>
      <c r="D172" s="27" t="s">
        <v>146</v>
      </c>
      <c r="E172" s="27">
        <v>1</v>
      </c>
      <c r="F172" s="30">
        <v>0.35416666666666669</v>
      </c>
      <c r="G172" s="30">
        <v>0.39583333333333331</v>
      </c>
      <c r="H172" s="29">
        <f t="shared" si="6"/>
        <v>4.166666666666663E-2</v>
      </c>
      <c r="I172" s="28">
        <f t="shared" si="7"/>
        <v>1</v>
      </c>
      <c r="J172" s="28">
        <f t="shared" si="8"/>
        <v>60</v>
      </c>
      <c r="K172" s="27"/>
      <c r="L172" s="27" t="s">
        <v>59</v>
      </c>
      <c r="M172" s="27"/>
      <c r="N172" s="27" t="s">
        <v>210</v>
      </c>
    </row>
    <row r="173" spans="1:14">
      <c r="A173" s="20">
        <v>45148</v>
      </c>
      <c r="B173" s="27" t="s">
        <v>34</v>
      </c>
      <c r="C173" s="27" t="s">
        <v>118</v>
      </c>
      <c r="D173" s="27" t="s">
        <v>35</v>
      </c>
      <c r="E173" s="27"/>
      <c r="F173" s="30">
        <v>0.39583333333333331</v>
      </c>
      <c r="G173" s="30">
        <v>0.41666666666666669</v>
      </c>
      <c r="H173" s="29">
        <f t="shared" si="6"/>
        <v>2.083333333333337E-2</v>
      </c>
      <c r="I173" s="28">
        <f t="shared" si="7"/>
        <v>0.5</v>
      </c>
      <c r="J173" s="28">
        <f t="shared" si="8"/>
        <v>30</v>
      </c>
      <c r="K173" s="27"/>
      <c r="L173" s="27"/>
      <c r="M173" s="27"/>
      <c r="N173" s="27" t="s">
        <v>210</v>
      </c>
    </row>
    <row r="174" spans="1:14">
      <c r="A174" s="20">
        <v>45148</v>
      </c>
      <c r="B174" s="27" t="s">
        <v>27</v>
      </c>
      <c r="C174" s="27" t="s">
        <v>35</v>
      </c>
      <c r="D174" s="27" t="s">
        <v>15</v>
      </c>
      <c r="E174" s="27"/>
      <c r="F174" s="30">
        <v>0.41666666666666669</v>
      </c>
      <c r="G174" s="30">
        <v>0.5625</v>
      </c>
      <c r="H174" s="29">
        <f t="shared" si="6"/>
        <v>0.14583333333333331</v>
      </c>
      <c r="I174" s="28">
        <f t="shared" si="7"/>
        <v>3.5</v>
      </c>
      <c r="J174" s="28">
        <f t="shared" si="8"/>
        <v>210</v>
      </c>
      <c r="K174" s="27"/>
      <c r="L174" s="27"/>
      <c r="M174" s="27"/>
      <c r="N174" s="27" t="s">
        <v>210</v>
      </c>
    </row>
    <row r="175" spans="1:14">
      <c r="A175" s="20">
        <v>45148</v>
      </c>
      <c r="B175" s="27" t="s">
        <v>39</v>
      </c>
      <c r="C175" s="27" t="s">
        <v>119</v>
      </c>
      <c r="D175" s="27" t="s">
        <v>3</v>
      </c>
      <c r="E175" s="27"/>
      <c r="F175" s="30">
        <v>6.25E-2</v>
      </c>
      <c r="G175" s="30">
        <v>8.3333333333333329E-2</v>
      </c>
      <c r="H175" s="29">
        <f t="shared" si="6"/>
        <v>2.0833333333333329E-2</v>
      </c>
      <c r="I175" s="28">
        <f t="shared" si="7"/>
        <v>0.5</v>
      </c>
      <c r="J175" s="28">
        <f t="shared" si="8"/>
        <v>30</v>
      </c>
      <c r="K175" s="27"/>
      <c r="L175" s="27"/>
      <c r="M175" s="27"/>
      <c r="N175" s="27" t="s">
        <v>210</v>
      </c>
    </row>
    <row r="176" spans="1:14">
      <c r="A176" s="20">
        <v>45148</v>
      </c>
      <c r="B176" s="27" t="s">
        <v>27</v>
      </c>
      <c r="C176" s="27" t="s">
        <v>120</v>
      </c>
      <c r="D176" s="27" t="s">
        <v>5</v>
      </c>
      <c r="E176" s="27">
        <v>30</v>
      </c>
      <c r="F176" s="30">
        <v>8.3333333333333329E-2</v>
      </c>
      <c r="G176" s="30">
        <v>0.14583333333333334</v>
      </c>
      <c r="H176" s="29">
        <f t="shared" si="6"/>
        <v>6.2500000000000014E-2</v>
      </c>
      <c r="I176" s="28">
        <f t="shared" si="7"/>
        <v>1.5</v>
      </c>
      <c r="J176" s="28">
        <f t="shared" si="8"/>
        <v>90</v>
      </c>
      <c r="K176" s="27">
        <v>133</v>
      </c>
      <c r="L176" s="27" t="s">
        <v>62</v>
      </c>
      <c r="M176" s="27"/>
      <c r="N176" s="27" t="s">
        <v>210</v>
      </c>
    </row>
    <row r="177" spans="1:14">
      <c r="A177" s="20">
        <v>45148</v>
      </c>
      <c r="B177" s="27" t="s">
        <v>20</v>
      </c>
      <c r="C177" s="27" t="s">
        <v>15</v>
      </c>
      <c r="D177" s="27" t="s">
        <v>15</v>
      </c>
      <c r="E177" s="27"/>
      <c r="F177" s="30">
        <v>0.1875</v>
      </c>
      <c r="G177" s="30">
        <v>0.21527777777777779</v>
      </c>
      <c r="H177" s="29">
        <f t="shared" si="6"/>
        <v>2.777777777777779E-2</v>
      </c>
      <c r="I177" s="28">
        <f t="shared" si="7"/>
        <v>0.66666666666666663</v>
      </c>
      <c r="J177" s="28">
        <f t="shared" si="8"/>
        <v>40</v>
      </c>
      <c r="K177" s="27"/>
      <c r="L177" s="27"/>
      <c r="M177" s="27"/>
      <c r="N177" s="27" t="s">
        <v>210</v>
      </c>
    </row>
    <row r="178" spans="1:14">
      <c r="A178" s="20">
        <v>45148</v>
      </c>
      <c r="B178" s="27" t="s">
        <v>27</v>
      </c>
      <c r="C178" s="27" t="s">
        <v>120</v>
      </c>
      <c r="D178" s="27" t="s">
        <v>5</v>
      </c>
      <c r="E178" s="27">
        <v>30</v>
      </c>
      <c r="F178" s="30">
        <v>0.16666666666666666</v>
      </c>
      <c r="G178" s="30">
        <v>0.1875</v>
      </c>
      <c r="H178" s="29">
        <f t="shared" si="6"/>
        <v>2.0833333333333343E-2</v>
      </c>
      <c r="I178" s="28">
        <f t="shared" si="7"/>
        <v>0.5</v>
      </c>
      <c r="J178" s="28">
        <f t="shared" si="8"/>
        <v>30</v>
      </c>
      <c r="K178" s="27">
        <v>187</v>
      </c>
      <c r="L178" s="27"/>
      <c r="M178" s="27"/>
      <c r="N178" s="27" t="s">
        <v>210</v>
      </c>
    </row>
    <row r="179" spans="1:14">
      <c r="A179" s="20">
        <v>45148</v>
      </c>
      <c r="B179" s="27" t="s">
        <v>21</v>
      </c>
      <c r="C179" s="27" t="s">
        <v>106</v>
      </c>
      <c r="D179" s="27" t="s">
        <v>9</v>
      </c>
      <c r="E179" s="27"/>
      <c r="F179" s="30">
        <v>0.21527777777777779</v>
      </c>
      <c r="G179" s="30">
        <v>0.23263888888888887</v>
      </c>
      <c r="H179" s="29">
        <f t="shared" si="6"/>
        <v>1.7361111111111077E-2</v>
      </c>
      <c r="I179" s="28">
        <f t="shared" si="7"/>
        <v>0.41666666666666669</v>
      </c>
      <c r="J179" s="28">
        <f t="shared" si="8"/>
        <v>25</v>
      </c>
      <c r="K179" s="27">
        <v>140</v>
      </c>
      <c r="L179" s="27"/>
      <c r="M179" s="27"/>
      <c r="N179" s="27" t="s">
        <v>210</v>
      </c>
    </row>
    <row r="180" spans="1:14">
      <c r="A180" s="20">
        <v>45148</v>
      </c>
      <c r="B180" s="27" t="s">
        <v>159</v>
      </c>
      <c r="C180" s="27" t="s">
        <v>121</v>
      </c>
      <c r="D180" s="27" t="s">
        <v>9</v>
      </c>
      <c r="E180" s="27"/>
      <c r="F180" s="30">
        <v>0.23263888888888887</v>
      </c>
      <c r="G180" s="30">
        <v>0.23611111111111113</v>
      </c>
      <c r="H180" s="29">
        <f t="shared" si="6"/>
        <v>3.4722222222222654E-3</v>
      </c>
      <c r="I180" s="28">
        <f t="shared" si="7"/>
        <v>8.3333333333333329E-2</v>
      </c>
      <c r="J180" s="28">
        <f t="shared" si="8"/>
        <v>5</v>
      </c>
      <c r="K180" s="27">
        <v>38</v>
      </c>
      <c r="L180" s="27"/>
      <c r="M180" s="27"/>
      <c r="N180" s="27" t="s">
        <v>210</v>
      </c>
    </row>
    <row r="181" spans="1:14">
      <c r="A181" s="20">
        <v>45148</v>
      </c>
      <c r="B181" s="27" t="s">
        <v>159</v>
      </c>
      <c r="C181" s="27" t="s">
        <v>122</v>
      </c>
      <c r="D181" s="27" t="s">
        <v>5</v>
      </c>
      <c r="E181" s="27"/>
      <c r="F181" s="30">
        <v>0.23611111111111113</v>
      </c>
      <c r="G181" s="30">
        <v>0.23958333333333334</v>
      </c>
      <c r="H181" s="29">
        <f t="shared" si="6"/>
        <v>3.4722222222222099E-3</v>
      </c>
      <c r="I181" s="28">
        <f t="shared" si="7"/>
        <v>8.3333333333333329E-2</v>
      </c>
      <c r="J181" s="28">
        <f t="shared" si="8"/>
        <v>5</v>
      </c>
      <c r="K181" s="27">
        <v>6</v>
      </c>
      <c r="L181" s="27"/>
      <c r="M181" s="27"/>
      <c r="N181" s="27" t="s">
        <v>210</v>
      </c>
    </row>
    <row r="182" spans="1:14">
      <c r="A182" s="20">
        <v>45148</v>
      </c>
      <c r="B182" s="27" t="s">
        <v>21</v>
      </c>
      <c r="C182" s="27" t="s">
        <v>106</v>
      </c>
      <c r="D182" s="27" t="s">
        <v>9</v>
      </c>
      <c r="E182" s="27">
        <v>5</v>
      </c>
      <c r="F182" s="30">
        <v>0.23958333333333334</v>
      </c>
      <c r="G182" s="30">
        <v>0.26041666666666669</v>
      </c>
      <c r="H182" s="29">
        <f t="shared" si="6"/>
        <v>2.0833333333333343E-2</v>
      </c>
      <c r="I182" s="28">
        <f t="shared" si="7"/>
        <v>0.5</v>
      </c>
      <c r="J182" s="28">
        <f t="shared" si="8"/>
        <v>30</v>
      </c>
      <c r="K182" s="27">
        <v>125</v>
      </c>
      <c r="L182" s="27" t="s">
        <v>59</v>
      </c>
      <c r="M182" s="27"/>
      <c r="N182" s="27" t="s">
        <v>210</v>
      </c>
    </row>
    <row r="183" spans="1:14">
      <c r="A183" s="20">
        <v>45148</v>
      </c>
      <c r="B183" s="27" t="s">
        <v>159</v>
      </c>
      <c r="C183" s="27" t="s">
        <v>122</v>
      </c>
      <c r="D183" s="27" t="s">
        <v>5</v>
      </c>
      <c r="E183" s="27"/>
      <c r="F183" s="30">
        <v>0.26041666666666669</v>
      </c>
      <c r="G183" s="30">
        <v>0.2673611111111111</v>
      </c>
      <c r="H183" s="29">
        <f t="shared" si="6"/>
        <v>6.9444444444444198E-3</v>
      </c>
      <c r="I183" s="28">
        <f t="shared" si="7"/>
        <v>0.16666666666666666</v>
      </c>
      <c r="J183" s="28">
        <f t="shared" si="8"/>
        <v>10</v>
      </c>
      <c r="K183" s="27">
        <v>30</v>
      </c>
      <c r="L183" s="27" t="s">
        <v>59</v>
      </c>
      <c r="M183" s="27"/>
      <c r="N183" s="27" t="s">
        <v>210</v>
      </c>
    </row>
    <row r="184" spans="1:14">
      <c r="A184" s="20">
        <v>45148</v>
      </c>
      <c r="B184" s="27" t="s">
        <v>159</v>
      </c>
      <c r="C184" s="27" t="s">
        <v>123</v>
      </c>
      <c r="D184" s="27" t="s">
        <v>5</v>
      </c>
      <c r="E184" s="27"/>
      <c r="F184" s="30">
        <v>0.2673611111111111</v>
      </c>
      <c r="G184" s="30">
        <v>0.27083333333333331</v>
      </c>
      <c r="H184" s="29">
        <f t="shared" si="6"/>
        <v>3.4722222222222099E-3</v>
      </c>
      <c r="I184" s="28">
        <f t="shared" si="7"/>
        <v>8.3333333333333329E-2</v>
      </c>
      <c r="J184" s="28">
        <f t="shared" si="8"/>
        <v>5</v>
      </c>
      <c r="K184" s="27">
        <v>5</v>
      </c>
      <c r="L184" s="27"/>
      <c r="M184" s="27"/>
      <c r="N184" s="27" t="s">
        <v>210</v>
      </c>
    </row>
    <row r="185" spans="1:14">
      <c r="A185" s="20">
        <v>45148</v>
      </c>
      <c r="B185" s="27" t="s">
        <v>27</v>
      </c>
      <c r="C185" s="27" t="s">
        <v>120</v>
      </c>
      <c r="D185" s="27" t="s">
        <v>146</v>
      </c>
      <c r="E185" s="27">
        <v>28</v>
      </c>
      <c r="F185" s="30">
        <v>0.35416666666666669</v>
      </c>
      <c r="G185" s="30">
        <v>0.45833333333333331</v>
      </c>
      <c r="H185" s="29">
        <f t="shared" si="6"/>
        <v>0.10416666666666663</v>
      </c>
      <c r="I185" s="28">
        <f t="shared" si="7"/>
        <v>2.5</v>
      </c>
      <c r="J185" s="28">
        <f t="shared" si="8"/>
        <v>150</v>
      </c>
      <c r="K185" s="27"/>
      <c r="L185" s="27" t="s">
        <v>62</v>
      </c>
      <c r="M185" s="27" t="s">
        <v>160</v>
      </c>
      <c r="N185" s="27"/>
    </row>
    <row r="186" spans="1:14">
      <c r="A186" s="20">
        <v>45148</v>
      </c>
      <c r="B186" s="27" t="s">
        <v>27</v>
      </c>
      <c r="C186" s="27" t="s">
        <v>120</v>
      </c>
      <c r="D186" s="27" t="s">
        <v>146</v>
      </c>
      <c r="E186" s="27">
        <v>28</v>
      </c>
      <c r="F186" s="30">
        <v>0.46875</v>
      </c>
      <c r="G186" s="30">
        <v>0.52083333333333337</v>
      </c>
      <c r="H186" s="29">
        <f t="shared" si="6"/>
        <v>5.208333333333337E-2</v>
      </c>
      <c r="I186" s="28">
        <f t="shared" si="7"/>
        <v>1.25</v>
      </c>
      <c r="J186" s="28">
        <f t="shared" si="8"/>
        <v>75</v>
      </c>
      <c r="K186" s="27"/>
      <c r="L186" s="27" t="s">
        <v>62</v>
      </c>
      <c r="M186" s="27"/>
      <c r="N186" s="27"/>
    </row>
    <row r="187" spans="1:14">
      <c r="A187" s="20">
        <v>45148</v>
      </c>
      <c r="B187" s="27" t="s">
        <v>6</v>
      </c>
      <c r="C187" s="27" t="s">
        <v>83</v>
      </c>
      <c r="D187" s="27" t="s">
        <v>10</v>
      </c>
      <c r="E187" s="27"/>
      <c r="F187" s="30">
        <v>0.52083333333333337</v>
      </c>
      <c r="G187" s="30">
        <v>0.59027777777777779</v>
      </c>
      <c r="H187" s="29">
        <f t="shared" si="6"/>
        <v>6.944444444444442E-2</v>
      </c>
      <c r="I187" s="28">
        <f t="shared" si="7"/>
        <v>1.6666666666666665</v>
      </c>
      <c r="J187" s="28">
        <f t="shared" si="8"/>
        <v>99.999999999999986</v>
      </c>
      <c r="K187" s="27"/>
      <c r="L187" s="27" t="s">
        <v>62</v>
      </c>
      <c r="M187" s="27" t="s">
        <v>125</v>
      </c>
      <c r="N187" s="27"/>
    </row>
    <row r="188" spans="1:14">
      <c r="A188" s="20">
        <v>45148</v>
      </c>
      <c r="B188" s="27" t="s">
        <v>27</v>
      </c>
      <c r="C188" s="27" t="s">
        <v>120</v>
      </c>
      <c r="D188" s="27" t="s">
        <v>146</v>
      </c>
      <c r="E188" s="27">
        <v>28</v>
      </c>
      <c r="F188" s="30">
        <v>9.0277777777777776E-2</v>
      </c>
      <c r="G188" s="30">
        <v>0.125</v>
      </c>
      <c r="H188" s="29">
        <f t="shared" si="6"/>
        <v>3.4722222222222224E-2</v>
      </c>
      <c r="I188" s="28">
        <f t="shared" si="7"/>
        <v>0.83333333333333337</v>
      </c>
      <c r="J188" s="28">
        <f t="shared" si="8"/>
        <v>50</v>
      </c>
      <c r="K188" s="27"/>
      <c r="L188" s="27" t="s">
        <v>59</v>
      </c>
      <c r="M188" s="27" t="s">
        <v>161</v>
      </c>
      <c r="N188" s="27"/>
    </row>
    <row r="189" spans="1:14">
      <c r="A189" s="20">
        <v>45148</v>
      </c>
      <c r="B189" s="27" t="s">
        <v>27</v>
      </c>
      <c r="C189" s="27" t="s">
        <v>120</v>
      </c>
      <c r="D189" s="27" t="s">
        <v>146</v>
      </c>
      <c r="E189" s="27" t="s">
        <v>162</v>
      </c>
      <c r="F189" s="30">
        <v>0.13541666666666666</v>
      </c>
      <c r="G189" s="30">
        <v>0.20833333333333334</v>
      </c>
      <c r="H189" s="29">
        <f t="shared" si="6"/>
        <v>7.2916666666666685E-2</v>
      </c>
      <c r="I189" s="28">
        <f t="shared" si="7"/>
        <v>1.75</v>
      </c>
      <c r="J189" s="28">
        <f t="shared" si="8"/>
        <v>105</v>
      </c>
      <c r="K189" s="27"/>
      <c r="L189" s="27" t="s">
        <v>62</v>
      </c>
      <c r="M189" s="27" t="s">
        <v>163</v>
      </c>
      <c r="N189" s="27"/>
    </row>
    <row r="190" spans="1:14">
      <c r="A190" s="20">
        <v>45148</v>
      </c>
      <c r="B190" s="27" t="s">
        <v>21</v>
      </c>
      <c r="C190" s="27" t="s">
        <v>106</v>
      </c>
      <c r="D190" s="27" t="s">
        <v>164</v>
      </c>
      <c r="E190" s="27">
        <v>4</v>
      </c>
      <c r="F190" s="30">
        <v>0.5</v>
      </c>
      <c r="G190" s="30">
        <v>0.55208333333333337</v>
      </c>
      <c r="H190" s="29">
        <f t="shared" si="6"/>
        <v>5.208333333333337E-2</v>
      </c>
      <c r="I190" s="28">
        <f t="shared" si="7"/>
        <v>1.25</v>
      </c>
      <c r="J190" s="28">
        <f t="shared" si="8"/>
        <v>75</v>
      </c>
      <c r="K190" s="27"/>
      <c r="L190" s="27"/>
      <c r="M190" s="27" t="s">
        <v>126</v>
      </c>
      <c r="N190" s="27" t="s">
        <v>223</v>
      </c>
    </row>
    <row r="191" spans="1:14">
      <c r="A191" s="20">
        <v>45148</v>
      </c>
      <c r="B191" s="27" t="s">
        <v>21</v>
      </c>
      <c r="C191" s="27" t="s">
        <v>106</v>
      </c>
      <c r="D191" s="27" t="s">
        <v>4</v>
      </c>
      <c r="E191" s="27">
        <v>5</v>
      </c>
      <c r="F191" s="30">
        <v>0.11458333333333333</v>
      </c>
      <c r="G191" s="30">
        <v>0.22916666666666666</v>
      </c>
      <c r="H191" s="29">
        <f t="shared" si="6"/>
        <v>0.11458333333333333</v>
      </c>
      <c r="I191" s="28">
        <f t="shared" si="7"/>
        <v>2.75</v>
      </c>
      <c r="J191" s="28">
        <f t="shared" si="8"/>
        <v>165</v>
      </c>
      <c r="K191" s="27"/>
      <c r="L191" s="27"/>
      <c r="M191" s="27"/>
      <c r="N191" s="27" t="s">
        <v>223</v>
      </c>
    </row>
    <row r="192" spans="1:14">
      <c r="A192" s="20">
        <v>45149</v>
      </c>
      <c r="B192" s="27" t="s">
        <v>39</v>
      </c>
      <c r="C192" s="27" t="s">
        <v>119</v>
      </c>
      <c r="D192" s="27" t="s">
        <v>3</v>
      </c>
      <c r="E192" s="27"/>
      <c r="F192" s="30">
        <v>0.35416666666666669</v>
      </c>
      <c r="G192" s="30">
        <v>0.375</v>
      </c>
      <c r="H192" s="29">
        <f t="shared" si="6"/>
        <v>2.0833333333333315E-2</v>
      </c>
      <c r="I192" s="28">
        <f t="shared" si="7"/>
        <v>0.5</v>
      </c>
      <c r="J192" s="28">
        <f t="shared" si="8"/>
        <v>30</v>
      </c>
      <c r="K192" s="27"/>
      <c r="L192" s="27"/>
      <c r="M192" s="27"/>
      <c r="N192" s="27" t="s">
        <v>210</v>
      </c>
    </row>
    <row r="193" spans="1:14">
      <c r="A193" s="20">
        <v>45149</v>
      </c>
      <c r="B193" s="27" t="s">
        <v>27</v>
      </c>
      <c r="C193" s="27" t="s">
        <v>120</v>
      </c>
      <c r="D193" s="27" t="s">
        <v>5</v>
      </c>
      <c r="E193" s="27">
        <v>30</v>
      </c>
      <c r="F193" s="30">
        <v>0.38194444444444442</v>
      </c>
      <c r="G193" s="30">
        <v>0.4375</v>
      </c>
      <c r="H193" s="29">
        <f t="shared" si="6"/>
        <v>5.555555555555558E-2</v>
      </c>
      <c r="I193" s="28">
        <f t="shared" si="7"/>
        <v>1.3333333333333333</v>
      </c>
      <c r="J193" s="28">
        <f t="shared" si="8"/>
        <v>80</v>
      </c>
      <c r="K193" s="27"/>
      <c r="L193" s="27" t="s">
        <v>62</v>
      </c>
      <c r="M193" s="27"/>
      <c r="N193" s="27" t="s">
        <v>210</v>
      </c>
    </row>
    <row r="194" spans="1:14">
      <c r="A194" s="20">
        <v>45149</v>
      </c>
      <c r="B194" s="27" t="s">
        <v>18</v>
      </c>
      <c r="C194" s="27" t="s">
        <v>127</v>
      </c>
      <c r="D194" s="27"/>
      <c r="E194" s="27"/>
      <c r="F194" s="30">
        <v>0.4375</v>
      </c>
      <c r="G194" s="30">
        <v>0.5</v>
      </c>
      <c r="H194" s="29">
        <f t="shared" ref="H194:H257" si="9">G194-F194</f>
        <v>6.25E-2</v>
      </c>
      <c r="I194" s="28">
        <f t="shared" ref="I194:I257" si="10">HOUR(H194)+MINUTE(H194)/60</f>
        <v>1.5</v>
      </c>
      <c r="J194" s="28">
        <f t="shared" ref="J194:J257" si="11">I194*60</f>
        <v>90</v>
      </c>
      <c r="K194" s="27"/>
      <c r="L194" s="27"/>
      <c r="M194" s="27"/>
      <c r="N194" s="27" t="s">
        <v>210</v>
      </c>
    </row>
    <row r="195" spans="1:14">
      <c r="A195" s="20">
        <v>45149</v>
      </c>
      <c r="B195" s="27" t="s">
        <v>27</v>
      </c>
      <c r="C195" s="27" t="s">
        <v>120</v>
      </c>
      <c r="D195" s="27" t="s">
        <v>5</v>
      </c>
      <c r="E195" s="27">
        <v>30</v>
      </c>
      <c r="F195" s="30">
        <v>0.5</v>
      </c>
      <c r="G195" s="30">
        <v>0.58333333333333337</v>
      </c>
      <c r="H195" s="29">
        <f t="shared" si="9"/>
        <v>8.333333333333337E-2</v>
      </c>
      <c r="I195" s="28">
        <f t="shared" si="10"/>
        <v>2</v>
      </c>
      <c r="J195" s="28">
        <f t="shared" si="11"/>
        <v>120</v>
      </c>
      <c r="K195" s="27">
        <v>1759</v>
      </c>
      <c r="L195" s="27" t="s">
        <v>59</v>
      </c>
      <c r="M195" s="27"/>
      <c r="N195" s="27" t="s">
        <v>210</v>
      </c>
    </row>
    <row r="196" spans="1:14">
      <c r="A196" s="20">
        <v>45149</v>
      </c>
      <c r="B196" s="27" t="s">
        <v>27</v>
      </c>
      <c r="C196" s="27" t="s">
        <v>120</v>
      </c>
      <c r="D196" s="27" t="s">
        <v>5</v>
      </c>
      <c r="E196" s="27">
        <v>26</v>
      </c>
      <c r="F196" s="30">
        <v>8.3333333333333329E-2</v>
      </c>
      <c r="G196" s="30">
        <v>0.12152777777777778</v>
      </c>
      <c r="H196" s="29">
        <f t="shared" si="9"/>
        <v>3.8194444444444448E-2</v>
      </c>
      <c r="I196" s="28">
        <f t="shared" si="10"/>
        <v>0.91666666666666663</v>
      </c>
      <c r="J196" s="28">
        <f t="shared" si="11"/>
        <v>55</v>
      </c>
      <c r="K196" s="27"/>
      <c r="L196" s="27" t="s">
        <v>62</v>
      </c>
      <c r="M196" s="27"/>
      <c r="N196" s="27" t="s">
        <v>210</v>
      </c>
    </row>
    <row r="197" spans="1:14">
      <c r="A197" s="20">
        <v>45149</v>
      </c>
      <c r="B197" s="27"/>
      <c r="C197" s="27"/>
      <c r="D197" s="27" t="s">
        <v>254</v>
      </c>
      <c r="E197" s="27"/>
      <c r="F197" s="30">
        <v>0.12152777777777778</v>
      </c>
      <c r="G197" s="30">
        <v>0.1423611111111111</v>
      </c>
      <c r="H197" s="29">
        <f t="shared" si="9"/>
        <v>2.0833333333333329E-2</v>
      </c>
      <c r="I197" s="28">
        <f t="shared" si="10"/>
        <v>0.5</v>
      </c>
      <c r="J197" s="28">
        <f t="shared" si="11"/>
        <v>30</v>
      </c>
      <c r="K197" s="27"/>
      <c r="L197" s="27"/>
      <c r="M197" s="27"/>
      <c r="N197" s="27" t="s">
        <v>210</v>
      </c>
    </row>
    <row r="198" spans="1:14">
      <c r="A198" s="20">
        <v>45149</v>
      </c>
      <c r="B198" s="27" t="s">
        <v>27</v>
      </c>
      <c r="C198" s="27" t="s">
        <v>120</v>
      </c>
      <c r="D198" s="27" t="s">
        <v>5</v>
      </c>
      <c r="E198" s="27">
        <v>26</v>
      </c>
      <c r="F198" s="30">
        <v>0.1423611111111111</v>
      </c>
      <c r="G198" s="30">
        <v>0.20833333333333334</v>
      </c>
      <c r="H198" s="29">
        <f t="shared" si="9"/>
        <v>6.5972222222222238E-2</v>
      </c>
      <c r="I198" s="28">
        <f t="shared" si="10"/>
        <v>1.5833333333333335</v>
      </c>
      <c r="J198" s="28">
        <f t="shared" si="11"/>
        <v>95.000000000000014</v>
      </c>
      <c r="K198" s="27"/>
      <c r="L198" s="27" t="s">
        <v>59</v>
      </c>
      <c r="M198" s="27"/>
      <c r="N198" s="27" t="s">
        <v>210</v>
      </c>
    </row>
    <row r="199" spans="1:14">
      <c r="A199" s="20">
        <v>45149</v>
      </c>
      <c r="B199" s="27" t="s">
        <v>21</v>
      </c>
      <c r="C199" s="27" t="s">
        <v>106</v>
      </c>
      <c r="D199" s="27" t="s">
        <v>164</v>
      </c>
      <c r="E199" s="27">
        <v>3</v>
      </c>
      <c r="F199" s="30">
        <v>0.35416666666666669</v>
      </c>
      <c r="G199" s="30">
        <v>0.42708333333333331</v>
      </c>
      <c r="H199" s="29">
        <f t="shared" si="9"/>
        <v>7.291666666666663E-2</v>
      </c>
      <c r="I199" s="28">
        <f t="shared" si="10"/>
        <v>1.75</v>
      </c>
      <c r="J199" s="28">
        <f t="shared" si="11"/>
        <v>105</v>
      </c>
      <c r="K199" s="27"/>
      <c r="L199" s="27"/>
      <c r="M199" s="27"/>
      <c r="N199" s="27" t="s">
        <v>244</v>
      </c>
    </row>
    <row r="200" spans="1:14">
      <c r="A200" s="20">
        <v>45149</v>
      </c>
      <c r="B200" s="27" t="s">
        <v>21</v>
      </c>
      <c r="C200" s="27" t="s">
        <v>106</v>
      </c>
      <c r="D200" s="27" t="s">
        <v>164</v>
      </c>
      <c r="E200" s="27">
        <v>5</v>
      </c>
      <c r="F200" s="30">
        <v>0.42708333333333331</v>
      </c>
      <c r="G200" s="30">
        <v>0.51736111111111105</v>
      </c>
      <c r="H200" s="29">
        <f t="shared" si="9"/>
        <v>9.0277777777777735E-2</v>
      </c>
      <c r="I200" s="28">
        <f t="shared" si="10"/>
        <v>2.1666666666666665</v>
      </c>
      <c r="J200" s="28">
        <f t="shared" si="11"/>
        <v>130</v>
      </c>
      <c r="K200" s="27"/>
      <c r="L200" s="27"/>
      <c r="M200" s="27"/>
      <c r="N200" s="27" t="s">
        <v>244</v>
      </c>
    </row>
    <row r="201" spans="1:14">
      <c r="A201" s="20">
        <v>45149</v>
      </c>
      <c r="B201" s="27" t="s">
        <v>165</v>
      </c>
      <c r="C201" s="27" t="s">
        <v>73</v>
      </c>
      <c r="D201" s="27" t="s">
        <v>4</v>
      </c>
      <c r="E201" s="27"/>
      <c r="F201" s="30">
        <v>0.51736111111111105</v>
      </c>
      <c r="G201" s="30">
        <v>0.58333333333333337</v>
      </c>
      <c r="H201" s="29">
        <f t="shared" si="9"/>
        <v>6.5972222222222321E-2</v>
      </c>
      <c r="I201" s="28">
        <f t="shared" si="10"/>
        <v>1.5833333333333335</v>
      </c>
      <c r="J201" s="28">
        <f t="shared" si="11"/>
        <v>95.000000000000014</v>
      </c>
      <c r="K201" s="27"/>
      <c r="L201" s="27"/>
      <c r="M201" s="27"/>
      <c r="N201" s="27" t="s">
        <v>244</v>
      </c>
    </row>
    <row r="202" spans="1:14">
      <c r="A202" s="20">
        <v>45149</v>
      </c>
      <c r="B202" s="27" t="s">
        <v>2</v>
      </c>
      <c r="C202" s="27" t="s">
        <v>128</v>
      </c>
      <c r="D202" s="27" t="s">
        <v>255</v>
      </c>
      <c r="E202" s="27"/>
      <c r="F202" s="30">
        <v>0.10416666666666667</v>
      </c>
      <c r="G202" s="30">
        <v>0.19097222222222221</v>
      </c>
      <c r="H202" s="29">
        <f t="shared" si="9"/>
        <v>8.6805555555555539E-2</v>
      </c>
      <c r="I202" s="28">
        <f t="shared" si="10"/>
        <v>2.0833333333333335</v>
      </c>
      <c r="J202" s="28">
        <f t="shared" si="11"/>
        <v>125.00000000000001</v>
      </c>
      <c r="K202" s="27"/>
      <c r="L202" s="27"/>
      <c r="M202" s="27"/>
      <c r="N202" s="27" t="s">
        <v>244</v>
      </c>
    </row>
    <row r="203" spans="1:14">
      <c r="A203" s="20">
        <v>45149</v>
      </c>
      <c r="B203" s="27" t="s">
        <v>6</v>
      </c>
      <c r="C203" s="27" t="s">
        <v>130</v>
      </c>
      <c r="D203" s="27" t="s">
        <v>11</v>
      </c>
      <c r="E203" s="27"/>
      <c r="F203" s="30">
        <v>0.375</v>
      </c>
      <c r="G203" s="30">
        <v>0.5</v>
      </c>
      <c r="H203" s="29">
        <f t="shared" si="9"/>
        <v>0.125</v>
      </c>
      <c r="I203" s="28">
        <f t="shared" si="10"/>
        <v>3</v>
      </c>
      <c r="J203" s="28">
        <f t="shared" si="11"/>
        <v>180</v>
      </c>
      <c r="K203" s="27"/>
      <c r="L203" s="27" t="s">
        <v>62</v>
      </c>
      <c r="M203" s="27" t="s">
        <v>166</v>
      </c>
      <c r="N203" s="27" t="s">
        <v>227</v>
      </c>
    </row>
    <row r="204" spans="1:14">
      <c r="A204" s="20">
        <v>45149</v>
      </c>
      <c r="B204" s="27" t="s">
        <v>27</v>
      </c>
      <c r="C204" s="27" t="s">
        <v>120</v>
      </c>
      <c r="D204" s="27" t="s">
        <v>146</v>
      </c>
      <c r="E204" s="27" t="s">
        <v>162</v>
      </c>
      <c r="F204" s="30">
        <v>0.35416666666666669</v>
      </c>
      <c r="G204" s="30">
        <v>0.45833333333333331</v>
      </c>
      <c r="H204" s="29">
        <f t="shared" si="9"/>
        <v>0.10416666666666663</v>
      </c>
      <c r="I204" s="28">
        <f t="shared" si="10"/>
        <v>2.5</v>
      </c>
      <c r="J204" s="28">
        <f t="shared" si="11"/>
        <v>150</v>
      </c>
      <c r="K204" s="27"/>
      <c r="L204" s="27" t="s">
        <v>59</v>
      </c>
      <c r="M204" s="27" t="s">
        <v>168</v>
      </c>
      <c r="N204" s="27" t="s">
        <v>207</v>
      </c>
    </row>
    <row r="205" spans="1:14">
      <c r="A205" s="20">
        <v>45149</v>
      </c>
      <c r="B205" s="27" t="s">
        <v>27</v>
      </c>
      <c r="C205" s="27" t="s">
        <v>120</v>
      </c>
      <c r="D205" s="27" t="s">
        <v>146</v>
      </c>
      <c r="E205" s="27" t="s">
        <v>167</v>
      </c>
      <c r="F205" s="30">
        <v>0.47222222222222227</v>
      </c>
      <c r="G205" s="30">
        <v>0.5</v>
      </c>
      <c r="H205" s="29">
        <f t="shared" si="9"/>
        <v>2.7777777777777735E-2</v>
      </c>
      <c r="I205" s="28">
        <f t="shared" si="10"/>
        <v>0.66666666666666663</v>
      </c>
      <c r="J205" s="28">
        <f t="shared" si="11"/>
        <v>40</v>
      </c>
      <c r="K205" s="27"/>
      <c r="L205" s="27" t="s">
        <v>62</v>
      </c>
      <c r="M205" s="27" t="s">
        <v>131</v>
      </c>
      <c r="N205" s="27" t="s">
        <v>207</v>
      </c>
    </row>
    <row r="206" spans="1:14">
      <c r="A206" s="20">
        <v>45149</v>
      </c>
      <c r="B206" s="27" t="s">
        <v>6</v>
      </c>
      <c r="C206" s="27" t="s">
        <v>83</v>
      </c>
      <c r="D206" s="27" t="s">
        <v>169</v>
      </c>
      <c r="E206" s="27"/>
      <c r="F206" s="30">
        <v>0.5</v>
      </c>
      <c r="G206" s="30">
        <v>0.52083333333333337</v>
      </c>
      <c r="H206" s="29">
        <f t="shared" si="9"/>
        <v>2.083333333333337E-2</v>
      </c>
      <c r="I206" s="28">
        <f t="shared" si="10"/>
        <v>0.5</v>
      </c>
      <c r="J206" s="28">
        <f t="shared" si="11"/>
        <v>30</v>
      </c>
      <c r="K206" s="27">
        <v>205</v>
      </c>
      <c r="L206" s="27" t="s">
        <v>59</v>
      </c>
      <c r="M206" s="27"/>
      <c r="N206" s="27" t="s">
        <v>207</v>
      </c>
    </row>
    <row r="207" spans="1:14">
      <c r="A207" s="20">
        <v>45149</v>
      </c>
      <c r="B207" s="27" t="s">
        <v>27</v>
      </c>
      <c r="C207" s="27" t="s">
        <v>120</v>
      </c>
      <c r="D207" s="27" t="s">
        <v>146</v>
      </c>
      <c r="E207" s="27" t="s">
        <v>167</v>
      </c>
      <c r="F207" s="30">
        <v>4.1666666666666664E-2</v>
      </c>
      <c r="G207" s="30">
        <v>0.125</v>
      </c>
      <c r="H207" s="29">
        <f t="shared" si="9"/>
        <v>8.3333333333333343E-2</v>
      </c>
      <c r="I207" s="28">
        <f t="shared" si="10"/>
        <v>2</v>
      </c>
      <c r="J207" s="28">
        <f t="shared" si="11"/>
        <v>120</v>
      </c>
      <c r="K207" s="27"/>
      <c r="L207" s="27"/>
      <c r="M207" s="27"/>
      <c r="N207" s="27" t="s">
        <v>207</v>
      </c>
    </row>
    <row r="208" spans="1:14">
      <c r="A208" s="20">
        <v>45149</v>
      </c>
      <c r="B208" s="27" t="s">
        <v>27</v>
      </c>
      <c r="C208" s="27" t="s">
        <v>120</v>
      </c>
      <c r="D208" s="27" t="s">
        <v>146</v>
      </c>
      <c r="E208" s="27" t="s">
        <v>170</v>
      </c>
      <c r="F208" s="30">
        <v>0.13541666666666666</v>
      </c>
      <c r="G208" s="30">
        <v>0.19305555555555554</v>
      </c>
      <c r="H208" s="29">
        <f t="shared" si="9"/>
        <v>5.7638888888888878E-2</v>
      </c>
      <c r="I208" s="28">
        <f t="shared" si="10"/>
        <v>1.3833333333333333</v>
      </c>
      <c r="J208" s="28">
        <f t="shared" si="11"/>
        <v>83</v>
      </c>
      <c r="K208" s="27"/>
      <c r="L208" s="27" t="s">
        <v>59</v>
      </c>
      <c r="M208" s="27" t="s">
        <v>171</v>
      </c>
      <c r="N208" s="27" t="s">
        <v>207</v>
      </c>
    </row>
    <row r="209" spans="1:14">
      <c r="A209" s="20">
        <v>45149</v>
      </c>
      <c r="B209" s="27" t="s">
        <v>27</v>
      </c>
      <c r="C209" s="27" t="s">
        <v>120</v>
      </c>
      <c r="D209" s="27" t="s">
        <v>146</v>
      </c>
      <c r="E209" s="27" t="s">
        <v>167</v>
      </c>
      <c r="F209" s="30">
        <v>0.19305555555555554</v>
      </c>
      <c r="G209" s="30">
        <v>0.20833333333333334</v>
      </c>
      <c r="H209" s="29">
        <f t="shared" si="9"/>
        <v>1.5277777777777807E-2</v>
      </c>
      <c r="I209" s="28">
        <f t="shared" si="10"/>
        <v>0.36666666666666664</v>
      </c>
      <c r="J209" s="28">
        <f t="shared" si="11"/>
        <v>22</v>
      </c>
      <c r="K209" s="27"/>
      <c r="L209" s="27" t="s">
        <v>62</v>
      </c>
      <c r="M209" s="27" t="s">
        <v>132</v>
      </c>
      <c r="N209" s="27" t="s">
        <v>207</v>
      </c>
    </row>
    <row r="210" spans="1:14">
      <c r="A210" s="20">
        <v>45152</v>
      </c>
      <c r="B210" s="4" t="s">
        <v>27</v>
      </c>
      <c r="C210" s="4" t="s">
        <v>120</v>
      </c>
      <c r="D210" s="4" t="s">
        <v>5</v>
      </c>
      <c r="E210" s="4">
        <v>32</v>
      </c>
      <c r="F210" s="30">
        <v>0.35416666666666669</v>
      </c>
      <c r="G210" s="30">
        <v>0.4375</v>
      </c>
      <c r="H210" s="29">
        <f t="shared" si="9"/>
        <v>8.3333333333333315E-2</v>
      </c>
      <c r="I210" s="28">
        <f t="shared" si="10"/>
        <v>2</v>
      </c>
      <c r="J210" s="28">
        <f t="shared" si="11"/>
        <v>120</v>
      </c>
      <c r="K210" s="4"/>
      <c r="L210" s="4"/>
      <c r="M210" s="4"/>
      <c r="N210" s="4"/>
    </row>
    <row r="211" spans="1:14">
      <c r="A211" s="20">
        <v>45152</v>
      </c>
      <c r="B211" s="4" t="s">
        <v>25</v>
      </c>
      <c r="C211" s="4" t="s">
        <v>21</v>
      </c>
      <c r="D211" s="4" t="s">
        <v>15</v>
      </c>
      <c r="E211" s="4"/>
      <c r="F211" s="30">
        <v>0.4375</v>
      </c>
      <c r="G211" s="30">
        <v>0.48958333333333331</v>
      </c>
      <c r="H211" s="29">
        <f t="shared" si="9"/>
        <v>5.2083333333333315E-2</v>
      </c>
      <c r="I211" s="28">
        <f t="shared" si="10"/>
        <v>1.25</v>
      </c>
      <c r="J211" s="28">
        <f t="shared" si="11"/>
        <v>75</v>
      </c>
      <c r="K211" s="4"/>
      <c r="L211" s="4"/>
      <c r="M211" s="4"/>
      <c r="N211" s="4"/>
    </row>
    <row r="212" spans="1:14">
      <c r="A212" s="20">
        <v>45152</v>
      </c>
      <c r="B212" s="4" t="s">
        <v>26</v>
      </c>
      <c r="C212" s="4" t="s">
        <v>133</v>
      </c>
      <c r="D212" s="4" t="s">
        <v>15</v>
      </c>
      <c r="E212" s="4"/>
      <c r="F212" s="30">
        <v>0.4375</v>
      </c>
      <c r="G212" s="30">
        <v>0.48958333333333331</v>
      </c>
      <c r="H212" s="29">
        <f t="shared" si="9"/>
        <v>5.2083333333333315E-2</v>
      </c>
      <c r="I212" s="28">
        <f t="shared" si="10"/>
        <v>1.25</v>
      </c>
      <c r="J212" s="28">
        <f t="shared" si="11"/>
        <v>75</v>
      </c>
      <c r="K212" s="4"/>
      <c r="L212" s="4"/>
      <c r="M212" s="4"/>
      <c r="N212" s="4"/>
    </row>
    <row r="213" spans="1:14">
      <c r="A213" s="20">
        <v>45152</v>
      </c>
      <c r="B213" s="4" t="s">
        <v>39</v>
      </c>
      <c r="C213" s="4" t="s">
        <v>119</v>
      </c>
      <c r="D213" s="4" t="s">
        <v>3</v>
      </c>
      <c r="E213" s="4"/>
      <c r="F213" s="30">
        <v>0.48958333333333331</v>
      </c>
      <c r="G213" s="30">
        <v>0.51041666666666663</v>
      </c>
      <c r="H213" s="29">
        <f t="shared" si="9"/>
        <v>2.0833333333333315E-2</v>
      </c>
      <c r="I213" s="28">
        <f t="shared" si="10"/>
        <v>0.5</v>
      </c>
      <c r="J213" s="28">
        <f t="shared" si="11"/>
        <v>30</v>
      </c>
      <c r="K213" s="4"/>
      <c r="L213" s="4"/>
      <c r="M213" s="4"/>
      <c r="N213" s="4"/>
    </row>
    <row r="214" spans="1:14">
      <c r="A214" s="20">
        <v>45152</v>
      </c>
      <c r="B214" s="4"/>
      <c r="C214" s="4" t="s">
        <v>134</v>
      </c>
      <c r="D214" s="4" t="s">
        <v>35</v>
      </c>
      <c r="E214" s="4"/>
      <c r="F214" s="30">
        <v>0.51041666666666663</v>
      </c>
      <c r="G214" s="30">
        <v>0.52430555555555558</v>
      </c>
      <c r="H214" s="29">
        <f t="shared" si="9"/>
        <v>1.3888888888888951E-2</v>
      </c>
      <c r="I214" s="28">
        <f t="shared" si="10"/>
        <v>0.33333333333333331</v>
      </c>
      <c r="J214" s="28">
        <f t="shared" si="11"/>
        <v>20</v>
      </c>
      <c r="K214" s="4"/>
      <c r="L214" s="4"/>
      <c r="M214" s="4"/>
      <c r="N214" s="4"/>
    </row>
    <row r="215" spans="1:14">
      <c r="A215" s="20">
        <v>45152</v>
      </c>
      <c r="B215" s="4" t="s">
        <v>27</v>
      </c>
      <c r="C215" s="4" t="s">
        <v>120</v>
      </c>
      <c r="D215" s="4" t="s">
        <v>5</v>
      </c>
      <c r="E215" s="4">
        <v>32</v>
      </c>
      <c r="F215" s="30">
        <v>0.52430555555555558</v>
      </c>
      <c r="G215" s="30">
        <v>0.60763888888888895</v>
      </c>
      <c r="H215" s="29">
        <f t="shared" si="9"/>
        <v>8.333333333333337E-2</v>
      </c>
      <c r="I215" s="28">
        <f t="shared" si="10"/>
        <v>2</v>
      </c>
      <c r="J215" s="28">
        <f t="shared" si="11"/>
        <v>120</v>
      </c>
      <c r="K215" s="4">
        <v>2195</v>
      </c>
      <c r="L215" s="4"/>
      <c r="M215" s="4"/>
      <c r="N215" s="4"/>
    </row>
    <row r="216" spans="1:14">
      <c r="A216" s="20">
        <v>45152</v>
      </c>
      <c r="B216" s="4" t="s">
        <v>172</v>
      </c>
      <c r="C216" s="4" t="s">
        <v>135</v>
      </c>
      <c r="D216" s="4" t="s">
        <v>5</v>
      </c>
      <c r="E216" s="4">
        <v>303</v>
      </c>
      <c r="F216" s="30">
        <v>0.1076388888888889</v>
      </c>
      <c r="G216" s="30">
        <v>0.13541666666666666</v>
      </c>
      <c r="H216" s="29">
        <f t="shared" si="9"/>
        <v>2.7777777777777762E-2</v>
      </c>
      <c r="I216" s="28">
        <f t="shared" si="10"/>
        <v>0.66666666666666663</v>
      </c>
      <c r="J216" s="28">
        <f t="shared" si="11"/>
        <v>40</v>
      </c>
      <c r="K216" s="4"/>
      <c r="L216" s="4"/>
      <c r="M216" s="4"/>
      <c r="N216" s="4"/>
    </row>
    <row r="217" spans="1:14">
      <c r="A217" s="20">
        <v>45152</v>
      </c>
      <c r="B217" s="4"/>
      <c r="C217" s="4"/>
      <c r="D217" s="4" t="s">
        <v>254</v>
      </c>
      <c r="E217" s="4"/>
      <c r="F217" s="30">
        <v>0.13541666666666666</v>
      </c>
      <c r="G217" s="30">
        <v>0.15625</v>
      </c>
      <c r="H217" s="29">
        <f t="shared" si="9"/>
        <v>2.0833333333333343E-2</v>
      </c>
      <c r="I217" s="28">
        <f t="shared" si="10"/>
        <v>0.5</v>
      </c>
      <c r="J217" s="28">
        <f t="shared" si="11"/>
        <v>30</v>
      </c>
      <c r="K217" s="4"/>
      <c r="L217" s="4"/>
      <c r="M217" s="4"/>
      <c r="N217" s="4"/>
    </row>
    <row r="218" spans="1:14">
      <c r="A218" s="20">
        <v>45152</v>
      </c>
      <c r="B218" s="4" t="s">
        <v>172</v>
      </c>
      <c r="C218" s="4" t="s">
        <v>135</v>
      </c>
      <c r="D218" s="4" t="s">
        <v>5</v>
      </c>
      <c r="E218" s="4">
        <v>303</v>
      </c>
      <c r="F218" s="30">
        <v>0.15625</v>
      </c>
      <c r="G218" s="30">
        <v>0.1875</v>
      </c>
      <c r="H218" s="29">
        <f t="shared" si="9"/>
        <v>3.125E-2</v>
      </c>
      <c r="I218" s="28">
        <f t="shared" si="10"/>
        <v>0.75</v>
      </c>
      <c r="J218" s="28">
        <f t="shared" si="11"/>
        <v>45</v>
      </c>
      <c r="K218" s="4">
        <v>843</v>
      </c>
      <c r="L218" s="4"/>
      <c r="M218" s="4"/>
      <c r="N218" s="4"/>
    </row>
    <row r="219" spans="1:14">
      <c r="A219" s="20">
        <v>45152</v>
      </c>
      <c r="B219" s="4" t="s">
        <v>27</v>
      </c>
      <c r="C219" s="4" t="s">
        <v>120</v>
      </c>
      <c r="D219" s="4" t="s">
        <v>23</v>
      </c>
      <c r="E219" s="4">
        <v>28</v>
      </c>
      <c r="F219" s="30">
        <v>0.35416666666666669</v>
      </c>
      <c r="G219" s="30">
        <v>0.37847222222222227</v>
      </c>
      <c r="H219" s="29">
        <f t="shared" si="9"/>
        <v>2.430555555555558E-2</v>
      </c>
      <c r="I219" s="28">
        <f t="shared" si="10"/>
        <v>0.58333333333333337</v>
      </c>
      <c r="J219" s="28">
        <f t="shared" si="11"/>
        <v>35</v>
      </c>
      <c r="K219" s="4"/>
      <c r="L219" s="4" t="s">
        <v>59</v>
      </c>
      <c r="M219" s="4"/>
      <c r="N219" s="4"/>
    </row>
    <row r="220" spans="1:14">
      <c r="A220" s="20">
        <v>45152</v>
      </c>
      <c r="B220" s="4" t="s">
        <v>27</v>
      </c>
      <c r="C220" s="4" t="s">
        <v>120</v>
      </c>
      <c r="D220" s="4" t="s">
        <v>146</v>
      </c>
      <c r="E220" s="4">
        <v>29</v>
      </c>
      <c r="F220" s="30">
        <v>0.37847222222222227</v>
      </c>
      <c r="G220" s="30">
        <v>0.45833333333333331</v>
      </c>
      <c r="H220" s="29">
        <f t="shared" si="9"/>
        <v>7.9861111111111049E-2</v>
      </c>
      <c r="I220" s="28">
        <f t="shared" si="10"/>
        <v>1.9166666666666665</v>
      </c>
      <c r="J220" s="28">
        <f t="shared" si="11"/>
        <v>114.99999999999999</v>
      </c>
      <c r="K220" s="4"/>
      <c r="L220" s="4" t="s">
        <v>62</v>
      </c>
      <c r="M220" s="4"/>
      <c r="N220" s="4"/>
    </row>
    <row r="221" spans="1:14">
      <c r="A221" s="20">
        <v>45152</v>
      </c>
      <c r="B221" s="4" t="s">
        <v>27</v>
      </c>
      <c r="C221" s="4" t="s">
        <v>120</v>
      </c>
      <c r="D221" s="4" t="s">
        <v>146</v>
      </c>
      <c r="E221" s="4">
        <v>29</v>
      </c>
      <c r="F221" s="30">
        <v>0.46875</v>
      </c>
      <c r="G221" s="30">
        <v>0.52083333333333337</v>
      </c>
      <c r="H221" s="29">
        <f t="shared" si="9"/>
        <v>5.208333333333337E-2</v>
      </c>
      <c r="I221" s="28">
        <f t="shared" si="10"/>
        <v>1.25</v>
      </c>
      <c r="J221" s="28">
        <f t="shared" si="11"/>
        <v>75</v>
      </c>
      <c r="K221" s="4"/>
      <c r="L221" s="4" t="s">
        <v>62</v>
      </c>
      <c r="M221" s="4"/>
      <c r="N221" s="4"/>
    </row>
    <row r="222" spans="1:14">
      <c r="A222" s="20">
        <v>45152</v>
      </c>
      <c r="B222" s="4" t="s">
        <v>27</v>
      </c>
      <c r="C222" s="4" t="s">
        <v>120</v>
      </c>
      <c r="D222" s="4" t="s">
        <v>146</v>
      </c>
      <c r="E222" s="4">
        <v>29</v>
      </c>
      <c r="F222" s="30">
        <v>4.1666666666666664E-2</v>
      </c>
      <c r="G222" s="30">
        <v>9.7222222222222224E-2</v>
      </c>
      <c r="H222" s="29">
        <f t="shared" si="9"/>
        <v>5.5555555555555559E-2</v>
      </c>
      <c r="I222" s="28">
        <f t="shared" si="10"/>
        <v>1.3333333333333333</v>
      </c>
      <c r="J222" s="28">
        <f t="shared" si="11"/>
        <v>80</v>
      </c>
      <c r="K222" s="4"/>
      <c r="L222" s="4" t="s">
        <v>59</v>
      </c>
      <c r="M222" s="4"/>
      <c r="N222" s="4"/>
    </row>
    <row r="223" spans="1:14">
      <c r="A223" s="20">
        <v>45152</v>
      </c>
      <c r="B223" s="4" t="s">
        <v>27</v>
      </c>
      <c r="C223" s="4" t="s">
        <v>120</v>
      </c>
      <c r="D223" s="4" t="s">
        <v>146</v>
      </c>
      <c r="E223" s="4">
        <v>29</v>
      </c>
      <c r="F223" s="30">
        <v>9.7222222222222224E-2</v>
      </c>
      <c r="G223" s="30">
        <v>0.125</v>
      </c>
      <c r="H223" s="29">
        <f t="shared" si="9"/>
        <v>2.7777777777777776E-2</v>
      </c>
      <c r="I223" s="28">
        <f t="shared" si="10"/>
        <v>0.66666666666666663</v>
      </c>
      <c r="J223" s="28">
        <f t="shared" si="11"/>
        <v>40</v>
      </c>
      <c r="K223" s="4"/>
      <c r="L223" s="4" t="s">
        <v>62</v>
      </c>
      <c r="M223" s="4"/>
      <c r="N223" s="4"/>
    </row>
    <row r="224" spans="1:14">
      <c r="A224" s="20">
        <v>45152</v>
      </c>
      <c r="B224" s="4" t="s">
        <v>27</v>
      </c>
      <c r="C224" s="4" t="s">
        <v>120</v>
      </c>
      <c r="D224" s="4" t="s">
        <v>146</v>
      </c>
      <c r="E224" s="4">
        <v>29</v>
      </c>
      <c r="F224" s="30">
        <v>0.13541666666666666</v>
      </c>
      <c r="G224" s="30">
        <v>0.20833333333333334</v>
      </c>
      <c r="H224" s="29">
        <f t="shared" si="9"/>
        <v>7.2916666666666685E-2</v>
      </c>
      <c r="I224" s="28">
        <f t="shared" si="10"/>
        <v>1.75</v>
      </c>
      <c r="J224" s="28">
        <f t="shared" si="11"/>
        <v>105</v>
      </c>
      <c r="K224" s="4"/>
      <c r="L224" s="4" t="s">
        <v>62</v>
      </c>
      <c r="M224" s="4"/>
      <c r="N224" s="4"/>
    </row>
    <row r="225" spans="1:14">
      <c r="A225" s="20">
        <v>45152</v>
      </c>
      <c r="B225" s="4" t="s">
        <v>13</v>
      </c>
      <c r="C225" s="4" t="s">
        <v>136</v>
      </c>
      <c r="D225" s="4" t="s">
        <v>14</v>
      </c>
      <c r="E225" s="4"/>
      <c r="F225" s="30">
        <v>0.375</v>
      </c>
      <c r="G225" s="30">
        <v>0.46875</v>
      </c>
      <c r="H225" s="29">
        <f t="shared" si="9"/>
        <v>9.375E-2</v>
      </c>
      <c r="I225" s="28">
        <f t="shared" si="10"/>
        <v>2.25</v>
      </c>
      <c r="J225" s="28">
        <f t="shared" si="11"/>
        <v>135</v>
      </c>
      <c r="K225" s="4"/>
      <c r="L225" s="4"/>
      <c r="M225" s="4"/>
      <c r="N225" s="4"/>
    </row>
    <row r="226" spans="1:14">
      <c r="A226" s="20">
        <v>45152</v>
      </c>
      <c r="B226" s="4"/>
      <c r="C226" s="4" t="s">
        <v>256</v>
      </c>
      <c r="D226" s="4"/>
      <c r="E226" s="4"/>
      <c r="F226" s="30">
        <v>0.46875</v>
      </c>
      <c r="G226" s="30">
        <v>0.47916666666666669</v>
      </c>
      <c r="H226" s="29">
        <f t="shared" si="9"/>
        <v>1.0416666666666685E-2</v>
      </c>
      <c r="I226" s="28">
        <f t="shared" si="10"/>
        <v>0.25</v>
      </c>
      <c r="J226" s="28">
        <f t="shared" si="11"/>
        <v>15</v>
      </c>
      <c r="K226" s="4"/>
      <c r="L226" s="4"/>
      <c r="M226" s="4"/>
      <c r="N226" s="4"/>
    </row>
    <row r="227" spans="1:14">
      <c r="A227" s="20">
        <v>45152</v>
      </c>
      <c r="B227" s="4" t="s">
        <v>13</v>
      </c>
      <c r="C227" s="4" t="s">
        <v>136</v>
      </c>
      <c r="D227" s="4" t="s">
        <v>14</v>
      </c>
      <c r="E227" s="4"/>
      <c r="F227" s="30">
        <v>0.47916666666666669</v>
      </c>
      <c r="G227" s="30">
        <v>0.52083333333333337</v>
      </c>
      <c r="H227" s="29">
        <f t="shared" si="9"/>
        <v>4.1666666666666685E-2</v>
      </c>
      <c r="I227" s="28">
        <f t="shared" si="10"/>
        <v>1</v>
      </c>
      <c r="J227" s="28">
        <f t="shared" si="11"/>
        <v>60</v>
      </c>
      <c r="K227" s="4"/>
      <c r="L227" s="4"/>
      <c r="M227" s="4"/>
      <c r="N227" s="4"/>
    </row>
    <row r="228" spans="1:14">
      <c r="A228" s="20">
        <v>45152</v>
      </c>
      <c r="B228" s="4" t="s">
        <v>13</v>
      </c>
      <c r="C228" s="4" t="s">
        <v>136</v>
      </c>
      <c r="D228" s="4" t="s">
        <v>14</v>
      </c>
      <c r="E228" s="4"/>
      <c r="F228" s="30">
        <v>4.1666666666666664E-2</v>
      </c>
      <c r="G228" s="30">
        <v>0.125</v>
      </c>
      <c r="H228" s="29">
        <f t="shared" si="9"/>
        <v>8.3333333333333343E-2</v>
      </c>
      <c r="I228" s="28">
        <f t="shared" si="10"/>
        <v>2</v>
      </c>
      <c r="J228" s="28">
        <f t="shared" si="11"/>
        <v>120</v>
      </c>
      <c r="K228" s="4">
        <v>127</v>
      </c>
      <c r="L228" s="4"/>
      <c r="M228" s="4"/>
      <c r="N228" s="4"/>
    </row>
    <row r="229" spans="1:14">
      <c r="A229" s="20">
        <v>45153</v>
      </c>
      <c r="B229" s="27" t="s">
        <v>27</v>
      </c>
      <c r="C229" s="27" t="s">
        <v>120</v>
      </c>
      <c r="D229" s="27" t="s">
        <v>30</v>
      </c>
      <c r="E229" s="27">
        <v>40</v>
      </c>
      <c r="F229" s="30">
        <v>0.35416666666666669</v>
      </c>
      <c r="G229" s="30">
        <v>0.46319444444444446</v>
      </c>
      <c r="H229" s="29">
        <f t="shared" si="9"/>
        <v>0.10902777777777778</v>
      </c>
      <c r="I229" s="28">
        <f t="shared" si="10"/>
        <v>2.6166666666666667</v>
      </c>
      <c r="J229" s="28">
        <f t="shared" si="11"/>
        <v>157</v>
      </c>
      <c r="K229" s="31">
        <v>1</v>
      </c>
      <c r="L229" s="27" t="s">
        <v>59</v>
      </c>
      <c r="M229" s="27" t="s">
        <v>173</v>
      </c>
      <c r="N229" s="27" t="s">
        <v>232</v>
      </c>
    </row>
    <row r="230" spans="1:14">
      <c r="A230" s="20">
        <v>45153</v>
      </c>
      <c r="B230" s="27" t="s">
        <v>27</v>
      </c>
      <c r="C230" s="27" t="s">
        <v>120</v>
      </c>
      <c r="D230" s="27" t="s">
        <v>30</v>
      </c>
      <c r="E230" s="27">
        <v>31</v>
      </c>
      <c r="F230" s="30">
        <v>0.47361111111111115</v>
      </c>
      <c r="G230" s="30">
        <v>0.52777777777777779</v>
      </c>
      <c r="H230" s="29">
        <f t="shared" si="9"/>
        <v>5.4166666666666641E-2</v>
      </c>
      <c r="I230" s="28">
        <f t="shared" si="10"/>
        <v>1.3</v>
      </c>
      <c r="J230" s="28">
        <f t="shared" si="11"/>
        <v>78</v>
      </c>
      <c r="K230" s="31">
        <v>0.25</v>
      </c>
      <c r="L230" s="27" t="s">
        <v>62</v>
      </c>
      <c r="M230" s="27"/>
      <c r="N230" s="27" t="s">
        <v>232</v>
      </c>
    </row>
    <row r="231" spans="1:14">
      <c r="A231" s="20">
        <v>45153</v>
      </c>
      <c r="B231" s="27" t="s">
        <v>27</v>
      </c>
      <c r="C231" s="27" t="s">
        <v>120</v>
      </c>
      <c r="D231" s="27" t="s">
        <v>31</v>
      </c>
      <c r="E231" s="27">
        <v>31</v>
      </c>
      <c r="F231" s="30">
        <v>0.54861111111111105</v>
      </c>
      <c r="G231" s="30">
        <v>0.62847222222222221</v>
      </c>
      <c r="H231" s="29">
        <f t="shared" si="9"/>
        <v>7.986111111111116E-2</v>
      </c>
      <c r="I231" s="28">
        <f t="shared" si="10"/>
        <v>1.9166666666666665</v>
      </c>
      <c r="J231" s="28">
        <f t="shared" si="11"/>
        <v>114.99999999999999</v>
      </c>
      <c r="K231" s="31">
        <v>0.75</v>
      </c>
      <c r="L231" s="27" t="s">
        <v>62</v>
      </c>
      <c r="M231" s="27"/>
      <c r="N231" s="27" t="s">
        <v>232</v>
      </c>
    </row>
    <row r="232" spans="1:14">
      <c r="A232" s="20">
        <v>45153</v>
      </c>
      <c r="B232" s="27" t="s">
        <v>27</v>
      </c>
      <c r="C232" s="27" t="s">
        <v>120</v>
      </c>
      <c r="D232" s="27" t="s">
        <v>31</v>
      </c>
      <c r="E232" s="27">
        <v>31</v>
      </c>
      <c r="F232" s="30">
        <v>0.63888888888888895</v>
      </c>
      <c r="G232" s="30">
        <v>0.70833333333333337</v>
      </c>
      <c r="H232" s="29">
        <f t="shared" si="9"/>
        <v>6.944444444444442E-2</v>
      </c>
      <c r="I232" s="28">
        <f t="shared" si="10"/>
        <v>1.6666666666666665</v>
      </c>
      <c r="J232" s="28">
        <f t="shared" si="11"/>
        <v>99.999999999999986</v>
      </c>
      <c r="K232" s="31">
        <v>0.96</v>
      </c>
      <c r="L232" s="27" t="s">
        <v>62</v>
      </c>
      <c r="M232" s="27"/>
      <c r="N232" s="27" t="s">
        <v>232</v>
      </c>
    </row>
    <row r="233" spans="1:14">
      <c r="A233" s="20">
        <v>45153</v>
      </c>
      <c r="B233" s="27" t="s">
        <v>27</v>
      </c>
      <c r="C233" s="27" t="s">
        <v>120</v>
      </c>
      <c r="D233" s="27" t="s">
        <v>5</v>
      </c>
      <c r="E233" s="27">
        <v>33</v>
      </c>
      <c r="F233" s="30">
        <v>0.35416666666666669</v>
      </c>
      <c r="G233" s="30">
        <v>0.42708333333333331</v>
      </c>
      <c r="H233" s="29">
        <f t="shared" si="9"/>
        <v>7.291666666666663E-2</v>
      </c>
      <c r="I233" s="28">
        <f t="shared" si="10"/>
        <v>1.75</v>
      </c>
      <c r="J233" s="28">
        <f t="shared" si="11"/>
        <v>105</v>
      </c>
      <c r="K233" s="27">
        <v>841</v>
      </c>
      <c r="L233" s="27" t="s">
        <v>62</v>
      </c>
      <c r="M233" s="27"/>
      <c r="N233" s="27" t="s">
        <v>210</v>
      </c>
    </row>
    <row r="234" spans="1:14">
      <c r="A234" s="20">
        <v>45153</v>
      </c>
      <c r="B234" s="27" t="s">
        <v>24</v>
      </c>
      <c r="C234" s="27" t="s">
        <v>137</v>
      </c>
      <c r="D234" s="27" t="s">
        <v>15</v>
      </c>
      <c r="E234" s="27"/>
      <c r="F234" s="30">
        <v>0.42708333333333331</v>
      </c>
      <c r="G234" s="30">
        <v>0.44791666666666669</v>
      </c>
      <c r="H234" s="29">
        <f t="shared" si="9"/>
        <v>2.083333333333337E-2</v>
      </c>
      <c r="I234" s="28">
        <f t="shared" si="10"/>
        <v>0.5</v>
      </c>
      <c r="J234" s="28">
        <f t="shared" si="11"/>
        <v>30</v>
      </c>
      <c r="K234" s="27"/>
      <c r="L234" s="27"/>
      <c r="M234" s="27"/>
      <c r="N234" s="27" t="s">
        <v>210</v>
      </c>
    </row>
    <row r="235" spans="1:14">
      <c r="A235" s="20">
        <v>45153</v>
      </c>
      <c r="B235" s="27" t="s">
        <v>27</v>
      </c>
      <c r="C235" s="27" t="s">
        <v>120</v>
      </c>
      <c r="D235" s="27" t="s">
        <v>5</v>
      </c>
      <c r="E235" s="27">
        <v>33</v>
      </c>
      <c r="F235" s="30">
        <v>0.44791666666666669</v>
      </c>
      <c r="G235" s="30">
        <v>0.49305555555555558</v>
      </c>
      <c r="H235" s="29">
        <f t="shared" si="9"/>
        <v>4.5138888888888895E-2</v>
      </c>
      <c r="I235" s="28">
        <f t="shared" si="10"/>
        <v>1.0833333333333333</v>
      </c>
      <c r="J235" s="28">
        <f t="shared" si="11"/>
        <v>65</v>
      </c>
      <c r="K235" s="27"/>
      <c r="L235" s="27" t="s">
        <v>62</v>
      </c>
      <c r="M235" s="27"/>
      <c r="N235" s="27" t="s">
        <v>210</v>
      </c>
    </row>
    <row r="236" spans="1:14">
      <c r="A236" s="20">
        <v>45153</v>
      </c>
      <c r="B236" s="27" t="s">
        <v>36</v>
      </c>
      <c r="C236" s="27"/>
      <c r="D236" s="27" t="s">
        <v>35</v>
      </c>
      <c r="E236" s="27"/>
      <c r="F236" s="30">
        <v>0.49305555555555558</v>
      </c>
      <c r="G236" s="30">
        <v>0.50694444444444442</v>
      </c>
      <c r="H236" s="29">
        <f t="shared" si="9"/>
        <v>1.388888888888884E-2</v>
      </c>
      <c r="I236" s="28">
        <f t="shared" si="10"/>
        <v>0.33333333333333331</v>
      </c>
      <c r="J236" s="28">
        <f t="shared" si="11"/>
        <v>20</v>
      </c>
      <c r="K236" s="27"/>
      <c r="L236" s="27"/>
      <c r="M236" s="27" t="s">
        <v>138</v>
      </c>
      <c r="N236" s="27" t="s">
        <v>210</v>
      </c>
    </row>
    <row r="237" spans="1:14">
      <c r="A237" s="20">
        <v>45153</v>
      </c>
      <c r="B237" s="27" t="s">
        <v>27</v>
      </c>
      <c r="C237" s="27" t="s">
        <v>120</v>
      </c>
      <c r="D237" s="27" t="s">
        <v>5</v>
      </c>
      <c r="E237" s="27">
        <v>33</v>
      </c>
      <c r="F237" s="30">
        <v>0.50694444444444442</v>
      </c>
      <c r="G237" s="30">
        <v>0.61111111111111105</v>
      </c>
      <c r="H237" s="29">
        <f t="shared" si="9"/>
        <v>0.10416666666666663</v>
      </c>
      <c r="I237" s="28">
        <f t="shared" si="10"/>
        <v>2.5</v>
      </c>
      <c r="J237" s="28">
        <f t="shared" si="11"/>
        <v>150</v>
      </c>
      <c r="K237" s="27">
        <v>1747</v>
      </c>
      <c r="L237" s="27" t="s">
        <v>59</v>
      </c>
      <c r="M237" s="27"/>
      <c r="N237" s="27" t="s">
        <v>210</v>
      </c>
    </row>
    <row r="238" spans="1:14">
      <c r="A238" s="20">
        <v>45153</v>
      </c>
      <c r="B238" s="27" t="s">
        <v>27</v>
      </c>
      <c r="C238" s="27" t="s">
        <v>120</v>
      </c>
      <c r="D238" s="27" t="s">
        <v>5</v>
      </c>
      <c r="E238" s="27">
        <v>34</v>
      </c>
      <c r="F238" s="30">
        <v>0.13194444444444445</v>
      </c>
      <c r="G238" s="30">
        <v>0.20833333333333334</v>
      </c>
      <c r="H238" s="29">
        <f t="shared" si="9"/>
        <v>7.6388888888888895E-2</v>
      </c>
      <c r="I238" s="28">
        <f t="shared" si="10"/>
        <v>1.8333333333333335</v>
      </c>
      <c r="J238" s="28">
        <f t="shared" si="11"/>
        <v>110.00000000000001</v>
      </c>
      <c r="K238" s="27">
        <v>1911</v>
      </c>
      <c r="L238" s="27" t="s">
        <v>62</v>
      </c>
      <c r="M238" s="27"/>
      <c r="N238" s="27" t="s">
        <v>210</v>
      </c>
    </row>
    <row r="239" spans="1:14">
      <c r="A239" s="20">
        <v>45153</v>
      </c>
      <c r="B239" s="27" t="s">
        <v>27</v>
      </c>
      <c r="C239" s="27" t="s">
        <v>120</v>
      </c>
      <c r="D239" s="27" t="s">
        <v>146</v>
      </c>
      <c r="E239" s="27">
        <v>29</v>
      </c>
      <c r="F239" s="30">
        <v>0.35416666666666669</v>
      </c>
      <c r="G239" s="30">
        <v>0.4375</v>
      </c>
      <c r="H239" s="29">
        <f t="shared" si="9"/>
        <v>8.3333333333333315E-2</v>
      </c>
      <c r="I239" s="28">
        <f t="shared" si="10"/>
        <v>2</v>
      </c>
      <c r="J239" s="28">
        <f t="shared" si="11"/>
        <v>120</v>
      </c>
      <c r="K239" s="27"/>
      <c r="L239" s="27" t="s">
        <v>59</v>
      </c>
      <c r="M239" s="27"/>
      <c r="N239" s="27" t="s">
        <v>207</v>
      </c>
    </row>
    <row r="240" spans="1:14">
      <c r="A240" s="20">
        <v>45153</v>
      </c>
      <c r="B240" s="27" t="s">
        <v>2</v>
      </c>
      <c r="C240" s="27" t="s">
        <v>139</v>
      </c>
      <c r="D240" s="27" t="s">
        <v>4</v>
      </c>
      <c r="E240" s="27">
        <v>177</v>
      </c>
      <c r="F240" s="30">
        <v>0.4375</v>
      </c>
      <c r="G240" s="30">
        <v>0.46527777777777773</v>
      </c>
      <c r="H240" s="29">
        <f t="shared" si="9"/>
        <v>2.7777777777777735E-2</v>
      </c>
      <c r="I240" s="28">
        <f t="shared" si="10"/>
        <v>0.66666666666666663</v>
      </c>
      <c r="J240" s="28">
        <f t="shared" si="11"/>
        <v>40</v>
      </c>
      <c r="K240" s="27"/>
      <c r="L240" s="27" t="s">
        <v>62</v>
      </c>
      <c r="M240" s="27"/>
      <c r="N240" s="27" t="s">
        <v>207</v>
      </c>
    </row>
    <row r="241" spans="1:14">
      <c r="A241" s="20">
        <v>45153</v>
      </c>
      <c r="B241" s="27" t="s">
        <v>2</v>
      </c>
      <c r="C241" s="27" t="s">
        <v>139</v>
      </c>
      <c r="D241" s="27" t="s">
        <v>4</v>
      </c>
      <c r="E241" s="27">
        <v>177</v>
      </c>
      <c r="F241" s="30">
        <v>0.47569444444444442</v>
      </c>
      <c r="G241" s="30">
        <v>0.52500000000000002</v>
      </c>
      <c r="H241" s="29">
        <f t="shared" si="9"/>
        <v>4.9305555555555602E-2</v>
      </c>
      <c r="I241" s="28">
        <f t="shared" si="10"/>
        <v>1.1833333333333333</v>
      </c>
      <c r="J241" s="28">
        <f t="shared" si="11"/>
        <v>71</v>
      </c>
      <c r="K241" s="27"/>
      <c r="L241" s="27" t="s">
        <v>62</v>
      </c>
      <c r="M241" s="27"/>
      <c r="N241" s="27" t="s">
        <v>207</v>
      </c>
    </row>
    <row r="242" spans="1:14">
      <c r="A242" s="20">
        <v>45153</v>
      </c>
      <c r="B242" s="27" t="s">
        <v>2</v>
      </c>
      <c r="C242" s="27" t="s">
        <v>139</v>
      </c>
      <c r="D242" s="27" t="s">
        <v>3</v>
      </c>
      <c r="E242" s="27">
        <v>178</v>
      </c>
      <c r="F242" s="30">
        <v>0.5</v>
      </c>
      <c r="G242" s="30">
        <v>0.67708333333333337</v>
      </c>
      <c r="H242" s="29">
        <f t="shared" si="9"/>
        <v>0.17708333333333337</v>
      </c>
      <c r="I242" s="28">
        <f t="shared" si="10"/>
        <v>4.25</v>
      </c>
      <c r="J242" s="28">
        <f t="shared" si="11"/>
        <v>255</v>
      </c>
      <c r="K242" s="27"/>
      <c r="L242" s="27" t="s">
        <v>59</v>
      </c>
      <c r="M242" s="27"/>
      <c r="N242" s="27" t="s">
        <v>223</v>
      </c>
    </row>
    <row r="243" spans="1:14">
      <c r="A243" s="20">
        <v>45153</v>
      </c>
      <c r="B243" s="27" t="s">
        <v>13</v>
      </c>
      <c r="C243" s="27" t="s">
        <v>14</v>
      </c>
      <c r="D243" s="27"/>
      <c r="E243" s="27"/>
      <c r="F243" s="30">
        <v>0.375</v>
      </c>
      <c r="G243" s="30">
        <v>0.45833333333333331</v>
      </c>
      <c r="H243" s="29">
        <f t="shared" si="9"/>
        <v>8.3333333333333315E-2</v>
      </c>
      <c r="I243" s="28">
        <f t="shared" si="10"/>
        <v>2</v>
      </c>
      <c r="J243" s="28">
        <f t="shared" si="11"/>
        <v>120</v>
      </c>
      <c r="K243" s="27"/>
      <c r="L243" s="27"/>
      <c r="M243" s="27"/>
      <c r="N243" s="27" t="s">
        <v>227</v>
      </c>
    </row>
    <row r="244" spans="1:14">
      <c r="A244" s="20">
        <v>45153</v>
      </c>
      <c r="B244" s="27" t="s">
        <v>256</v>
      </c>
      <c r="C244" s="27"/>
      <c r="D244" s="27"/>
      <c r="E244" s="27"/>
      <c r="F244" s="30">
        <v>0.45833333333333331</v>
      </c>
      <c r="G244" s="30">
        <v>0.46875</v>
      </c>
      <c r="H244" s="29">
        <f t="shared" si="9"/>
        <v>1.0416666666666685E-2</v>
      </c>
      <c r="I244" s="28">
        <f t="shared" si="10"/>
        <v>0.25</v>
      </c>
      <c r="J244" s="28">
        <f t="shared" si="11"/>
        <v>15</v>
      </c>
      <c r="K244" s="27"/>
      <c r="L244" s="27"/>
      <c r="M244" s="27"/>
      <c r="N244" s="27" t="s">
        <v>227</v>
      </c>
    </row>
    <row r="245" spans="1:14">
      <c r="A245" s="20">
        <v>45153</v>
      </c>
      <c r="B245" s="27" t="s">
        <v>13</v>
      </c>
      <c r="C245" s="27" t="s">
        <v>14</v>
      </c>
      <c r="D245" s="27"/>
      <c r="E245" s="27"/>
      <c r="F245" s="30">
        <v>0.46875</v>
      </c>
      <c r="G245" s="30">
        <v>0.48958333333333331</v>
      </c>
      <c r="H245" s="29">
        <f t="shared" si="9"/>
        <v>2.0833333333333315E-2</v>
      </c>
      <c r="I245" s="28">
        <f t="shared" si="10"/>
        <v>0.5</v>
      </c>
      <c r="J245" s="28">
        <f t="shared" si="11"/>
        <v>30</v>
      </c>
      <c r="K245" s="27"/>
      <c r="L245" s="27"/>
      <c r="M245" s="27"/>
      <c r="N245" s="27" t="s">
        <v>227</v>
      </c>
    </row>
    <row r="246" spans="1:14">
      <c r="A246" s="20">
        <v>45153</v>
      </c>
      <c r="B246" s="27" t="s">
        <v>254</v>
      </c>
      <c r="C246" s="27"/>
      <c r="D246" s="27"/>
      <c r="E246" s="27"/>
      <c r="F246" s="30">
        <v>0.48958333333333331</v>
      </c>
      <c r="G246" s="30">
        <v>0.51041666666666663</v>
      </c>
      <c r="H246" s="29">
        <f t="shared" si="9"/>
        <v>2.0833333333333315E-2</v>
      </c>
      <c r="I246" s="28">
        <f t="shared" si="10"/>
        <v>0.5</v>
      </c>
      <c r="J246" s="28">
        <f t="shared" si="11"/>
        <v>30</v>
      </c>
      <c r="K246" s="27"/>
      <c r="L246" s="27"/>
      <c r="M246" s="27"/>
      <c r="N246" s="27" t="s">
        <v>227</v>
      </c>
    </row>
    <row r="247" spans="1:14">
      <c r="A247" s="20">
        <v>45153</v>
      </c>
      <c r="B247" s="27" t="s">
        <v>13</v>
      </c>
      <c r="C247" s="27" t="s">
        <v>14</v>
      </c>
      <c r="D247" s="27"/>
      <c r="E247" s="27"/>
      <c r="F247" s="30">
        <v>0.51041666666666663</v>
      </c>
      <c r="G247" s="30">
        <v>0.54166666666666663</v>
      </c>
      <c r="H247" s="29">
        <f t="shared" si="9"/>
        <v>3.125E-2</v>
      </c>
      <c r="I247" s="28">
        <f t="shared" si="10"/>
        <v>0.75</v>
      </c>
      <c r="J247" s="28">
        <f t="shared" si="11"/>
        <v>45</v>
      </c>
      <c r="K247" s="27"/>
      <c r="L247" s="27"/>
      <c r="M247" s="27"/>
      <c r="N247" s="27" t="s">
        <v>227</v>
      </c>
    </row>
    <row r="248" spans="1:14">
      <c r="A248" s="20">
        <v>45153</v>
      </c>
      <c r="B248" s="27" t="s">
        <v>174</v>
      </c>
      <c r="C248" s="27" t="s">
        <v>8</v>
      </c>
      <c r="D248" s="27"/>
      <c r="E248" s="27"/>
      <c r="F248" s="30">
        <v>4.1666666666666664E-2</v>
      </c>
      <c r="G248" s="30">
        <v>0.14583333333333334</v>
      </c>
      <c r="H248" s="29">
        <f t="shared" si="9"/>
        <v>0.10416666666666669</v>
      </c>
      <c r="I248" s="28">
        <f t="shared" si="10"/>
        <v>2.5</v>
      </c>
      <c r="J248" s="28">
        <f t="shared" si="11"/>
        <v>150</v>
      </c>
      <c r="K248" s="27"/>
      <c r="L248" s="27"/>
      <c r="M248" s="27" t="s">
        <v>140</v>
      </c>
      <c r="N248" s="27" t="s">
        <v>227</v>
      </c>
    </row>
    <row r="249" spans="1:14">
      <c r="A249" s="20">
        <v>45154</v>
      </c>
      <c r="B249" s="45" t="s">
        <v>27</v>
      </c>
      <c r="C249" s="45" t="s">
        <v>88</v>
      </c>
      <c r="D249" s="45" t="s">
        <v>5</v>
      </c>
      <c r="E249" s="46">
        <v>3403</v>
      </c>
      <c r="F249" s="47">
        <v>0.35416666666666669</v>
      </c>
      <c r="G249" s="47">
        <v>0.41666666666666669</v>
      </c>
      <c r="H249" s="29">
        <f t="shared" si="9"/>
        <v>6.25E-2</v>
      </c>
      <c r="I249" s="28">
        <f t="shared" si="10"/>
        <v>1.5</v>
      </c>
      <c r="J249" s="28">
        <f t="shared" si="11"/>
        <v>90</v>
      </c>
      <c r="K249" s="45">
        <v>1050</v>
      </c>
      <c r="L249" s="45" t="s">
        <v>59</v>
      </c>
      <c r="M249" s="4"/>
    </row>
    <row r="250" spans="1:14">
      <c r="A250" s="20">
        <v>45154</v>
      </c>
      <c r="B250" s="45" t="s">
        <v>27</v>
      </c>
      <c r="C250" s="45" t="s">
        <v>88</v>
      </c>
      <c r="D250" s="45" t="s">
        <v>5</v>
      </c>
      <c r="E250" s="46">
        <v>31</v>
      </c>
      <c r="F250" s="47">
        <v>0.41666666666666669</v>
      </c>
      <c r="G250" s="47">
        <v>0.60416666666666663</v>
      </c>
      <c r="H250" s="29">
        <f t="shared" si="9"/>
        <v>0.18749999999999994</v>
      </c>
      <c r="I250" s="28">
        <f t="shared" si="10"/>
        <v>4.5</v>
      </c>
      <c r="J250" s="28">
        <f t="shared" si="11"/>
        <v>270</v>
      </c>
      <c r="K250" s="45">
        <v>2816</v>
      </c>
      <c r="L250" s="45" t="s">
        <v>59</v>
      </c>
      <c r="M250" s="4"/>
    </row>
    <row r="251" spans="1:14">
      <c r="A251" s="20">
        <v>45154</v>
      </c>
      <c r="B251" s="45" t="s">
        <v>27</v>
      </c>
      <c r="C251" s="45" t="s">
        <v>88</v>
      </c>
      <c r="D251" s="45" t="s">
        <v>5</v>
      </c>
      <c r="E251" s="46">
        <v>39</v>
      </c>
      <c r="F251" s="47">
        <v>0.125</v>
      </c>
      <c r="G251" s="47">
        <v>0.20833333333333334</v>
      </c>
      <c r="H251" s="29">
        <f t="shared" si="9"/>
        <v>8.3333333333333343E-2</v>
      </c>
      <c r="I251" s="28">
        <f t="shared" si="10"/>
        <v>2</v>
      </c>
      <c r="J251" s="28">
        <f t="shared" si="11"/>
        <v>120</v>
      </c>
      <c r="K251" s="45">
        <v>1236</v>
      </c>
      <c r="L251" s="45" t="s">
        <v>62</v>
      </c>
      <c r="M251" s="4"/>
    </row>
    <row r="252" spans="1:14">
      <c r="A252" s="20">
        <v>45154</v>
      </c>
      <c r="B252" s="45" t="s">
        <v>2</v>
      </c>
      <c r="C252" s="45" t="s">
        <v>175</v>
      </c>
      <c r="D252" s="45" t="s">
        <v>4</v>
      </c>
      <c r="E252" s="46">
        <v>177</v>
      </c>
      <c r="F252" s="47">
        <v>0.35416666666666669</v>
      </c>
      <c r="G252" s="47">
        <v>0.38194444444444442</v>
      </c>
      <c r="H252" s="29">
        <f t="shared" si="9"/>
        <v>2.7777777777777735E-2</v>
      </c>
      <c r="I252" s="28">
        <f t="shared" si="10"/>
        <v>0.66666666666666663</v>
      </c>
      <c r="J252" s="28">
        <f t="shared" si="11"/>
        <v>40</v>
      </c>
      <c r="K252" s="45"/>
      <c r="L252" s="45" t="s">
        <v>59</v>
      </c>
      <c r="M252" s="4"/>
    </row>
    <row r="253" spans="1:14">
      <c r="A253" s="20">
        <v>45154</v>
      </c>
      <c r="B253" s="45" t="s">
        <v>2</v>
      </c>
      <c r="C253" s="45" t="s">
        <v>175</v>
      </c>
      <c r="D253" s="45" t="s">
        <v>4</v>
      </c>
      <c r="E253" s="46" t="s">
        <v>176</v>
      </c>
      <c r="F253" s="47">
        <v>0.38194444444444442</v>
      </c>
      <c r="G253" s="47">
        <v>0.45833333333333331</v>
      </c>
      <c r="H253" s="29">
        <f t="shared" si="9"/>
        <v>7.6388888888888895E-2</v>
      </c>
      <c r="I253" s="28">
        <f t="shared" si="10"/>
        <v>1.8333333333333335</v>
      </c>
      <c r="J253" s="28">
        <f t="shared" si="11"/>
        <v>110.00000000000001</v>
      </c>
      <c r="K253" s="45"/>
      <c r="L253" s="45" t="s">
        <v>62</v>
      </c>
      <c r="M253" s="4"/>
    </row>
    <row r="254" spans="1:14">
      <c r="A254" s="20">
        <v>45154</v>
      </c>
      <c r="B254" s="45" t="s">
        <v>2</v>
      </c>
      <c r="C254" s="45" t="s">
        <v>175</v>
      </c>
      <c r="D254" s="45" t="s">
        <v>4</v>
      </c>
      <c r="E254" s="46" t="s">
        <v>176</v>
      </c>
      <c r="F254" s="47">
        <v>0.46875</v>
      </c>
      <c r="G254" s="47">
        <v>0.50694444444444442</v>
      </c>
      <c r="H254" s="29">
        <f t="shared" si="9"/>
        <v>3.819444444444442E-2</v>
      </c>
      <c r="I254" s="28">
        <f t="shared" si="10"/>
        <v>0.91666666666666663</v>
      </c>
      <c r="J254" s="28">
        <f t="shared" si="11"/>
        <v>55</v>
      </c>
      <c r="K254" s="45"/>
      <c r="L254" s="45" t="s">
        <v>59</v>
      </c>
      <c r="M254" s="4"/>
    </row>
    <row r="255" spans="1:14">
      <c r="A255" s="20">
        <v>45154</v>
      </c>
      <c r="B255" s="45" t="s">
        <v>2</v>
      </c>
      <c r="C255" s="45" t="s">
        <v>175</v>
      </c>
      <c r="D255" s="45" t="s">
        <v>4</v>
      </c>
      <c r="E255" s="46" t="s">
        <v>177</v>
      </c>
      <c r="F255" s="47">
        <v>0.50694444444444442</v>
      </c>
      <c r="G255" s="47">
        <v>0.52083333333333337</v>
      </c>
      <c r="H255" s="29">
        <f t="shared" si="9"/>
        <v>1.3888888888888951E-2</v>
      </c>
      <c r="I255" s="28">
        <f t="shared" si="10"/>
        <v>0.33333333333333331</v>
      </c>
      <c r="J255" s="28">
        <f t="shared" si="11"/>
        <v>20</v>
      </c>
      <c r="K255" s="45"/>
      <c r="L255" s="45" t="s">
        <v>62</v>
      </c>
      <c r="M255" s="4"/>
    </row>
    <row r="256" spans="1:14">
      <c r="A256" s="20">
        <v>45154</v>
      </c>
      <c r="B256" s="45" t="s">
        <v>2</v>
      </c>
      <c r="C256" s="45" t="s">
        <v>175</v>
      </c>
      <c r="D256" s="45"/>
      <c r="E256" s="46" t="s">
        <v>177</v>
      </c>
      <c r="F256" s="47">
        <v>4.1666666666666664E-2</v>
      </c>
      <c r="G256" s="47">
        <v>6.9444444444444434E-2</v>
      </c>
      <c r="H256" s="29">
        <f t="shared" si="9"/>
        <v>2.7777777777777769E-2</v>
      </c>
      <c r="I256" s="28">
        <f t="shared" si="10"/>
        <v>0.66666666666666663</v>
      </c>
      <c r="J256" s="28">
        <f t="shared" si="11"/>
        <v>40</v>
      </c>
      <c r="K256" s="45"/>
      <c r="L256" s="45" t="s">
        <v>62</v>
      </c>
      <c r="M256" s="4"/>
    </row>
    <row r="257" spans="1:13">
      <c r="A257" s="20">
        <v>45154</v>
      </c>
      <c r="B257" s="45" t="s">
        <v>6</v>
      </c>
      <c r="C257" s="45" t="s">
        <v>83</v>
      </c>
      <c r="D257" s="45" t="s">
        <v>3</v>
      </c>
      <c r="E257" s="46"/>
      <c r="F257" s="47">
        <v>6.9444444444444434E-2</v>
      </c>
      <c r="G257" s="47">
        <v>7.9861111111111105E-2</v>
      </c>
      <c r="H257" s="29">
        <f t="shared" si="9"/>
        <v>1.0416666666666671E-2</v>
      </c>
      <c r="I257" s="28">
        <f t="shared" si="10"/>
        <v>0.25</v>
      </c>
      <c r="J257" s="28">
        <f t="shared" si="11"/>
        <v>15</v>
      </c>
      <c r="K257" s="45"/>
      <c r="L257" s="45"/>
      <c r="M257" s="4"/>
    </row>
    <row r="258" spans="1:13">
      <c r="A258" s="20">
        <v>45154</v>
      </c>
      <c r="B258" s="45" t="s">
        <v>2</v>
      </c>
      <c r="C258" s="45" t="s">
        <v>175</v>
      </c>
      <c r="D258" s="45" t="s">
        <v>4</v>
      </c>
      <c r="E258" s="46" t="s">
        <v>177</v>
      </c>
      <c r="F258" s="47">
        <v>7.9861111111111105E-2</v>
      </c>
      <c r="G258" s="47">
        <v>0.13541666666666666</v>
      </c>
      <c r="H258" s="29">
        <f t="shared" ref="H258:H290" si="12">G258-F258</f>
        <v>5.5555555555555552E-2</v>
      </c>
      <c r="I258" s="28">
        <f t="shared" ref="I258:I290" si="13">HOUR(H258)+MINUTE(H258)/60</f>
        <v>1.3333333333333333</v>
      </c>
      <c r="J258" s="28">
        <f t="shared" ref="J258:J290" si="14">I258*60</f>
        <v>80</v>
      </c>
      <c r="K258" s="45"/>
      <c r="L258" s="45" t="s">
        <v>62</v>
      </c>
      <c r="M258" s="4"/>
    </row>
    <row r="259" spans="1:13">
      <c r="A259" s="20">
        <v>45154</v>
      </c>
      <c r="B259" s="45" t="s">
        <v>2</v>
      </c>
      <c r="C259" s="45" t="s">
        <v>175</v>
      </c>
      <c r="D259" s="45" t="s">
        <v>4</v>
      </c>
      <c r="E259" s="46" t="s">
        <v>177</v>
      </c>
      <c r="F259" s="47">
        <v>0.14583333333333334</v>
      </c>
      <c r="G259" s="47">
        <v>0.1875</v>
      </c>
      <c r="H259" s="29">
        <f t="shared" si="12"/>
        <v>4.1666666666666657E-2</v>
      </c>
      <c r="I259" s="28">
        <f t="shared" si="13"/>
        <v>1</v>
      </c>
      <c r="J259" s="28">
        <f t="shared" si="14"/>
        <v>60</v>
      </c>
      <c r="K259" s="45"/>
      <c r="L259" s="45" t="s">
        <v>59</v>
      </c>
      <c r="M259" s="4"/>
    </row>
    <row r="260" spans="1:13">
      <c r="A260" s="20">
        <v>45154</v>
      </c>
      <c r="B260" s="45" t="s">
        <v>27</v>
      </c>
      <c r="C260" s="45" t="s">
        <v>88</v>
      </c>
      <c r="D260" s="45" t="s">
        <v>4</v>
      </c>
      <c r="E260" s="46">
        <v>22</v>
      </c>
      <c r="F260" s="47">
        <v>0.1875</v>
      </c>
      <c r="G260" s="47">
        <v>0.20833333333333334</v>
      </c>
      <c r="H260" s="29">
        <f t="shared" si="12"/>
        <v>2.0833333333333343E-2</v>
      </c>
      <c r="I260" s="28">
        <f t="shared" si="13"/>
        <v>0.5</v>
      </c>
      <c r="J260" s="28">
        <f t="shared" si="14"/>
        <v>30</v>
      </c>
      <c r="K260" s="45"/>
      <c r="L260" s="45" t="s">
        <v>62</v>
      </c>
      <c r="M260" s="4"/>
    </row>
    <row r="261" spans="1:13">
      <c r="A261" s="20">
        <v>45154</v>
      </c>
      <c r="B261" s="45" t="s">
        <v>27</v>
      </c>
      <c r="C261" s="45" t="s">
        <v>88</v>
      </c>
      <c r="D261" s="45" t="s">
        <v>3</v>
      </c>
      <c r="E261" s="46">
        <v>31</v>
      </c>
      <c r="F261" s="47">
        <v>0.35416666666666669</v>
      </c>
      <c r="G261" s="47">
        <v>0.36805555555555558</v>
      </c>
      <c r="H261" s="29">
        <f t="shared" si="12"/>
        <v>1.3888888888888895E-2</v>
      </c>
      <c r="I261" s="28">
        <f t="shared" si="13"/>
        <v>0.33333333333333331</v>
      </c>
      <c r="J261" s="28">
        <f t="shared" si="14"/>
        <v>20</v>
      </c>
      <c r="K261" s="48">
        <v>1</v>
      </c>
      <c r="L261" s="45" t="s">
        <v>59</v>
      </c>
      <c r="M261" s="4"/>
    </row>
    <row r="262" spans="1:13">
      <c r="A262" s="20">
        <v>45154</v>
      </c>
      <c r="B262" s="45" t="s">
        <v>27</v>
      </c>
      <c r="C262" s="45" t="s">
        <v>88</v>
      </c>
      <c r="D262" s="45" t="s">
        <v>31</v>
      </c>
      <c r="E262" s="46">
        <v>35</v>
      </c>
      <c r="F262" s="47">
        <v>0.37013888888888885</v>
      </c>
      <c r="G262" s="47">
        <v>0.45833333333333331</v>
      </c>
      <c r="H262" s="29">
        <f t="shared" si="12"/>
        <v>8.8194444444444464E-2</v>
      </c>
      <c r="I262" s="28">
        <f t="shared" si="13"/>
        <v>2.1166666666666667</v>
      </c>
      <c r="J262" s="28">
        <f t="shared" si="14"/>
        <v>127</v>
      </c>
      <c r="K262" s="48">
        <v>0.4</v>
      </c>
      <c r="L262" s="45" t="s">
        <v>62</v>
      </c>
      <c r="M262" s="4"/>
    </row>
    <row r="263" spans="1:13">
      <c r="A263" s="20">
        <v>45154</v>
      </c>
      <c r="B263" s="45" t="s">
        <v>27</v>
      </c>
      <c r="C263" s="45" t="s">
        <v>88</v>
      </c>
      <c r="D263" s="45" t="s">
        <v>31</v>
      </c>
      <c r="E263" s="46">
        <v>35</v>
      </c>
      <c r="F263" s="47">
        <v>0.46875</v>
      </c>
      <c r="G263" s="47">
        <v>0.5</v>
      </c>
      <c r="H263" s="29">
        <f t="shared" si="12"/>
        <v>3.125E-2</v>
      </c>
      <c r="I263" s="28">
        <f t="shared" si="13"/>
        <v>0.75</v>
      </c>
      <c r="J263" s="28">
        <f t="shared" si="14"/>
        <v>45</v>
      </c>
      <c r="K263" s="48">
        <v>0.47</v>
      </c>
      <c r="L263" s="45" t="s">
        <v>62</v>
      </c>
      <c r="M263" s="4"/>
    </row>
    <row r="264" spans="1:13">
      <c r="A264" s="20">
        <v>45154</v>
      </c>
      <c r="B264" s="45" t="s">
        <v>27</v>
      </c>
      <c r="C264" s="45" t="s">
        <v>88</v>
      </c>
      <c r="D264" s="45" t="s">
        <v>31</v>
      </c>
      <c r="E264" s="46">
        <v>35</v>
      </c>
      <c r="F264" s="47">
        <v>0.52083333333333337</v>
      </c>
      <c r="G264" s="47">
        <v>0.63541666666666663</v>
      </c>
      <c r="H264" s="29">
        <f t="shared" si="12"/>
        <v>0.11458333333333326</v>
      </c>
      <c r="I264" s="28">
        <f t="shared" si="13"/>
        <v>2.75</v>
      </c>
      <c r="J264" s="28">
        <f t="shared" si="14"/>
        <v>165</v>
      </c>
      <c r="K264" s="48">
        <v>0.89</v>
      </c>
      <c r="L264" s="45" t="s">
        <v>62</v>
      </c>
      <c r="M264" s="4"/>
    </row>
    <row r="265" spans="1:13">
      <c r="A265" s="20">
        <v>45154</v>
      </c>
      <c r="B265" s="45" t="s">
        <v>27</v>
      </c>
      <c r="C265" s="45" t="s">
        <v>88</v>
      </c>
      <c r="D265" s="45" t="s">
        <v>3</v>
      </c>
      <c r="E265" s="46">
        <v>35</v>
      </c>
      <c r="F265" s="47">
        <v>0.14583333333333334</v>
      </c>
      <c r="G265" s="47">
        <v>0.17708333333333334</v>
      </c>
      <c r="H265" s="29">
        <f t="shared" si="12"/>
        <v>3.125E-2</v>
      </c>
      <c r="I265" s="28">
        <f t="shared" si="13"/>
        <v>0.75</v>
      </c>
      <c r="J265" s="28">
        <f t="shared" si="14"/>
        <v>45</v>
      </c>
      <c r="K265" s="48">
        <v>1</v>
      </c>
      <c r="L265" s="45" t="s">
        <v>59</v>
      </c>
      <c r="M265" s="4"/>
    </row>
    <row r="266" spans="1:13">
      <c r="A266" s="20">
        <v>45154</v>
      </c>
      <c r="B266" s="45" t="s">
        <v>27</v>
      </c>
      <c r="C266" s="45" t="s">
        <v>88</v>
      </c>
      <c r="D266" s="45" t="s">
        <v>41</v>
      </c>
      <c r="E266" s="46">
        <v>36</v>
      </c>
      <c r="F266" s="47">
        <v>0.18055555555555555</v>
      </c>
      <c r="G266" s="47">
        <v>0.20833333333333334</v>
      </c>
      <c r="H266" s="29">
        <f t="shared" si="12"/>
        <v>2.777777777777779E-2</v>
      </c>
      <c r="I266" s="28">
        <f t="shared" si="13"/>
        <v>0.66666666666666663</v>
      </c>
      <c r="J266" s="28">
        <f t="shared" si="14"/>
        <v>40</v>
      </c>
      <c r="K266" s="48">
        <v>0.01</v>
      </c>
      <c r="L266" s="45" t="s">
        <v>62</v>
      </c>
      <c r="M266" s="4"/>
    </row>
    <row r="267" spans="1:13">
      <c r="A267" s="20">
        <v>45154</v>
      </c>
      <c r="B267" s="45" t="s">
        <v>6</v>
      </c>
      <c r="C267" s="49" t="s">
        <v>95</v>
      </c>
      <c r="D267" s="45" t="s">
        <v>14</v>
      </c>
      <c r="E267" s="46"/>
      <c r="F267" s="47">
        <v>0.375</v>
      </c>
      <c r="G267" s="47">
        <v>0.45833333333333331</v>
      </c>
      <c r="H267" s="29">
        <f t="shared" si="12"/>
        <v>8.3333333333333315E-2</v>
      </c>
      <c r="I267" s="28">
        <f t="shared" si="13"/>
        <v>2</v>
      </c>
      <c r="J267" s="28">
        <f t="shared" si="14"/>
        <v>120</v>
      </c>
      <c r="K267" s="45"/>
      <c r="L267" s="45"/>
      <c r="M267" s="4"/>
    </row>
    <row r="268" spans="1:13">
      <c r="A268" s="20">
        <v>45154</v>
      </c>
      <c r="B268" s="45" t="s">
        <v>6</v>
      </c>
      <c r="C268" s="49" t="s">
        <v>95</v>
      </c>
      <c r="D268" s="45" t="s">
        <v>14</v>
      </c>
      <c r="E268" s="46"/>
      <c r="F268" s="47">
        <v>0.46875</v>
      </c>
      <c r="G268" s="47">
        <v>0.54166666666666663</v>
      </c>
      <c r="H268" s="29">
        <f t="shared" si="12"/>
        <v>7.291666666666663E-2</v>
      </c>
      <c r="I268" s="28">
        <f t="shared" si="13"/>
        <v>1.75</v>
      </c>
      <c r="J268" s="28">
        <f t="shared" si="14"/>
        <v>105</v>
      </c>
      <c r="K268" s="45"/>
      <c r="L268" s="45"/>
      <c r="M268" s="4"/>
    </row>
    <row r="269" spans="1:13">
      <c r="A269" s="20">
        <v>45154</v>
      </c>
      <c r="B269" s="45" t="s">
        <v>6</v>
      </c>
      <c r="C269" s="49" t="s">
        <v>95</v>
      </c>
      <c r="D269" s="45"/>
      <c r="E269" s="46"/>
      <c r="F269" s="47">
        <v>0.5625</v>
      </c>
      <c r="G269" s="47">
        <v>0.60416666666666663</v>
      </c>
      <c r="H269" s="29">
        <f t="shared" si="12"/>
        <v>4.166666666666663E-2</v>
      </c>
      <c r="I269" s="28">
        <f t="shared" si="13"/>
        <v>1</v>
      </c>
      <c r="J269" s="28">
        <f t="shared" si="14"/>
        <v>60</v>
      </c>
      <c r="K269" s="45"/>
      <c r="L269" s="45" t="s">
        <v>62</v>
      </c>
      <c r="M269" s="45" t="s">
        <v>166</v>
      </c>
    </row>
    <row r="270" spans="1:13">
      <c r="A270" s="20">
        <v>45155</v>
      </c>
      <c r="B270" s="45" t="s">
        <v>178</v>
      </c>
      <c r="C270" s="45" t="s">
        <v>88</v>
      </c>
      <c r="D270" s="45" t="s">
        <v>3</v>
      </c>
      <c r="E270" s="46">
        <v>36</v>
      </c>
      <c r="F270" s="30">
        <v>0.35416666666666669</v>
      </c>
      <c r="G270" s="30">
        <v>0.45833333333333331</v>
      </c>
      <c r="H270" s="29">
        <f t="shared" si="12"/>
        <v>0.10416666666666663</v>
      </c>
      <c r="I270" s="28">
        <f t="shared" si="13"/>
        <v>2.5</v>
      </c>
      <c r="J270" s="28">
        <f t="shared" si="14"/>
        <v>150</v>
      </c>
      <c r="K270" s="4"/>
      <c r="L270" s="4"/>
      <c r="M270" s="4"/>
    </row>
    <row r="271" spans="1:13">
      <c r="A271" s="20">
        <v>45155</v>
      </c>
      <c r="B271" s="45" t="s">
        <v>178</v>
      </c>
      <c r="C271" s="45" t="s">
        <v>88</v>
      </c>
      <c r="D271" s="45" t="s">
        <v>146</v>
      </c>
      <c r="E271" s="46">
        <v>22</v>
      </c>
      <c r="F271" s="30">
        <v>0.35416666666666669</v>
      </c>
      <c r="G271" s="30">
        <v>0.45833333333333331</v>
      </c>
      <c r="H271" s="29">
        <f t="shared" si="12"/>
        <v>0.10416666666666663</v>
      </c>
      <c r="I271" s="28">
        <f t="shared" si="13"/>
        <v>2.5</v>
      </c>
      <c r="J271" s="28">
        <f t="shared" si="14"/>
        <v>150</v>
      </c>
      <c r="K271" s="4"/>
      <c r="L271" s="4" t="s">
        <v>62</v>
      </c>
      <c r="M271" s="4" t="s">
        <v>257</v>
      </c>
    </row>
    <row r="272" spans="1:13">
      <c r="A272" s="20">
        <v>45155</v>
      </c>
      <c r="B272" s="45" t="s">
        <v>178</v>
      </c>
      <c r="C272" s="45" t="s">
        <v>88</v>
      </c>
      <c r="D272" s="45" t="s">
        <v>146</v>
      </c>
      <c r="E272" s="46">
        <v>22</v>
      </c>
      <c r="F272" s="30">
        <v>0.46875</v>
      </c>
      <c r="G272" s="30">
        <v>0.5</v>
      </c>
      <c r="H272" s="29">
        <f t="shared" si="12"/>
        <v>3.125E-2</v>
      </c>
      <c r="I272" s="28">
        <f t="shared" si="13"/>
        <v>0.75</v>
      </c>
      <c r="J272" s="28">
        <f t="shared" si="14"/>
        <v>45</v>
      </c>
      <c r="K272" s="4"/>
      <c r="L272" s="4" t="s">
        <v>62</v>
      </c>
      <c r="M272" s="4" t="s">
        <v>258</v>
      </c>
    </row>
    <row r="273" spans="1:13">
      <c r="A273" s="20">
        <v>45155</v>
      </c>
      <c r="B273" s="45" t="s">
        <v>178</v>
      </c>
      <c r="C273" s="45" t="s">
        <v>88</v>
      </c>
      <c r="D273" s="45" t="s">
        <v>146</v>
      </c>
      <c r="E273" s="46">
        <v>22</v>
      </c>
      <c r="F273" s="30">
        <v>0.5</v>
      </c>
      <c r="G273" s="30">
        <v>0.52083333333333337</v>
      </c>
      <c r="H273" s="29">
        <f t="shared" si="12"/>
        <v>2.083333333333337E-2</v>
      </c>
      <c r="I273" s="28">
        <f t="shared" si="13"/>
        <v>0.5</v>
      </c>
      <c r="J273" s="28">
        <f t="shared" si="14"/>
        <v>30</v>
      </c>
      <c r="K273" s="4"/>
      <c r="L273" s="4" t="s">
        <v>62</v>
      </c>
      <c r="M273" s="4"/>
    </row>
    <row r="274" spans="1:13">
      <c r="A274" s="20">
        <v>45155</v>
      </c>
      <c r="B274" s="45" t="s">
        <v>6</v>
      </c>
      <c r="C274" s="45" t="s">
        <v>83</v>
      </c>
      <c r="D274" s="45" t="s">
        <v>3</v>
      </c>
      <c r="E274" s="17"/>
      <c r="F274" s="30">
        <v>4.1666666666666664E-2</v>
      </c>
      <c r="G274" s="30">
        <v>0.13541666666666666</v>
      </c>
      <c r="H274" s="29">
        <f t="shared" si="12"/>
        <v>9.375E-2</v>
      </c>
      <c r="I274" s="28">
        <f t="shared" si="13"/>
        <v>2.25</v>
      </c>
      <c r="J274" s="28">
        <f t="shared" si="14"/>
        <v>135</v>
      </c>
      <c r="K274" s="4"/>
      <c r="L274" s="4" t="s">
        <v>59</v>
      </c>
      <c r="M274" s="4"/>
    </row>
    <row r="275" spans="1:13">
      <c r="A275" s="20">
        <v>45155</v>
      </c>
      <c r="B275" s="45" t="s">
        <v>6</v>
      </c>
      <c r="C275" s="45" t="s">
        <v>83</v>
      </c>
      <c r="D275" s="45" t="s">
        <v>9</v>
      </c>
      <c r="E275" s="46">
        <v>0</v>
      </c>
      <c r="F275" s="30">
        <v>0.14583333333333334</v>
      </c>
      <c r="G275" s="30">
        <v>0.19791666666666666</v>
      </c>
      <c r="H275" s="29">
        <f t="shared" si="12"/>
        <v>5.2083333333333315E-2</v>
      </c>
      <c r="I275" s="28">
        <f t="shared" si="13"/>
        <v>1.25</v>
      </c>
      <c r="J275" s="28">
        <f t="shared" si="14"/>
        <v>75</v>
      </c>
      <c r="K275" s="4"/>
      <c r="L275" s="4" t="s">
        <v>62</v>
      </c>
      <c r="M275" s="4"/>
    </row>
    <row r="276" spans="1:13">
      <c r="A276" s="20">
        <v>45155</v>
      </c>
      <c r="B276" s="45" t="s">
        <v>178</v>
      </c>
      <c r="C276" s="45" t="s">
        <v>88</v>
      </c>
      <c r="D276" s="45" t="s">
        <v>146</v>
      </c>
      <c r="E276" s="17"/>
      <c r="F276" s="30">
        <v>0.19791666666666666</v>
      </c>
      <c r="G276" s="30">
        <v>0.20833333333333334</v>
      </c>
      <c r="H276" s="29">
        <f t="shared" si="12"/>
        <v>1.0416666666666685E-2</v>
      </c>
      <c r="I276" s="28">
        <f t="shared" si="13"/>
        <v>0.25</v>
      </c>
      <c r="J276" s="28">
        <f t="shared" si="14"/>
        <v>15</v>
      </c>
      <c r="K276" s="4">
        <v>537</v>
      </c>
      <c r="L276" s="4"/>
      <c r="M276" s="4"/>
    </row>
    <row r="277" spans="1:13">
      <c r="A277" s="20">
        <v>45155</v>
      </c>
      <c r="B277" s="45" t="s">
        <v>179</v>
      </c>
      <c r="C277" s="45" t="s">
        <v>180</v>
      </c>
      <c r="D277" s="45" t="s">
        <v>3</v>
      </c>
      <c r="E277" s="46">
        <v>304</v>
      </c>
      <c r="F277" s="30">
        <v>0.35416666666666669</v>
      </c>
      <c r="G277" s="30">
        <v>0.3923611111111111</v>
      </c>
      <c r="H277" s="29">
        <f t="shared" si="12"/>
        <v>3.819444444444442E-2</v>
      </c>
      <c r="I277" s="28">
        <f t="shared" si="13"/>
        <v>0.91666666666666663</v>
      </c>
      <c r="J277" s="28">
        <f t="shared" si="14"/>
        <v>55</v>
      </c>
      <c r="K277" s="4"/>
      <c r="L277" s="4"/>
      <c r="M277" s="4"/>
    </row>
    <row r="278" spans="1:13">
      <c r="A278" s="20">
        <v>45155</v>
      </c>
      <c r="B278" s="45" t="s">
        <v>178</v>
      </c>
      <c r="C278" s="45" t="s">
        <v>88</v>
      </c>
      <c r="D278" s="45" t="s">
        <v>146</v>
      </c>
      <c r="E278" s="17">
        <v>24</v>
      </c>
      <c r="F278" s="30">
        <v>0.39166666666666666</v>
      </c>
      <c r="G278" s="30">
        <v>0.54166666666666663</v>
      </c>
      <c r="H278" s="29">
        <f t="shared" si="12"/>
        <v>0.14999999999999997</v>
      </c>
      <c r="I278" s="28">
        <f t="shared" si="13"/>
        <v>3.6</v>
      </c>
      <c r="J278" s="28">
        <f t="shared" si="14"/>
        <v>216</v>
      </c>
      <c r="K278" s="4"/>
      <c r="L278" s="4"/>
      <c r="M278" s="4"/>
    </row>
    <row r="279" spans="1:13">
      <c r="A279" s="20">
        <v>45155</v>
      </c>
      <c r="B279" s="45" t="s">
        <v>178</v>
      </c>
      <c r="C279" s="45" t="s">
        <v>88</v>
      </c>
      <c r="D279" s="45" t="s">
        <v>146</v>
      </c>
      <c r="E279" s="46">
        <v>24</v>
      </c>
      <c r="F279" s="30">
        <v>0.5625</v>
      </c>
      <c r="G279" s="30">
        <v>0.69097222222222221</v>
      </c>
      <c r="H279" s="29">
        <f t="shared" si="12"/>
        <v>0.12847222222222221</v>
      </c>
      <c r="I279" s="28">
        <f t="shared" si="13"/>
        <v>3.0833333333333335</v>
      </c>
      <c r="J279" s="28">
        <f t="shared" si="14"/>
        <v>185</v>
      </c>
      <c r="K279" s="4"/>
      <c r="L279" s="4"/>
      <c r="M279" s="4"/>
    </row>
    <row r="280" spans="1:13">
      <c r="A280" s="20">
        <v>45155</v>
      </c>
      <c r="B280" s="45" t="s">
        <v>6</v>
      </c>
      <c r="C280" s="45" t="s">
        <v>181</v>
      </c>
      <c r="D280" s="45" t="s">
        <v>14</v>
      </c>
      <c r="E280" s="17"/>
      <c r="F280" s="30">
        <v>0.375</v>
      </c>
      <c r="G280" s="30">
        <v>0.46875</v>
      </c>
      <c r="H280" s="29">
        <f t="shared" si="12"/>
        <v>9.375E-2</v>
      </c>
      <c r="I280" s="28">
        <f t="shared" si="13"/>
        <v>2.25</v>
      </c>
      <c r="J280" s="28">
        <f t="shared" si="14"/>
        <v>135</v>
      </c>
      <c r="K280" s="4"/>
      <c r="L280" s="4"/>
      <c r="M280" s="4"/>
    </row>
    <row r="281" spans="1:13">
      <c r="A281" s="20">
        <v>45155</v>
      </c>
      <c r="B281" s="45" t="s">
        <v>6</v>
      </c>
      <c r="C281" s="45" t="s">
        <v>181</v>
      </c>
      <c r="D281" s="45" t="s">
        <v>14</v>
      </c>
      <c r="E281" s="17"/>
      <c r="F281" s="30">
        <v>0.47916666666666669</v>
      </c>
      <c r="G281" s="30">
        <v>0.52083333333333337</v>
      </c>
      <c r="H281" s="29">
        <f t="shared" si="12"/>
        <v>4.1666666666666685E-2</v>
      </c>
      <c r="I281" s="28">
        <f t="shared" si="13"/>
        <v>1</v>
      </c>
      <c r="J281" s="28">
        <f t="shared" si="14"/>
        <v>60</v>
      </c>
      <c r="K281" s="4"/>
      <c r="L281" s="4"/>
      <c r="M281" s="4"/>
    </row>
    <row r="282" spans="1:13">
      <c r="A282" s="20">
        <v>45155</v>
      </c>
      <c r="B282" s="45" t="s">
        <v>6</v>
      </c>
      <c r="C282" s="45" t="s">
        <v>181</v>
      </c>
      <c r="D282" s="45" t="s">
        <v>14</v>
      </c>
      <c r="E282" s="17"/>
      <c r="F282" s="30">
        <v>4.1666666666666664E-2</v>
      </c>
      <c r="G282" s="30">
        <v>6.25E-2</v>
      </c>
      <c r="H282" s="29">
        <f t="shared" si="12"/>
        <v>2.0833333333333336E-2</v>
      </c>
      <c r="I282" s="28">
        <f t="shared" si="13"/>
        <v>0.5</v>
      </c>
      <c r="J282" s="28">
        <f t="shared" si="14"/>
        <v>30</v>
      </c>
      <c r="K282" s="4">
        <v>220</v>
      </c>
      <c r="L282" s="4"/>
      <c r="M282" s="4"/>
    </row>
    <row r="283" spans="1:13">
      <c r="A283" s="20">
        <v>45155</v>
      </c>
      <c r="B283" s="45" t="s">
        <v>178</v>
      </c>
      <c r="C283" s="45" t="s">
        <v>88</v>
      </c>
      <c r="D283" s="45" t="s">
        <v>146</v>
      </c>
      <c r="E283" s="17">
        <v>23</v>
      </c>
      <c r="F283" s="30">
        <v>0.5625</v>
      </c>
      <c r="G283" s="30">
        <v>0.64583333333333337</v>
      </c>
      <c r="H283" s="29">
        <f t="shared" si="12"/>
        <v>8.333333333333337E-2</v>
      </c>
      <c r="I283" s="28">
        <f t="shared" si="13"/>
        <v>2</v>
      </c>
      <c r="J283" s="28">
        <f t="shared" si="14"/>
        <v>120</v>
      </c>
      <c r="K283" s="4"/>
      <c r="L283" s="4" t="s">
        <v>59</v>
      </c>
      <c r="M283" s="4"/>
    </row>
    <row r="284" spans="1:13">
      <c r="A284" s="20">
        <v>45155</v>
      </c>
      <c r="B284" s="45" t="s">
        <v>178</v>
      </c>
      <c r="C284" s="45" t="s">
        <v>88</v>
      </c>
      <c r="D284" s="45" t="s">
        <v>146</v>
      </c>
      <c r="E284" s="17">
        <v>29</v>
      </c>
      <c r="F284" s="30">
        <v>0.51041666666666663</v>
      </c>
      <c r="G284" s="30">
        <v>0.70833333333333337</v>
      </c>
      <c r="H284" s="29">
        <f t="shared" si="12"/>
        <v>0.19791666666666674</v>
      </c>
      <c r="I284" s="28">
        <f t="shared" si="13"/>
        <v>4.75</v>
      </c>
      <c r="J284" s="28">
        <f t="shared" si="14"/>
        <v>285</v>
      </c>
      <c r="K284" s="4"/>
      <c r="L284" s="4"/>
      <c r="M284" s="4"/>
    </row>
    <row r="285" spans="1:13">
      <c r="A285" s="20">
        <v>45155</v>
      </c>
      <c r="B285" s="45" t="s">
        <v>16</v>
      </c>
      <c r="C285" s="45" t="s">
        <v>119</v>
      </c>
      <c r="D285" s="45" t="s">
        <v>3</v>
      </c>
      <c r="E285" s="17"/>
      <c r="F285" s="30">
        <v>0.35416666666666669</v>
      </c>
      <c r="G285" s="30">
        <v>0.375</v>
      </c>
      <c r="H285" s="29">
        <f t="shared" si="12"/>
        <v>2.0833333333333315E-2</v>
      </c>
      <c r="I285" s="28">
        <f t="shared" si="13"/>
        <v>0.5</v>
      </c>
      <c r="J285" s="28">
        <f t="shared" si="14"/>
        <v>30</v>
      </c>
      <c r="K285" s="4"/>
      <c r="L285" s="4"/>
      <c r="M285" s="4"/>
    </row>
    <row r="286" spans="1:13">
      <c r="A286" s="20">
        <v>45155</v>
      </c>
      <c r="B286" s="45" t="s">
        <v>178</v>
      </c>
      <c r="C286" s="45" t="s">
        <v>88</v>
      </c>
      <c r="D286" s="45" t="s">
        <v>5</v>
      </c>
      <c r="E286" s="17">
        <v>39</v>
      </c>
      <c r="F286" s="30">
        <v>0.375</v>
      </c>
      <c r="G286" s="30">
        <v>0.42708333333333331</v>
      </c>
      <c r="H286" s="29">
        <f t="shared" si="12"/>
        <v>5.2083333333333315E-2</v>
      </c>
      <c r="I286" s="28">
        <f t="shared" si="13"/>
        <v>1.25</v>
      </c>
      <c r="J286" s="28">
        <f t="shared" si="14"/>
        <v>75</v>
      </c>
      <c r="K286" s="4"/>
      <c r="L286" s="4"/>
      <c r="M286" s="4"/>
    </row>
    <row r="287" spans="1:13">
      <c r="A287" s="20">
        <v>45155</v>
      </c>
      <c r="B287" s="45" t="s">
        <v>15</v>
      </c>
      <c r="C287" s="45" t="s">
        <v>15</v>
      </c>
      <c r="D287" s="29" t="s">
        <v>15</v>
      </c>
      <c r="E287" s="17"/>
      <c r="F287" s="30">
        <v>0.42708333333333331</v>
      </c>
      <c r="G287" s="30">
        <v>0.46875</v>
      </c>
      <c r="H287" s="29">
        <f t="shared" si="12"/>
        <v>4.1666666666666685E-2</v>
      </c>
      <c r="I287" s="28">
        <f t="shared" si="13"/>
        <v>1</v>
      </c>
      <c r="J287" s="28">
        <f t="shared" si="14"/>
        <v>60</v>
      </c>
      <c r="K287" s="4"/>
      <c r="L287" s="4"/>
      <c r="M287" s="4"/>
    </row>
    <row r="288" spans="1:13">
      <c r="A288" s="20">
        <v>45155</v>
      </c>
      <c r="B288" s="45" t="s">
        <v>178</v>
      </c>
      <c r="C288" s="45" t="s">
        <v>88</v>
      </c>
      <c r="D288" s="45" t="s">
        <v>5</v>
      </c>
      <c r="E288" s="17">
        <v>39</v>
      </c>
      <c r="F288" s="30">
        <v>0.47916666666666669</v>
      </c>
      <c r="G288" s="30">
        <v>0.54166666666666663</v>
      </c>
      <c r="H288" s="29">
        <f t="shared" si="12"/>
        <v>6.2499999999999944E-2</v>
      </c>
      <c r="I288" s="28">
        <f t="shared" si="13"/>
        <v>1.5</v>
      </c>
      <c r="J288" s="28">
        <f t="shared" si="14"/>
        <v>90</v>
      </c>
      <c r="K288" s="4">
        <v>2889</v>
      </c>
      <c r="L288" s="4" t="s">
        <v>59</v>
      </c>
      <c r="M288" s="4"/>
    </row>
    <row r="289" spans="1:13">
      <c r="A289" s="20">
        <v>45155</v>
      </c>
      <c r="B289" s="45" t="s">
        <v>178</v>
      </c>
      <c r="C289" s="45" t="s">
        <v>88</v>
      </c>
      <c r="D289" s="45" t="s">
        <v>5</v>
      </c>
      <c r="E289" s="17">
        <v>35</v>
      </c>
      <c r="F289" s="30">
        <v>4.1666666666666664E-2</v>
      </c>
      <c r="G289" s="30">
        <v>9.375E-2</v>
      </c>
      <c r="H289" s="29">
        <f t="shared" si="12"/>
        <v>5.2083333333333336E-2</v>
      </c>
      <c r="I289" s="28">
        <f t="shared" si="13"/>
        <v>1.25</v>
      </c>
      <c r="J289" s="28">
        <f t="shared" si="14"/>
        <v>75</v>
      </c>
      <c r="K289" s="4"/>
      <c r="L289" s="4"/>
      <c r="M289" s="4"/>
    </row>
    <row r="290" spans="1:13">
      <c r="A290" s="20">
        <v>45155</v>
      </c>
      <c r="B290" s="45" t="s">
        <v>178</v>
      </c>
      <c r="C290" s="45" t="s">
        <v>88</v>
      </c>
      <c r="D290" s="45" t="s">
        <v>5</v>
      </c>
      <c r="E290" s="17">
        <v>35</v>
      </c>
      <c r="F290" s="30">
        <v>0.11458333333333333</v>
      </c>
      <c r="G290" s="30">
        <v>0.20833333333333334</v>
      </c>
      <c r="H290" s="29">
        <f t="shared" si="12"/>
        <v>9.3750000000000014E-2</v>
      </c>
      <c r="I290" s="28">
        <f t="shared" si="13"/>
        <v>2.25</v>
      </c>
      <c r="J290" s="28">
        <f t="shared" si="14"/>
        <v>135</v>
      </c>
      <c r="K290" s="4">
        <v>2807</v>
      </c>
      <c r="L290" s="4" t="s">
        <v>59</v>
      </c>
      <c r="M290" s="4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 Adams</dc:creator>
  <cp:keywords/>
  <dc:description/>
  <cp:lastModifiedBy/>
  <cp:revision/>
  <dcterms:created xsi:type="dcterms:W3CDTF">2023-08-01T14:44:16Z</dcterms:created>
  <dcterms:modified xsi:type="dcterms:W3CDTF">2023-08-20T09:10:27Z</dcterms:modified>
  <cp:category/>
  <cp:contentStatus/>
</cp:coreProperties>
</file>