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_of_Use_of_Water2" sheetId="1" r:id="rId4"/>
    <sheet state="visible" name="Pivot Table 3" sheetId="3" r:id="rId5"/>
    <sheet state="visible" name="Countries per Region" sheetId="4" r:id="rId6"/>
    <sheet state="visible" name="summary sheet" sheetId="7" r:id="rId7"/>
    <sheet state="visible" name="Pivot Table 1" sheetId="8" r:id="rId8"/>
    <sheet state="visible" name="Regions" sheetId="9" r:id="rId9"/>
  </sheets>
  <definedNames>
    <definedName hidden="1" localSheetId="0" name="_xlnm._FilterDatabase">Estimates_of_Use_of_Water2!$D$1:$D$998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<sst xmlns="http://schemas.openxmlformats.org/spreadsheetml/2006/main" count="1840" uniqueCount="917">
  <si>
    <t>name</t>
  </si>
  <si>
    <t>year</t>
  </si>
  <si>
    <t>region</t>
  </si>
  <si>
    <t>y_diff</t>
  </si>
  <si>
    <t>avg_y_diff</t>
  </si>
  <si>
    <t>pop_n</t>
  </si>
  <si>
    <t>pop_u</t>
  </si>
  <si>
    <t>wat_bas_n</t>
  </si>
  <si>
    <t>wat_bas_n_rounded</t>
  </si>
  <si>
    <t>ARC_n_full</t>
  </si>
  <si>
    <t>ARC=0_n</t>
  </si>
  <si>
    <t>ARC &lt; 0_n</t>
  </si>
  <si>
    <t>ARC &gt; 0_n</t>
  </si>
  <si>
    <t>ARC_n</t>
  </si>
  <si>
    <t>wat_lim_n</t>
  </si>
  <si>
    <t>wat_unimp_n</t>
  </si>
  <si>
    <t>wat_sur_n</t>
  </si>
  <si>
    <t>wat_bas_r</t>
  </si>
  <si>
    <t>wat_bas_r_rounded</t>
  </si>
  <si>
    <t>ARC_r_full</t>
  </si>
  <si>
    <t>ARC=0_r</t>
  </si>
  <si>
    <t>ARC&lt;0_r</t>
  </si>
  <si>
    <t>ARC&gt;0_r</t>
  </si>
  <si>
    <t>ARC_r</t>
  </si>
  <si>
    <t>wat_lim_r</t>
  </si>
  <si>
    <t>wat_unimp_r</t>
  </si>
  <si>
    <t>wat_sur_r</t>
  </si>
  <si>
    <t>wat_bas_u</t>
  </si>
  <si>
    <t>wat_bas_u_rounded</t>
  </si>
  <si>
    <t>ARC_u_full</t>
  </si>
  <si>
    <t>ARC=0_u</t>
  </si>
  <si>
    <t>ARC&lt;0_u</t>
  </si>
  <si>
    <t>ARC&gt;0_u</t>
  </si>
  <si>
    <t>ARC_u</t>
  </si>
  <si>
    <t>wat_lim_u</t>
  </si>
  <si>
    <t>wat_unimp_u</t>
  </si>
  <si>
    <t>wat_sur_u</t>
  </si>
  <si>
    <t>ARC_diff</t>
  </si>
  <si>
    <t xml:space="preserve"> </t>
  </si>
  <si>
    <t>Afghanistan</t>
  </si>
  <si>
    <t>34413.60156</t>
  </si>
  <si>
    <t>2.014752987</t>
  </si>
  <si>
    <t>38928.33984</t>
  </si>
  <si>
    <t>0</t>
  </si>
  <si>
    <t>Albania</t>
  </si>
  <si>
    <t>2890.523926</t>
  </si>
  <si>
    <t>2877.800049</t>
  </si>
  <si>
    <t>Algeria</t>
  </si>
  <si>
    <t>39728.01953</t>
  </si>
  <si>
    <t>0.06505789753</t>
  </si>
  <si>
    <t>43851.04297</t>
  </si>
  <si>
    <t>American Samoa</t>
  </si>
  <si>
    <t>55.80599976</t>
  </si>
  <si>
    <t>55.1969986</t>
  </si>
  <si>
    <t>Andorra</t>
  </si>
  <si>
    <t>77.99299622</t>
  </si>
  <si>
    <t>77.26499939</t>
  </si>
  <si>
    <t>Angola</t>
  </si>
  <si>
    <t>27884.38086</t>
  </si>
  <si>
    <t>2.718749921</t>
  </si>
  <si>
    <t>32866.26953</t>
  </si>
  <si>
    <t>0.9759791629</t>
  </si>
  <si>
    <t>Anguilla</t>
  </si>
  <si>
    <t>14.27900028</t>
  </si>
  <si>
    <t>14.5880003</t>
  </si>
  <si>
    <t>Antigua and Barbuda</t>
  </si>
  <si>
    <t>93.57099915</t>
  </si>
  <si>
    <t>95.42500305</t>
  </si>
  <si>
    <t>Argentina</t>
  </si>
  <si>
    <t>43075.41406</t>
  </si>
  <si>
    <t>45195.77734</t>
  </si>
  <si>
    <t>Armenia</t>
  </si>
  <si>
    <t>2925.559082</t>
  </si>
  <si>
    <t>2963.233887</t>
  </si>
  <si>
    <t>Aruba</t>
  </si>
  <si>
    <t>104.3389969</t>
  </si>
  <si>
    <t>104.8649979</t>
  </si>
  <si>
    <t>Australia</t>
  </si>
  <si>
    <t>23932.49805</t>
  </si>
  <si>
    <t>25499.88086</t>
  </si>
  <si>
    <t>Austria</t>
  </si>
  <si>
    <t>8678.666992</t>
  </si>
  <si>
    <t>9006.400391</t>
  </si>
  <si>
    <t>Azerbaijan</t>
  </si>
  <si>
    <t>9622.741211</t>
  </si>
  <si>
    <t>0.1902459339</t>
  </si>
  <si>
    <t>10139.1748</t>
  </si>
  <si>
    <t>Bahamas</t>
  </si>
  <si>
    <t>374.2000122</t>
  </si>
  <si>
    <t>389.4859924</t>
  </si>
  <si>
    <t>Bahrain</t>
  </si>
  <si>
    <t>1371.853027</t>
  </si>
  <si>
    <t>1701.583008</t>
  </si>
  <si>
    <t>Bangladesh</t>
  </si>
  <si>
    <t>156256.2813</t>
  </si>
  <si>
    <t>0.3991837074</t>
  </si>
  <si>
    <t>164689.3906</t>
  </si>
  <si>
    <t>0.2583266934</t>
  </si>
  <si>
    <t>Barbados</t>
  </si>
  <si>
    <t>285.3269958</t>
  </si>
  <si>
    <t>287.3710022</t>
  </si>
  <si>
    <t>Belarus</t>
  </si>
  <si>
    <t>9439.423828</t>
  </si>
  <si>
    <t>9449.321289</t>
  </si>
  <si>
    <t>Belgium</t>
  </si>
  <si>
    <t>11287.93066</t>
  </si>
  <si>
    <t>11589.61621</t>
  </si>
  <si>
    <t>Belize</t>
  </si>
  <si>
    <t>360.9259949</t>
  </si>
  <si>
    <t>397.6210022</t>
  </si>
  <si>
    <t>Benin</t>
  </si>
  <si>
    <t>10575.96191</t>
  </si>
  <si>
    <t>2.182958756</t>
  </si>
  <si>
    <t>12123.19824</t>
  </si>
  <si>
    <t>1.198136794</t>
  </si>
  <si>
    <t>Bermuda</t>
  </si>
  <si>
    <t>63.69499969</t>
  </si>
  <si>
    <t>62.27299881</t>
  </si>
  <si>
    <t>Bhutan</t>
  </si>
  <si>
    <t>727.8850098</t>
  </si>
  <si>
    <t>0.2875847035</t>
  </si>
  <si>
    <t>771.6119995</t>
  </si>
  <si>
    <t>0.1173091586</t>
  </si>
  <si>
    <t>Bolivia (Plurinational State of)</t>
  </si>
  <si>
    <t>10869.73242</t>
  </si>
  <si>
    <t>0.304941615</t>
  </si>
  <si>
    <t>11673.0293</t>
  </si>
  <si>
    <t>0.2260230112</t>
  </si>
  <si>
    <t>Bosnia and Herzegovina</t>
  </si>
  <si>
    <t>3429.362061</t>
  </si>
  <si>
    <t>3280.814941</t>
  </si>
  <si>
    <t>Botswana</t>
  </si>
  <si>
    <t>2120.716064</t>
  </si>
  <si>
    <t>0.1467727616</t>
  </si>
  <si>
    <t>2351.625</t>
  </si>
  <si>
    <t>0.1498202281</t>
  </si>
  <si>
    <t>Brazil</t>
  </si>
  <si>
    <t>204471.7656</t>
  </si>
  <si>
    <t>212559.4063</t>
  </si>
  <si>
    <t>British Virgin Islands</t>
  </si>
  <si>
    <t>29.14800072</t>
  </si>
  <si>
    <t>30.23699951</t>
  </si>
  <si>
    <t>Brunei Darussalam</t>
  </si>
  <si>
    <t>414.9140015</t>
  </si>
  <si>
    <t>437.4830017</t>
  </si>
  <si>
    <t>Bulgaria</t>
  </si>
  <si>
    <t>7199.73877</t>
  </si>
  <si>
    <t>6948.444824</t>
  </si>
  <si>
    <t>Burkina Faso</t>
  </si>
  <si>
    <t>18110.61523</t>
  </si>
  <si>
    <t>0.3513198178</t>
  </si>
  <si>
    <t>20903.27734</t>
  </si>
  <si>
    <t>0.4421957805</t>
  </si>
  <si>
    <t>Burundi</t>
  </si>
  <si>
    <t>10160.03418</t>
  </si>
  <si>
    <t>1.165421012</t>
  </si>
  <si>
    <t>11890.78125</t>
  </si>
  <si>
    <t>Cabo Verde</t>
  </si>
  <si>
    <t>524.7399902</t>
  </si>
  <si>
    <t>0.0408679538</t>
  </si>
  <si>
    <t>555.9879761</t>
  </si>
  <si>
    <t>Cambodia</t>
  </si>
  <si>
    <t>15521.43457</t>
  </si>
  <si>
    <t>3.6846594</t>
  </si>
  <si>
    <t>16718.9707</t>
  </si>
  <si>
    <t>0.6910081144</t>
  </si>
  <si>
    <t>Cameroon</t>
  </si>
  <si>
    <t>23298.37695</t>
  </si>
  <si>
    <t>0.9856948028</t>
  </si>
  <si>
    <t>26545.86328</t>
  </si>
  <si>
    <t>1.041917019</t>
  </si>
  <si>
    <t>Canada</t>
  </si>
  <si>
    <t>36026.66797</t>
  </si>
  <si>
    <t>37742.15625</t>
  </si>
  <si>
    <t>Cayman Islands</t>
  </si>
  <si>
    <t>61.72100067</t>
  </si>
  <si>
    <t>62.56399918</t>
  </si>
  <si>
    <t>Central African Republic</t>
  </si>
  <si>
    <t>4493.170898</t>
  </si>
  <si>
    <t>0.310671709</t>
  </si>
  <si>
    <t>4829.76416</t>
  </si>
  <si>
    <t>0.09915281712</t>
  </si>
  <si>
    <t>Chad</t>
  </si>
  <si>
    <t>14110.9707</t>
  </si>
  <si>
    <t>0.8541499715</t>
  </si>
  <si>
    <t>16425.85938</t>
  </si>
  <si>
    <t>0.8888103843</t>
  </si>
  <si>
    <t>Channel Islands</t>
  </si>
  <si>
    <t>165.3869934</t>
  </si>
  <si>
    <t>168.6660004</t>
  </si>
  <si>
    <t>Chile</t>
  </si>
  <si>
    <t>17969.35547</t>
  </si>
  <si>
    <t>19116.20898</t>
  </si>
  <si>
    <t>China</t>
  </si>
  <si>
    <t>1430405.375</t>
  </si>
  <si>
    <t>0.3049508197</t>
  </si>
  <si>
    <t>1463140.5</t>
  </si>
  <si>
    <t>0.322</t>
  </si>
  <si>
    <t>China, Hong Kong SAR</t>
  </si>
  <si>
    <t>7185.992188</t>
  </si>
  <si>
    <t>7496.987793</t>
  </si>
  <si>
    <t>China, Macao SAR</t>
  </si>
  <si>
    <t>602.0930176</t>
  </si>
  <si>
    <t>649.34198</t>
  </si>
  <si>
    <t>Colombia</t>
  </si>
  <si>
    <t>47520.66797</t>
  </si>
  <si>
    <t>50882.88281</t>
  </si>
  <si>
    <t>Comoros</t>
  </si>
  <si>
    <t>777.4349976</t>
  </si>
  <si>
    <t>0.340190797</t>
  </si>
  <si>
    <t>850.8909912</t>
  </si>
  <si>
    <t>Congo</t>
  </si>
  <si>
    <t>4856.092773</t>
  </si>
  <si>
    <t>0.00709109589</t>
  </si>
  <si>
    <t>5518.091797</t>
  </si>
  <si>
    <t>0.008949452055</t>
  </si>
  <si>
    <t>Cook Islands</t>
  </si>
  <si>
    <t>17.58099937</t>
  </si>
  <si>
    <t>17.56399918</t>
  </si>
  <si>
    <t>Costa Rica</t>
  </si>
  <si>
    <t>4847.805176</t>
  </si>
  <si>
    <t>5094.11377</t>
  </si>
  <si>
    <t>Côte d'Ivoire</t>
  </si>
  <si>
    <t>23226.14844</t>
  </si>
  <si>
    <t>3.083334164</t>
  </si>
  <si>
    <t>26378.27539</t>
  </si>
  <si>
    <t>4.285544994</t>
  </si>
  <si>
    <t>Croatia</t>
  </si>
  <si>
    <t>4232.874023</t>
  </si>
  <si>
    <t>4105.268066</t>
  </si>
  <si>
    <t>Cuba</t>
  </si>
  <si>
    <t>11324.77734</t>
  </si>
  <si>
    <t>0.06419054206</t>
  </si>
  <si>
    <t>11326.61621</t>
  </si>
  <si>
    <t>0.02419708411</t>
  </si>
  <si>
    <t>Curaçao</t>
  </si>
  <si>
    <t>159.8500061</t>
  </si>
  <si>
    <t>161.9859924</t>
  </si>
  <si>
    <t>Cyprus</t>
  </si>
  <si>
    <t>1160.987061</t>
  </si>
  <si>
    <t>1207.360962</t>
  </si>
  <si>
    <t>Czech Republic</t>
  </si>
  <si>
    <t>10601.38965</t>
  </si>
  <si>
    <t>10708.98242</t>
  </si>
  <si>
    <t>Democratic People's Republic of Korea</t>
  </si>
  <si>
    <t>25183.83203</t>
  </si>
  <si>
    <t>25778.81445</t>
  </si>
  <si>
    <t>Democratic Republic of the Congo</t>
  </si>
  <si>
    <t>76244.53125</t>
  </si>
  <si>
    <t>1.548328967</t>
  </si>
  <si>
    <t>89561.40625</t>
  </si>
  <si>
    <t>0.8531284131</t>
  </si>
  <si>
    <t>Denmark</t>
  </si>
  <si>
    <t>5688.694824</t>
  </si>
  <si>
    <t>5792.203125</t>
  </si>
  <si>
    <t>Djibouti</t>
  </si>
  <si>
    <t>913.9979858</t>
  </si>
  <si>
    <t>0.2082727854</t>
  </si>
  <si>
    <t>988.0020142</t>
  </si>
  <si>
    <t>Dominica</t>
  </si>
  <si>
    <t>71.17500305</t>
  </si>
  <si>
    <t>71.45999908</t>
  </si>
  <si>
    <t>Dominican Republic</t>
  </si>
  <si>
    <t>10281.6748</t>
  </si>
  <si>
    <t>0.3264261435</t>
  </si>
  <si>
    <t>10847.9043</t>
  </si>
  <si>
    <t>0.3882429922</t>
  </si>
  <si>
    <t>Ecuador</t>
  </si>
  <si>
    <t>16212.02246</t>
  </si>
  <si>
    <t>0.1494454068</t>
  </si>
  <si>
    <t>17643.06055</t>
  </si>
  <si>
    <t>Egypt</t>
  </si>
  <si>
    <t>92442.54688</t>
  </si>
  <si>
    <t>102334.4063</t>
  </si>
  <si>
    <t>El Salvador</t>
  </si>
  <si>
    <t>6325.121094</t>
  </si>
  <si>
    <t>0.4663712861</t>
  </si>
  <si>
    <t>6486.201172</t>
  </si>
  <si>
    <t>Equatorial Guinea</t>
  </si>
  <si>
    <t>1168.574951</t>
  </si>
  <si>
    <t>0.3046490909</t>
  </si>
  <si>
    <t>1262.008057</t>
  </si>
  <si>
    <t>Eritrea</t>
  </si>
  <si>
    <t>3342.818115</t>
  </si>
  <si>
    <t>0.525</t>
  </si>
  <si>
    <t>3376.558105</t>
  </si>
  <si>
    <t>Estonia</t>
  </si>
  <si>
    <t>1315.329956</t>
  </si>
  <si>
    <t>1326.53894</t>
  </si>
  <si>
    <t>Eswatini</t>
  </si>
  <si>
    <t>1104.037964</t>
  </si>
  <si>
    <t>1.73905399</t>
  </si>
  <si>
    <t>1160.16394</t>
  </si>
  <si>
    <t>0.8720082294</t>
  </si>
  <si>
    <t>Ethiopia</t>
  </si>
  <si>
    <t>100835.4531</t>
  </si>
  <si>
    <t>1.532556439</t>
  </si>
  <si>
    <t>114963.5859</t>
  </si>
  <si>
    <t>0.392580896</t>
  </si>
  <si>
    <t>Faeroe Islands</t>
  </si>
  <si>
    <t>48.05500031</t>
  </si>
  <si>
    <t>48.86500168</t>
  </si>
  <si>
    <t>Falkland Islands (Malvinas)</t>
  </si>
  <si>
    <t>2.835999966</t>
  </si>
  <si>
    <t>3.48300004</t>
  </si>
  <si>
    <t>Fiji</t>
  </si>
  <si>
    <t>868.632019</t>
  </si>
  <si>
    <t>0.2714306142</t>
  </si>
  <si>
    <t>896.4439697</t>
  </si>
  <si>
    <t>0.3103465922</t>
  </si>
  <si>
    <t>Finland</t>
  </si>
  <si>
    <t>5481.12793</t>
  </si>
  <si>
    <t>5540.717773</t>
  </si>
  <si>
    <t>France</t>
  </si>
  <si>
    <t>64453.19531</t>
  </si>
  <si>
    <t>65273.51172</t>
  </si>
  <si>
    <t>French Guiana</t>
  </si>
  <si>
    <t>261.0079956</t>
  </si>
  <si>
    <t>298.6820068</t>
  </si>
  <si>
    <t>French Polynesia</t>
  </si>
  <si>
    <t>273.118988</t>
  </si>
  <si>
    <t>280.9039917</t>
  </si>
  <si>
    <t>Gabon</t>
  </si>
  <si>
    <t>1947.689941</t>
  </si>
  <si>
    <t>0.6481873668</t>
  </si>
  <si>
    <t>2225.728027</t>
  </si>
  <si>
    <t>Gambia</t>
  </si>
  <si>
    <t>2085.860107</t>
  </si>
  <si>
    <t>0.0992060715</t>
  </si>
  <si>
    <t>2416.664063</t>
  </si>
  <si>
    <t>0.1329489253</t>
  </si>
  <si>
    <t>Georgia</t>
  </si>
  <si>
    <t>4024.179932</t>
  </si>
  <si>
    <t>0.01084585945</t>
  </si>
  <si>
    <t>3989.175049</t>
  </si>
  <si>
    <t>0.01562531586</t>
  </si>
  <si>
    <t>Germany</t>
  </si>
  <si>
    <t>81787.41406</t>
  </si>
  <si>
    <t>83783.94531</t>
  </si>
  <si>
    <t>Ghana</t>
  </si>
  <si>
    <t>27849.20313</t>
  </si>
  <si>
    <t>0.9089033445</t>
  </si>
  <si>
    <t>31072.94531</t>
  </si>
  <si>
    <t>0.07878421819</t>
  </si>
  <si>
    <t>Gibraltar</t>
  </si>
  <si>
    <t>33.74200058</t>
  </si>
  <si>
    <t>33.69100189</t>
  </si>
  <si>
    <t>Greece</t>
  </si>
  <si>
    <t>10659.7373</t>
  </si>
  <si>
    <t>10423.05566</t>
  </si>
  <si>
    <t>Greenland</t>
  </si>
  <si>
    <t>56.37799835</t>
  </si>
  <si>
    <t>56.77199936</t>
  </si>
  <si>
    <t>Grenada</t>
  </si>
  <si>
    <t>109.6029968</t>
  </si>
  <si>
    <t>110.8740005</t>
  </si>
  <si>
    <t>Guadeloupe</t>
  </si>
  <si>
    <t>400.2600098</t>
  </si>
  <si>
    <t>400.1270142</t>
  </si>
  <si>
    <t>Guam</t>
  </si>
  <si>
    <t>161.8509979</t>
  </si>
  <si>
    <t>168.7830048</t>
  </si>
  <si>
    <t>Guatemala</t>
  </si>
  <si>
    <t>16252.4248</t>
  </si>
  <si>
    <t>0.2080250227</t>
  </si>
  <si>
    <t>17915.56641</t>
  </si>
  <si>
    <t>0.1597056849</t>
  </si>
  <si>
    <t>Guinea</t>
  </si>
  <si>
    <t>11432.0957</t>
  </si>
  <si>
    <t>0.4882692651</t>
  </si>
  <si>
    <t>13132.79199</t>
  </si>
  <si>
    <t>Guinea-Bissau</t>
  </si>
  <si>
    <t>1737.207031</t>
  </si>
  <si>
    <t>0.173539289</t>
  </si>
  <si>
    <t>1967.998047</t>
  </si>
  <si>
    <t>0.01439322693</t>
  </si>
  <si>
    <t>Guyana</t>
  </si>
  <si>
    <t>767.4329834</t>
  </si>
  <si>
    <t>786.559021</t>
  </si>
  <si>
    <t>Haiti</t>
  </si>
  <si>
    <t>10695.54004</t>
  </si>
  <si>
    <t>11402.5332</t>
  </si>
  <si>
    <t>Honduras</t>
  </si>
  <si>
    <t>9112.904297</t>
  </si>
  <si>
    <t>0.00768467364</t>
  </si>
  <si>
    <t>9904.608398</t>
  </si>
  <si>
    <t>Hungary</t>
  </si>
  <si>
    <t>9777.924805</t>
  </si>
  <si>
    <t>9660.349609</t>
  </si>
  <si>
    <t>Iceland</t>
  </si>
  <si>
    <t>330.2369995</t>
  </si>
  <si>
    <t>341.25</t>
  </si>
  <si>
    <t>India</t>
  </si>
  <si>
    <t>1310152.375</t>
  </si>
  <si>
    <t>0.2478216409</t>
  </si>
  <si>
    <t>1380004.375</t>
  </si>
  <si>
    <t>0.2373001538</t>
  </si>
  <si>
    <t>Indonesia</t>
  </si>
  <si>
    <t>258383.25</t>
  </si>
  <si>
    <t>0.2675555532</t>
  </si>
  <si>
    <t>273523.625</t>
  </si>
  <si>
    <t>0.1313629588</t>
  </si>
  <si>
    <t>Iran (Islamic Republic of)</t>
  </si>
  <si>
    <t>78492.21094</t>
  </si>
  <si>
    <t>83992.95313</t>
  </si>
  <si>
    <t>Iraq</t>
  </si>
  <si>
    <t>35572.26953</t>
  </si>
  <si>
    <t>0.0874287017</t>
  </si>
  <si>
    <t>40222.50391</t>
  </si>
  <si>
    <t>Ireland</t>
  </si>
  <si>
    <t>4652.419922</t>
  </si>
  <si>
    <t>4937.795898</t>
  </si>
  <si>
    <t>Isle of Man</t>
  </si>
  <si>
    <t>83.23200226</t>
  </si>
  <si>
    <t>85.03199768</t>
  </si>
  <si>
    <t>Israel</t>
  </si>
  <si>
    <t>7978.496094</t>
  </si>
  <si>
    <t>8655.541016</t>
  </si>
  <si>
    <t>Italy</t>
  </si>
  <si>
    <t>60578.48828</t>
  </si>
  <si>
    <t>60461.82813</t>
  </si>
  <si>
    <t>Jamaica</t>
  </si>
  <si>
    <t>2891.023926</t>
  </si>
  <si>
    <t>0.3285312153</t>
  </si>
  <si>
    <t>2961.160889</t>
  </si>
  <si>
    <t>0.34046355</t>
  </si>
  <si>
    <t>Japan</t>
  </si>
  <si>
    <t>127985.1406</t>
  </si>
  <si>
    <t>126476.4609</t>
  </si>
  <si>
    <t>Jordan</t>
  </si>
  <si>
    <t>9266.573242</t>
  </si>
  <si>
    <t>0.06171</t>
  </si>
  <si>
    <t>10203.13965</t>
  </si>
  <si>
    <t>Kazakhstan</t>
  </si>
  <si>
    <t>17572.00977</t>
  </si>
  <si>
    <t>18776.70703</t>
  </si>
  <si>
    <t>Kenya</t>
  </si>
  <si>
    <t>47878.33984</t>
  </si>
  <si>
    <t>5.100043429</t>
  </si>
  <si>
    <t>53771.30078</t>
  </si>
  <si>
    <t>5.961681193</t>
  </si>
  <si>
    <t>Kiribati</t>
  </si>
  <si>
    <t>110.927002</t>
  </si>
  <si>
    <t>119.4459991</t>
  </si>
  <si>
    <t>Kuwait</t>
  </si>
  <si>
    <t>3835.587891</t>
  </si>
  <si>
    <t>4270.562988</t>
  </si>
  <si>
    <t>Kyrgyzstan</t>
  </si>
  <si>
    <t>5959.125977</t>
  </si>
  <si>
    <t>1.04821651</t>
  </si>
  <si>
    <t>6524.190918</t>
  </si>
  <si>
    <t>Lao People's Democratic Republic</t>
  </si>
  <si>
    <t>6741.160156</t>
  </si>
  <si>
    <t>0.9584353711</t>
  </si>
  <si>
    <t>7275.556152</t>
  </si>
  <si>
    <t>Latvia</t>
  </si>
  <si>
    <t>1997.675049</t>
  </si>
  <si>
    <t>1886.202026</t>
  </si>
  <si>
    <t>Lebanon</t>
  </si>
  <si>
    <t>6532.681152</t>
  </si>
  <si>
    <t>6825.441895</t>
  </si>
  <si>
    <t>Lesotho</t>
  </si>
  <si>
    <t>2059.010986</t>
  </si>
  <si>
    <t>0.502916007</t>
  </si>
  <si>
    <t>2142.251953</t>
  </si>
  <si>
    <t>0.65534942</t>
  </si>
  <si>
    <t>Liberia</t>
  </si>
  <si>
    <t>4472.229004</t>
  </si>
  <si>
    <t>0.8797308764</t>
  </si>
  <si>
    <t>5057.676758</t>
  </si>
  <si>
    <t>0.1977530006</t>
  </si>
  <si>
    <t>Libya</t>
  </si>
  <si>
    <t>6418.314941</t>
  </si>
  <si>
    <t>6871.287109</t>
  </si>
  <si>
    <t>Liechtenstein</t>
  </si>
  <si>
    <t>37.46500015</t>
  </si>
  <si>
    <t>38.13700104</t>
  </si>
  <si>
    <t>Lithuania</t>
  </si>
  <si>
    <t>2931.87207</t>
  </si>
  <si>
    <t>2722.291016</t>
  </si>
  <si>
    <t>Luxembourg</t>
  </si>
  <si>
    <t>566.7410278</t>
  </si>
  <si>
    <t>625.9760132</t>
  </si>
  <si>
    <t>Madagascar</t>
  </si>
  <si>
    <t>24234.08008</t>
  </si>
  <si>
    <t>4.416545719</t>
  </si>
  <si>
    <t>27691.01953</t>
  </si>
  <si>
    <t>1.291068417</t>
  </si>
  <si>
    <t>Malawi</t>
  </si>
  <si>
    <t>16745.30469</t>
  </si>
  <si>
    <t>0.4370683245</t>
  </si>
  <si>
    <t>19129.95508</t>
  </si>
  <si>
    <t>0.3688495446</t>
  </si>
  <si>
    <t>Malaysia</t>
  </si>
  <si>
    <t>30270.96484</t>
  </si>
  <si>
    <t>0.09</t>
  </si>
  <si>
    <t>32365.99805</t>
  </si>
  <si>
    <t>Maldives</t>
  </si>
  <si>
    <t>454.9140015</t>
  </si>
  <si>
    <t>540.5419922</t>
  </si>
  <si>
    <t>Mali</t>
  </si>
  <si>
    <t>17438.77148</t>
  </si>
  <si>
    <t>0.306033834</t>
  </si>
  <si>
    <t>20250.83398</t>
  </si>
  <si>
    <t>Malta</t>
  </si>
  <si>
    <t>433.5589905</t>
  </si>
  <si>
    <t>441.5390015</t>
  </si>
  <si>
    <t>Marshall Islands</t>
  </si>
  <si>
    <t>57.44400024</t>
  </si>
  <si>
    <t>59.19400024</t>
  </si>
  <si>
    <t>Martinique</t>
  </si>
  <si>
    <t>378.4830017</t>
  </si>
  <si>
    <t>375.2650146</t>
  </si>
  <si>
    <t>Mauritania</t>
  </si>
  <si>
    <t>4046.303955</t>
  </si>
  <si>
    <t>4649.660156</t>
  </si>
  <si>
    <t>Mauritius</t>
  </si>
  <si>
    <t>1259.457031</t>
  </si>
  <si>
    <t>1271.766968</t>
  </si>
  <si>
    <t>Mayotte</t>
  </si>
  <si>
    <t>240.0110016</t>
  </si>
  <si>
    <t>272.8129883</t>
  </si>
  <si>
    <t>Mexico</t>
  </si>
  <si>
    <t>121858.25</t>
  </si>
  <si>
    <t>0.08140909465</t>
  </si>
  <si>
    <t>128932.75</t>
  </si>
  <si>
    <t>Micronesia (Federated States of)</t>
  </si>
  <si>
    <t>108.8860016</t>
  </si>
  <si>
    <t>113.810997</t>
  </si>
  <si>
    <t>Monaco</t>
  </si>
  <si>
    <t>37.72299957</t>
  </si>
  <si>
    <t>39.24399948</t>
  </si>
  <si>
    <t>Mongolia</t>
  </si>
  <si>
    <t>2998.433105</t>
  </si>
  <si>
    <t>0.1828868106</t>
  </si>
  <si>
    <t>3278.291992</t>
  </si>
  <si>
    <t>Montenegro</t>
  </si>
  <si>
    <t>626.9569702</t>
  </si>
  <si>
    <t>628.0620117</t>
  </si>
  <si>
    <t>Montserrat</t>
  </si>
  <si>
    <t>4.96600008</t>
  </si>
  <si>
    <t>4.999000072</t>
  </si>
  <si>
    <t>Morocco</t>
  </si>
  <si>
    <t>34663.60938</t>
  </si>
  <si>
    <t>0.02255092798</t>
  </si>
  <si>
    <t>36910.55859</t>
  </si>
  <si>
    <t>Mozambique</t>
  </si>
  <si>
    <t>27042.00195</t>
  </si>
  <si>
    <t>2.579970181</t>
  </si>
  <si>
    <t>31255.43555</t>
  </si>
  <si>
    <t>1.649976404</t>
  </si>
  <si>
    <t>Myanmar</t>
  </si>
  <si>
    <t>52680.72266</t>
  </si>
  <si>
    <t>3.663334632</t>
  </si>
  <si>
    <t>54409.79297</t>
  </si>
  <si>
    <t>2.741830931</t>
  </si>
  <si>
    <t>Namibia</t>
  </si>
  <si>
    <t>2314.900879</t>
  </si>
  <si>
    <t>0.4166621911</t>
  </si>
  <si>
    <t>2540.916016</t>
  </si>
  <si>
    <t>0.4886654211</t>
  </si>
  <si>
    <t>Nauru</t>
  </si>
  <si>
    <t>10.3739996</t>
  </si>
  <si>
    <t>10.83399963</t>
  </si>
  <si>
    <t>Nepal</t>
  </si>
  <si>
    <t>27015.0332</t>
  </si>
  <si>
    <t>1.07032397</t>
  </si>
  <si>
    <t>29136.80859</t>
  </si>
  <si>
    <t>0.9616622585</t>
  </si>
  <si>
    <t>Netherlands</t>
  </si>
  <si>
    <t>16938.49219</t>
  </si>
  <si>
    <t>17134.87305</t>
  </si>
  <si>
    <t>New Caledonia</t>
  </si>
  <si>
    <t>271.0620117</t>
  </si>
  <si>
    <t>285.4909973</t>
  </si>
  <si>
    <t>New Zealand</t>
  </si>
  <si>
    <t>4614.526855</t>
  </si>
  <si>
    <t>4822.23291</t>
  </si>
  <si>
    <t>Nicaragua</t>
  </si>
  <si>
    <t>6223.233887</t>
  </si>
  <si>
    <t>0.2495174846</t>
  </si>
  <si>
    <t>6624.554199</t>
  </si>
  <si>
    <t>0.2414834229</t>
  </si>
  <si>
    <t>Niger</t>
  </si>
  <si>
    <t>20001.66211</t>
  </si>
  <si>
    <t>1.252330425</t>
  </si>
  <si>
    <t>24206.63672</t>
  </si>
  <si>
    <t>2.101031634</t>
  </si>
  <si>
    <t>Nigeria</t>
  </si>
  <si>
    <t>181137.4531</t>
  </si>
  <si>
    <t>2.662486501</t>
  </si>
  <si>
    <t>206139.5938</t>
  </si>
  <si>
    <t>1.29350537</t>
  </si>
  <si>
    <t>Niue</t>
  </si>
  <si>
    <t>1.610000014</t>
  </si>
  <si>
    <t>1.618000031</t>
  </si>
  <si>
    <t>North Macedonia</t>
  </si>
  <si>
    <t>2079.334961</t>
  </si>
  <si>
    <t>2083.379883</t>
  </si>
  <si>
    <t>Northern Mariana Islands</t>
  </si>
  <si>
    <t>55.77899933</t>
  </si>
  <si>
    <t>57.55699921</t>
  </si>
  <si>
    <t>Norway</t>
  </si>
  <si>
    <t>5199.827148</t>
  </si>
  <si>
    <t>5421.242188</t>
  </si>
  <si>
    <t>Oman</t>
  </si>
  <si>
    <t>4267.34082</t>
  </si>
  <si>
    <t>0.06372315036</t>
  </si>
  <si>
    <t>5106.62207</t>
  </si>
  <si>
    <t>Pakistan</t>
  </si>
  <si>
    <t>199426.9531</t>
  </si>
  <si>
    <t>0.35652434</t>
  </si>
  <si>
    <t>220892.3281</t>
  </si>
  <si>
    <t>0.3342044223</t>
  </si>
  <si>
    <t>Palau</t>
  </si>
  <si>
    <t>17.66500092</t>
  </si>
  <si>
    <t>18.09199905</t>
  </si>
  <si>
    <t>Panama</t>
  </si>
  <si>
    <t>3968.48999</t>
  </si>
  <si>
    <t>0.03566604616</t>
  </si>
  <si>
    <t>4314.768066</t>
  </si>
  <si>
    <t>Papua New Guinea</t>
  </si>
  <si>
    <t>8107.771973</t>
  </si>
  <si>
    <t>5.309172598</t>
  </si>
  <si>
    <t>8947.027344</t>
  </si>
  <si>
    <t>6.362160532</t>
  </si>
  <si>
    <t>Paraguay</t>
  </si>
  <si>
    <t>6688.746094</t>
  </si>
  <si>
    <t>7132.529785</t>
  </si>
  <si>
    <t>Peru</t>
  </si>
  <si>
    <t>30470.73828</t>
  </si>
  <si>
    <t>0.3360523291</t>
  </si>
  <si>
    <t>32971.84766</t>
  </si>
  <si>
    <t>0.1613539953</t>
  </si>
  <si>
    <t>Philippines</t>
  </si>
  <si>
    <t>102113.2031</t>
  </si>
  <si>
    <t>0.1525436393</t>
  </si>
  <si>
    <t>109581.0859</t>
  </si>
  <si>
    <t>Poland</t>
  </si>
  <si>
    <t>38034.07422</t>
  </si>
  <si>
    <t>37846.60547</t>
  </si>
  <si>
    <t>Portugal</t>
  </si>
  <si>
    <t>10368.3457</t>
  </si>
  <si>
    <t>10196.70703</t>
  </si>
  <si>
    <t>Puerto Rico</t>
  </si>
  <si>
    <t>3381.511963</t>
  </si>
  <si>
    <t>2860.840088</t>
  </si>
  <si>
    <t>Qatar</t>
  </si>
  <si>
    <t>2565.708008</t>
  </si>
  <si>
    <t>2881.060059</t>
  </si>
  <si>
    <t>Republic of Korea</t>
  </si>
  <si>
    <t>50823.08594</t>
  </si>
  <si>
    <t>51269.18359</t>
  </si>
  <si>
    <t>Republic of Moldova</t>
  </si>
  <si>
    <t>4070.705078</t>
  </si>
  <si>
    <t>4033.962891</t>
  </si>
  <si>
    <t>Réunion</t>
  </si>
  <si>
    <t>863.3590088</t>
  </si>
  <si>
    <t>895.3079834</t>
  </si>
  <si>
    <t>Romania</t>
  </si>
  <si>
    <t>19925.18164</t>
  </si>
  <si>
    <t>19237.68164</t>
  </si>
  <si>
    <t>Russian Federation</t>
  </si>
  <si>
    <t>144985.0625</t>
  </si>
  <si>
    <t>0.2</t>
  </si>
  <si>
    <t>145934.4531</t>
  </si>
  <si>
    <t>Rwanda</t>
  </si>
  <si>
    <t>11369.06641</t>
  </si>
  <si>
    <t>3.448344828</t>
  </si>
  <si>
    <t>12952.20898</t>
  </si>
  <si>
    <t>2.269591394</t>
  </si>
  <si>
    <t>Saint Barthelemy</t>
  </si>
  <si>
    <t>9.696</t>
  </si>
  <si>
    <t>9.885</t>
  </si>
  <si>
    <t>Saint Helena</t>
  </si>
  <si>
    <t>5.868999958</t>
  </si>
  <si>
    <t>6.071000099</t>
  </si>
  <si>
    <t>Saint Kitts and Nevis</t>
  </si>
  <si>
    <t>51.20399857</t>
  </si>
  <si>
    <t>52.0359993</t>
  </si>
  <si>
    <t>Saint Lucia</t>
  </si>
  <si>
    <t>179.1309967</t>
  </si>
  <si>
    <t>183.6289978</t>
  </si>
  <si>
    <t>Saint Martin (French part)</t>
  </si>
  <si>
    <t>35.865</t>
  </si>
  <si>
    <t>38.659</t>
  </si>
  <si>
    <t>Saint Pierre and Miquelon</t>
  </si>
  <si>
    <t>5.992000103</t>
  </si>
  <si>
    <t>5.795000076</t>
  </si>
  <si>
    <t>Saint Vincent and the Grenadines</t>
  </si>
  <si>
    <t>109.1350021</t>
  </si>
  <si>
    <t>110.2099991</t>
  </si>
  <si>
    <t>Samoa</t>
  </si>
  <si>
    <t>193.5099945</t>
  </si>
  <si>
    <t>0.1571428571</t>
  </si>
  <si>
    <t>198.4100037</t>
  </si>
  <si>
    <t>San Marino</t>
  </si>
  <si>
    <t>33.27000046</t>
  </si>
  <si>
    <t>33.93799973</t>
  </si>
  <si>
    <t>Sao Tome and Principe</t>
  </si>
  <si>
    <t>199.4389954</t>
  </si>
  <si>
    <t>0.6088487774</t>
  </si>
  <si>
    <t>219.1609955</t>
  </si>
  <si>
    <t>Saudi Arabia</t>
  </si>
  <si>
    <t>31717.67578</t>
  </si>
  <si>
    <t>34813.86719</t>
  </si>
  <si>
    <t>Senegal</t>
  </si>
  <si>
    <t>14578.4502</t>
  </si>
  <si>
    <t>0.03859547379</t>
  </si>
  <si>
    <t>16743.92969</t>
  </si>
  <si>
    <t>Serbia</t>
  </si>
  <si>
    <t>8876.777344</t>
  </si>
  <si>
    <t>8737.370117</t>
  </si>
  <si>
    <t>Seychelles</t>
  </si>
  <si>
    <t>94.98100281</t>
  </si>
  <si>
    <t>97.74099731</t>
  </si>
  <si>
    <t>Sierra Leone</t>
  </si>
  <si>
    <t>7171.90918</t>
  </si>
  <si>
    <t>3.743225068</t>
  </si>
  <si>
    <t>7976.984863</t>
  </si>
  <si>
    <t>2.023349475</t>
  </si>
  <si>
    <t>Singapore</t>
  </si>
  <si>
    <t>5592.143066</t>
  </si>
  <si>
    <t>5850.342773</t>
  </si>
  <si>
    <t>Sint Maarten (Dutch part)</t>
  </si>
  <si>
    <t>39.96699905</t>
  </si>
  <si>
    <t>41.44400024</t>
  </si>
  <si>
    <t>Slovakia</t>
  </si>
  <si>
    <t>5435.61377</t>
  </si>
  <si>
    <t>5459.643066</t>
  </si>
  <si>
    <t>Slovenia</t>
  </si>
  <si>
    <t>2071.198975</t>
  </si>
  <si>
    <t>2078.931885</t>
  </si>
  <si>
    <t>Solomon Islands</t>
  </si>
  <si>
    <t>603.1329956</t>
  </si>
  <si>
    <t>1.152965328</t>
  </si>
  <si>
    <t>686.8779907</t>
  </si>
  <si>
    <t>1.132816553</t>
  </si>
  <si>
    <t>Somalia</t>
  </si>
  <si>
    <t>13797.2041</t>
  </si>
  <si>
    <t>0.9298710922</t>
  </si>
  <si>
    <t>15893.21875</t>
  </si>
  <si>
    <t>South Africa</t>
  </si>
  <si>
    <t>55386.36719</t>
  </si>
  <si>
    <t>59308.69141</t>
  </si>
  <si>
    <t>South Sudan</t>
  </si>
  <si>
    <t>10715.65723</t>
  </si>
  <si>
    <t>6.762929552</t>
  </si>
  <si>
    <t>11193.72852</t>
  </si>
  <si>
    <t>Spain</t>
  </si>
  <si>
    <t>46671.91797</t>
  </si>
  <si>
    <t>46754.78125</t>
  </si>
  <si>
    <t>Sri Lanka</t>
  </si>
  <si>
    <t>20908.02344</t>
  </si>
  <si>
    <t>21413.25</t>
  </si>
  <si>
    <t>Sudan</t>
  </si>
  <si>
    <t>38902.94922</t>
  </si>
  <si>
    <t>1.14928027</t>
  </si>
  <si>
    <t>43849.26953</t>
  </si>
  <si>
    <t>1.012900581</t>
  </si>
  <si>
    <t>Suriname</t>
  </si>
  <si>
    <t>559.1359863</t>
  </si>
  <si>
    <t>0.002585454545</t>
  </si>
  <si>
    <t>586.6339722</t>
  </si>
  <si>
    <t>Sweden</t>
  </si>
  <si>
    <t>9764.949219</t>
  </si>
  <si>
    <t>10099.26953</t>
  </si>
  <si>
    <t>Switzerland</t>
  </si>
  <si>
    <t>8296.775391</t>
  </si>
  <si>
    <t>8654.618164</t>
  </si>
  <si>
    <t>Syrian Arab Republic</t>
  </si>
  <si>
    <t>17997.41016</t>
  </si>
  <si>
    <t>17500.65625</t>
  </si>
  <si>
    <t>Tajikistan</t>
  </si>
  <si>
    <t>8454.018555</t>
  </si>
  <si>
    <t>2.675328663</t>
  </si>
  <si>
    <t>9537.641602</t>
  </si>
  <si>
    <t>2.007293339</t>
  </si>
  <si>
    <t>Thailand</t>
  </si>
  <si>
    <t>68714.51563</t>
  </si>
  <si>
    <t>69799.97656</t>
  </si>
  <si>
    <t>Timor-Leste</t>
  </si>
  <si>
    <t>1196.293945</t>
  </si>
  <si>
    <t>0.4177092401</t>
  </si>
  <si>
    <t>1318.442017</t>
  </si>
  <si>
    <t>Togo</t>
  </si>
  <si>
    <t>7323.162109</t>
  </si>
  <si>
    <t>0.9183694177</t>
  </si>
  <si>
    <t>8278.737305</t>
  </si>
  <si>
    <t>0.8727514049</t>
  </si>
  <si>
    <t>Tokelau</t>
  </si>
  <si>
    <t>1.246999979</t>
  </si>
  <si>
    <t>1.350000024</t>
  </si>
  <si>
    <t>Tonga</t>
  </si>
  <si>
    <t>100.7799988</t>
  </si>
  <si>
    <t>105.6969986</t>
  </si>
  <si>
    <t>Trinidad and Tobago</t>
  </si>
  <si>
    <t>1370.332031</t>
  </si>
  <si>
    <t>1399.490967</t>
  </si>
  <si>
    <t>Tunisia</t>
  </si>
  <si>
    <t>11179.95117</t>
  </si>
  <si>
    <t>11818.61816</t>
  </si>
  <si>
    <t>Turkey</t>
  </si>
  <si>
    <t>78529.41406</t>
  </si>
  <si>
    <t>0.118</t>
  </si>
  <si>
    <t>84339.07031</t>
  </si>
  <si>
    <t>0.138</t>
  </si>
  <si>
    <t>Turkmenistan</t>
  </si>
  <si>
    <t>5565.283203</t>
  </si>
  <si>
    <t>6031.187012</t>
  </si>
  <si>
    <t>Turks and Caicos Islands</t>
  </si>
  <si>
    <t>35.97900009</t>
  </si>
  <si>
    <t>37.66699982</t>
  </si>
  <si>
    <t>Tuvalu</t>
  </si>
  <si>
    <t>11.09899998</t>
  </si>
  <si>
    <t>11.79199982</t>
  </si>
  <si>
    <t>Uganda</t>
  </si>
  <si>
    <t>38225.44531</t>
  </si>
  <si>
    <t>1.193631242</t>
  </si>
  <si>
    <t>45741</t>
  </si>
  <si>
    <t>1.051936238</t>
  </si>
  <si>
    <t>Ukraine</t>
  </si>
  <si>
    <t>44921.63672</t>
  </si>
  <si>
    <t>0.3041124414</t>
  </si>
  <si>
    <t>43733.75781</t>
  </si>
  <si>
    <t>0.4652264446</t>
  </si>
  <si>
    <t>United Arab Emirates</t>
  </si>
  <si>
    <t>9262.896484</t>
  </si>
  <si>
    <t>9890.400391</t>
  </si>
  <si>
    <t>United Kingdom</t>
  </si>
  <si>
    <t>65860.14844</t>
  </si>
  <si>
    <t>67886.00781</t>
  </si>
  <si>
    <t>United Republic of Tanzania</t>
  </si>
  <si>
    <t>51482.63672</t>
  </si>
  <si>
    <t>2.644493171</t>
  </si>
  <si>
    <t>59734.21484</t>
  </si>
  <si>
    <t>2.674665152</t>
  </si>
  <si>
    <t>United States of America</t>
  </si>
  <si>
    <t>320878.3125</t>
  </si>
  <si>
    <t>331002.6563</t>
  </si>
  <si>
    <t>United States Virgin Islands</t>
  </si>
  <si>
    <t>104.9499969</t>
  </si>
  <si>
    <t>104.4229965</t>
  </si>
  <si>
    <t>Uruguay</t>
  </si>
  <si>
    <t>3412.012939</t>
  </si>
  <si>
    <t>3473.727051</t>
  </si>
  <si>
    <t>Uzbekistan</t>
  </si>
  <si>
    <t>30929.55664</t>
  </si>
  <si>
    <t>0.6409843843</t>
  </si>
  <si>
    <t>33469.19922</t>
  </si>
  <si>
    <t>Vanuatu</t>
  </si>
  <si>
    <t>271.1279907</t>
  </si>
  <si>
    <t>307.1499939</t>
  </si>
  <si>
    <t>Venezuela (Bolivarian Republic of)</t>
  </si>
  <si>
    <t>30081.82617</t>
  </si>
  <si>
    <t>28435.94336</t>
  </si>
  <si>
    <t>Viet Nam</t>
  </si>
  <si>
    <t>92677.07813</t>
  </si>
  <si>
    <t>97338.58594</t>
  </si>
  <si>
    <t>Wallis and Futuna Islands</t>
  </si>
  <si>
    <t>12.26200008</t>
  </si>
  <si>
    <t>11.24600029</t>
  </si>
  <si>
    <t>West Bank and Gaza Strip</t>
  </si>
  <si>
    <t>4529.160156</t>
  </si>
  <si>
    <t>5101.416016</t>
  </si>
  <si>
    <t>Yemen</t>
  </si>
  <si>
    <t>26497.88086</t>
  </si>
  <si>
    <t>0.3483893924</t>
  </si>
  <si>
    <t>29825.96875</t>
  </si>
  <si>
    <t>Zambia</t>
  </si>
  <si>
    <t>15879.37012</t>
  </si>
  <si>
    <t>1.016269193</t>
  </si>
  <si>
    <t>18383.95508</t>
  </si>
  <si>
    <t>0.6837350463</t>
  </si>
  <si>
    <t>Zimbabwe</t>
  </si>
  <si>
    <t>13814.6416</t>
  </si>
  <si>
    <t>0.1142427564</t>
  </si>
  <si>
    <t>14862.92676</t>
  </si>
  <si>
    <t>0.01805461538</t>
  </si>
  <si>
    <t>AVERAGE of ARC_n</t>
  </si>
  <si>
    <t>AVERAGE of ARC_r</t>
  </si>
  <si>
    <t>AVERAGE of ARC_u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</si>
  <si>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</si>
  <si>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</si>
  <si>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</si>
  <si>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</si>
  <si>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</si>
  <si>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</si>
  <si>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</si>
  <si>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Grand Total</t>
  </si>
  <si>
    <t>COUNTA of region</t>
  </si>
  <si>
    <t>avg_yr_diff</t>
  </si>
  <si>
    <t>Min_yr_diff</t>
  </si>
  <si>
    <t>Max_yr_diff</t>
  </si>
  <si>
    <t>Avg_ARC_n</t>
  </si>
  <si>
    <t>Avg_ARC_r</t>
  </si>
  <si>
    <t>Avg_ARC_u</t>
  </si>
  <si>
    <t>Min_ARC_n</t>
  </si>
  <si>
    <t>Min_ARC_r</t>
  </si>
  <si>
    <t>Min_ARC_u</t>
  </si>
  <si>
    <t>Max_ARC_n</t>
  </si>
  <si>
    <t>Max_ARC_r</t>
  </si>
  <si>
    <t>Max_ARC_u</t>
  </si>
  <si>
    <t>Missing ARC_n</t>
  </si>
  <si>
    <t>Missing ARC_r</t>
  </si>
  <si>
    <t>Missing ARC_u</t>
  </si>
  <si>
    <t>Full_access_n</t>
  </si>
  <si>
    <t>Full_access_r</t>
  </si>
  <si>
    <t>Full_access_u</t>
  </si>
  <si>
    <t>FullAcess_n</t>
  </si>
  <si>
    <t>FullAcess_r</t>
  </si>
  <si>
    <t>FullAcess_u</t>
  </si>
  <si>
    <t>ARC &lt; 0_r</t>
  </si>
  <si>
    <t>ARC &gt; 0_r</t>
  </si>
  <si>
    <t>ARC &lt; 0_u</t>
  </si>
  <si>
    <t>ARC &gt; 0_u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</si>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</sst>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980000"/>
      <name val="Calibri"/>
    </font>
    <font>
      <b/>
      <sz val="11.0"/>
      <color rgb="FF6AA84F"/>
      <name val="Calibri"/>
    </font>
    <font>
      <b/>
      <sz val="11.0"/>
      <color rgb="FF3C78D8"/>
      <name val="Calibri"/>
    </font>
    <font>
      <b/>
      <sz val="11.0"/>
      <color rgb="FFA61C00"/>
      <name val="Calibri"/>
    </font>
    <font>
      <b/>
      <sz val="11.0"/>
      <color rgb="FF1155CC"/>
      <name val="Calibri"/>
    </font>
    <font>
      <b/>
      <sz val="11.0"/>
      <color rgb="FF0B5394"/>
      <name val="Calibri"/>
    </font>
    <font>
      <b/>
      <sz val="11.0"/>
      <color rgb="FFA61C00"/>
      <name val="&quot;Google Sans&quot;"/>
    </font>
    <font>
      <b/>
      <sz val="11.0"/>
      <color rgb="FF1155CC"/>
      <name val="&quot;Google Sans&quot;"/>
    </font>
    <font>
      <color rgb="FFBF9000"/>
      <name val="Calibri"/>
      <scheme val="minor"/>
    </font>
    <font>
      <color theme="1"/>
      <name val="Calibri"/>
      <scheme val="minor"/>
    </font>
    <font>
      <color rgb="FF980000"/>
      <name val="Calibri"/>
      <scheme val="minor"/>
    </font>
    <font>
      <color rgb="FF6AA84F"/>
      <name val="Calibri"/>
      <scheme val="minor"/>
    </font>
    <font>
      <color rgb="FF3C78D8"/>
      <name val="Calibri"/>
      <scheme val="minor"/>
    </font>
    <font>
      <color rgb="FFA61C00"/>
      <name val="Calibri"/>
      <scheme val="minor"/>
    </font>
    <font>
      <color rgb="FF1155CC"/>
      <name val="Calibri"/>
      <scheme val="minor"/>
    </font>
    <font>
      <color rgb="FF0B5394"/>
      <name val="Calibri"/>
      <scheme val="minor"/>
    </font>
    <font>
      <color rgb="FFE69138"/>
      <name val="Calibri"/>
      <scheme val="minor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0" fillId="2" fontId="8" numFmtId="0" xfId="0" applyAlignment="1" applyFill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0" numFmtId="0" xfId="0" applyFont="1"/>
    <xf borderId="0" fillId="0" fontId="11" numFmtId="0" xfId="0" applyAlignment="1" applyFont="1">
      <alignment readingOrder="0"/>
    </xf>
    <xf borderId="0" fillId="0" fontId="18" numFmtId="0" xfId="0" applyAlignment="1" applyFont="1">
      <alignment readingOrder="0"/>
    </xf>
    <xf borderId="0" fillId="2" fontId="19" numFmtId="0" xfId="0" applyAlignment="1" applyFont="1">
      <alignment horizontal="right"/>
    </xf>
    <xf borderId="0" fillId="2" fontId="19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463" sheet="Estimates_of_Use_of_Water2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  <cacheField name="y_diff">
      <sharedItems containsMixedTypes="1" containsNumber="1" containsInteger="1">
        <n v="5.0"/>
        <s v=""/>
        <n v="2.0"/>
        <n v="1.0"/>
        <n v="4.0"/>
        <n v="3.0"/>
      </sharedItems>
    </cacheField>
    <cacheField name="avg_y_diff">
      <sharedItems containsMixedTypes="1" containsNumber="1">
        <n v="2017.5"/>
        <s v=""/>
        <n v="2016.0"/>
        <n v="2015.5"/>
        <n v="2017.0"/>
        <n v="2016.5"/>
      </sharedItems>
    </cacheField>
    <cacheField name="pop_n" numFmtId="0">
      <sharedItems>
        <s v="34413.60156"/>
        <s v="38928.33984"/>
        <s v="2890.523926"/>
        <s v="2877.800049"/>
        <s v="39728.01953"/>
        <s v="43851.04297"/>
        <s v="55.80599976"/>
        <s v="55.1969986"/>
        <s v="77.99299622"/>
        <s v="77.26499939"/>
        <s v="27884.38086"/>
        <s v="32866.26953"/>
        <s v="14.27900028"/>
        <s v="14.5880003"/>
        <s v="93.57099915"/>
        <s v="95.42500305"/>
        <s v="43075.41406"/>
        <s v="45195.77734"/>
        <s v="2925.559082"/>
        <s v="2963.233887"/>
        <s v="104.3389969"/>
        <s v="104.8649979"/>
        <s v="23932.49805"/>
        <s v="25499.88086"/>
        <s v="8678.666992"/>
        <s v="9006.400391"/>
        <s v="9622.741211"/>
        <s v="10139.1748"/>
        <s v="374.2000122"/>
        <s v="389.4859924"/>
        <s v="1371.853027"/>
        <s v="1701.583008"/>
        <s v="156256.2813"/>
        <s v="164689.3906"/>
        <s v="285.3269958"/>
        <s v="287.3710022"/>
        <s v="9439.423828"/>
        <s v="9449.321289"/>
        <s v="11287.93066"/>
        <s v="11589.61621"/>
        <s v="360.9259949"/>
        <s v="397.6210022"/>
        <s v="10575.96191"/>
        <s v="12123.19824"/>
        <s v="63.69499969"/>
        <s v="62.27299881"/>
        <s v="727.8850098"/>
        <s v="771.6119995"/>
        <s v="10869.73242"/>
        <s v="11673.0293"/>
        <s v="3429.362061"/>
        <s v="3280.814941"/>
        <s v="2120.716064"/>
        <s v="2351.625"/>
        <s v="204471.7656"/>
        <s v="212559.4063"/>
        <s v="29.14800072"/>
        <s v="30.23699951"/>
        <s v="414.9140015"/>
        <s v="437.4830017"/>
        <s v="7199.73877"/>
        <s v="6948.444824"/>
        <s v="18110.61523"/>
        <s v="20903.27734"/>
        <s v="10160.03418"/>
        <s v="11890.78125"/>
        <s v="524.7399902"/>
        <s v="555.9879761"/>
        <s v="15521.43457"/>
        <s v="16718.9707"/>
        <s v="23298.37695"/>
        <s v="26545.86328"/>
        <s v="36026.66797"/>
        <s v="37742.15625"/>
        <s v="61.72100067"/>
        <s v="62.56399918"/>
        <s v="4493.170898"/>
        <s v="4829.76416"/>
        <s v="14110.9707"/>
        <s v="16425.85938"/>
        <s v="165.3869934"/>
        <s v="168.6660004"/>
        <s v="17969.35547"/>
        <s v="19116.20898"/>
        <s v="1430405.375"/>
        <s v="1463140.5"/>
        <s v="7185.992188"/>
        <s v="7496.987793"/>
        <s v="602.0930176"/>
        <s v="649.34198"/>
        <s v="47520.66797"/>
        <s v="50882.88281"/>
        <s v="777.4349976"/>
        <s v="850.8909912"/>
        <s v="4856.092773"/>
        <s v="5518.091797"/>
        <s v="17.58099937"/>
        <s v="17.56399918"/>
        <s v="4847.805176"/>
        <s v="5094.11377"/>
        <s v="23226.14844"/>
        <s v="26378.27539"/>
        <s v="4232.874023"/>
        <s v="4105.268066"/>
        <s v="11324.77734"/>
        <s v="11326.61621"/>
        <s v="159.8500061"/>
        <s v="161.9859924"/>
        <s v="1160.987061"/>
        <s v="1207.360962"/>
        <s v="10601.38965"/>
        <s v="10708.98242"/>
        <s v="25183.83203"/>
        <s v="25778.81445"/>
        <s v="76244.53125"/>
        <s v="89561.40625"/>
        <s v="5688.694824"/>
        <s v="5792.203125"/>
        <s v="913.9979858"/>
        <s v="988.0020142"/>
        <s v="71.17500305"/>
        <s v="71.45999908"/>
        <s v="10281.6748"/>
        <s v="10847.9043"/>
        <s v="16212.02246"/>
        <s v="17643.06055"/>
        <s v="92442.54688"/>
        <s v="102334.4063"/>
        <s v="6325.121094"/>
        <s v="6486.201172"/>
        <s v="1168.574951"/>
        <s v="1262.008057"/>
        <s v="3342.818115"/>
        <s v="3376.558105"/>
        <s v="1315.329956"/>
        <s v="1326.53894"/>
        <s v="1104.037964"/>
        <s v="1160.16394"/>
        <s v="100835.4531"/>
        <s v="114963.5859"/>
        <s v="48.05500031"/>
        <s v="48.86500168"/>
        <s v="2.835999966"/>
        <s v="3.48300004"/>
        <s v="868.632019"/>
        <s v="896.4439697"/>
        <s v="5481.12793"/>
        <s v="5540.717773"/>
        <s v="64453.19531"/>
        <s v="65273.51172"/>
        <s v="261.0079956"/>
        <s v="298.6820068"/>
        <s v="273.118988"/>
        <s v="280.9039917"/>
        <s v="1947.689941"/>
        <s v="2225.728027"/>
        <s v="2085.860107"/>
        <s v="2416.664063"/>
        <s v="4024.179932"/>
        <s v="3989.175049"/>
        <s v="81787.41406"/>
        <s v="83783.94531"/>
        <s v="27849.20313"/>
        <s v="31072.94531"/>
        <s v="33.74200058"/>
        <s v="33.69100189"/>
        <s v="10659.7373"/>
        <s v="10423.05566"/>
        <s v="56.37799835"/>
        <s v="56.77199936"/>
        <s v="109.6029968"/>
        <s v="110.8740005"/>
        <s v="400.2600098"/>
        <s v="400.1270142"/>
        <s v="161.8509979"/>
        <s v="168.7830048"/>
        <s v="16252.4248"/>
        <s v="17915.56641"/>
        <s v="11432.0957"/>
        <s v="13132.79199"/>
        <s v="1737.207031"/>
        <s v="1967.998047"/>
        <s v="767.4329834"/>
        <s v="786.559021"/>
        <s v="10695.54004"/>
        <s v="11402.5332"/>
        <s v="9112.904297"/>
        <s v="9904.608398"/>
        <s v="9777.924805"/>
        <s v="9660.349609"/>
        <s v="330.2369995"/>
        <s v="341.25"/>
        <s v="1310152.375"/>
        <s v="1380004.375"/>
        <s v="258383.25"/>
        <s v="273523.625"/>
        <s v="78492.21094"/>
        <s v="83992.95313"/>
        <s v="35572.26953"/>
        <s v="40222.50391"/>
        <s v="4652.419922"/>
        <s v="4937.795898"/>
        <s v="83.23200226"/>
        <s v="85.03199768"/>
        <s v="7978.496094"/>
        <s v="8655.541016"/>
        <s v="60578.48828"/>
        <s v="60461.82813"/>
        <s v="2891.023926"/>
        <s v="2961.160889"/>
        <s v="127985.1406"/>
        <s v="126476.4609"/>
        <s v="9266.573242"/>
        <s v="10203.13965"/>
        <s v="17572.00977"/>
        <s v="18776.70703"/>
        <s v="47878.33984"/>
        <s v="53771.30078"/>
        <s v="110.927002"/>
        <s v="119.4459991"/>
        <s v="3835.587891"/>
        <s v="4270.562988"/>
        <s v="5959.125977"/>
        <s v="6524.190918"/>
        <s v="6741.160156"/>
        <s v="7275.556152"/>
        <s v="1997.675049"/>
        <s v="1886.202026"/>
        <s v="6532.681152"/>
        <s v="6825.441895"/>
        <s v="2059.010986"/>
        <s v="2142.251953"/>
        <s v="4472.229004"/>
        <s v="5057.676758"/>
        <s v="6418.314941"/>
        <s v="6871.287109"/>
        <s v="37.46500015"/>
        <s v="38.13700104"/>
        <s v="2931.87207"/>
        <s v="2722.291016"/>
        <s v="566.7410278"/>
        <s v="625.9760132"/>
        <s v="24234.08008"/>
        <s v="27691.01953"/>
        <s v="16745.30469"/>
        <s v="19129.95508"/>
        <s v="30270.96484"/>
        <s v="32365.99805"/>
        <s v="454.9140015"/>
        <s v="540.5419922"/>
        <s v="17438.77148"/>
        <s v="20250.83398"/>
        <s v="433.5589905"/>
        <s v="441.5390015"/>
        <s v="57.44400024"/>
        <s v="59.19400024"/>
        <s v="378.4830017"/>
        <s v="375.2650146"/>
        <s v="4046.303955"/>
        <s v="4649.660156"/>
        <s v="1259.457031"/>
        <s v="1271.766968"/>
        <s v="240.0110016"/>
        <s v="272.8129883"/>
        <s v="121858.25"/>
        <s v="128932.75"/>
        <s v="108.8860016"/>
        <s v="113.810997"/>
        <s v="37.72299957"/>
        <s v="39.24399948"/>
        <s v="2998.433105"/>
        <s v="3278.291992"/>
        <s v="626.9569702"/>
        <s v="628.0620117"/>
        <s v="4.96600008"/>
        <s v="4.999000072"/>
        <s v="34663.60938"/>
        <s v="36910.55859"/>
        <s v="27042.00195"/>
        <s v="31255.43555"/>
        <s v="52680.72266"/>
        <s v="54409.79297"/>
        <s v="2314.900879"/>
        <s v="2540.916016"/>
        <s v="10.3739996"/>
        <s v="10.83399963"/>
        <s v="27015.0332"/>
        <s v="29136.80859"/>
        <s v="16938.49219"/>
        <s v="17134.87305"/>
        <s v="271.0620117"/>
        <s v="285.4909973"/>
        <s v="4614.526855"/>
        <s v="4822.23291"/>
        <s v="6223.233887"/>
        <s v="6624.554199"/>
        <s v="20001.66211"/>
        <s v="24206.63672"/>
        <s v="181137.4531"/>
        <s v="206139.5938"/>
        <s v="1.610000014"/>
        <s v="1.618000031"/>
        <s v="2079.334961"/>
        <s v="2083.379883"/>
        <s v="55.77899933"/>
        <s v="57.55699921"/>
        <s v="5199.827148"/>
        <s v="5421.242188"/>
        <s v="4267.34082"/>
        <s v="5106.62207"/>
        <s v="199426.9531"/>
        <s v="220892.3281"/>
        <s v="17.66500092"/>
        <s v="18.09199905"/>
        <s v="3968.48999"/>
        <s v="4314.768066"/>
        <s v="8107.771973"/>
        <s v="8947.027344"/>
        <s v="6688.746094"/>
        <s v="7132.529785"/>
        <s v="30470.73828"/>
        <s v="32971.84766"/>
        <s v="102113.2031"/>
        <s v="109581.0859"/>
        <s v="38034.07422"/>
        <s v="37846.60547"/>
        <s v="10368.3457"/>
        <s v="10196.70703"/>
        <s v="3381.511963"/>
        <s v="2860.840088"/>
        <s v="2565.708008"/>
        <s v="2881.060059"/>
        <s v="50823.08594"/>
        <s v="51269.18359"/>
        <s v="4070.705078"/>
        <s v="4033.962891"/>
        <s v="863.3590088"/>
        <s v="895.3079834"/>
        <s v="19925.18164"/>
        <s v="19237.68164"/>
        <s v="144985.0625"/>
        <s v="145934.4531"/>
        <s v="11369.06641"/>
        <s v="12952.20898"/>
        <s v="9.696"/>
        <s v="9.885"/>
        <s v="5.868999958"/>
        <s v="6.071000099"/>
        <s v="51.20399857"/>
        <s v="52.0359993"/>
        <s v="179.1309967"/>
        <s v="183.6289978"/>
        <s v="35.865"/>
        <s v="38.659"/>
        <s v="5.992000103"/>
        <s v="5.795000076"/>
        <s v="109.1350021"/>
        <s v="110.2099991"/>
        <s v="193.5099945"/>
        <s v="198.4100037"/>
        <s v="33.27000046"/>
        <s v="33.93799973"/>
        <s v="199.4389954"/>
        <s v="219.1609955"/>
        <s v="31717.67578"/>
        <s v="34813.86719"/>
        <s v="14578.4502"/>
        <s v="16743.92969"/>
        <s v="8876.777344"/>
        <s v="8737.370117"/>
        <s v="94.98100281"/>
        <s v="97.74099731"/>
        <s v="7171.90918"/>
        <s v="7976.984863"/>
        <s v="5592.143066"/>
        <s v="5850.342773"/>
        <s v="39.96699905"/>
        <s v="41.44400024"/>
        <s v="5435.61377"/>
        <s v="5459.643066"/>
        <s v="2071.198975"/>
        <s v="2078.931885"/>
        <s v="603.1329956"/>
        <s v="686.8779907"/>
        <s v="13797.2041"/>
        <s v="15893.21875"/>
        <s v="55386.36719"/>
        <s v="59308.69141"/>
        <s v="10715.65723"/>
        <s v="11193.72852"/>
        <s v="46671.91797"/>
        <s v="46754.78125"/>
        <s v="20908.02344"/>
        <s v="21413.25"/>
        <s v="38902.94922"/>
        <s v="43849.26953"/>
        <s v="559.1359863"/>
        <s v="586.6339722"/>
        <s v="9764.949219"/>
        <s v="10099.26953"/>
        <s v="8296.775391"/>
        <s v="8654.618164"/>
        <s v="17997.41016"/>
        <s v="17500.65625"/>
        <s v="8454.018555"/>
        <s v="9537.641602"/>
        <s v="68714.51563"/>
        <s v="69799.97656"/>
        <s v="1196.293945"/>
        <s v="1318.442017"/>
        <s v="7323.162109"/>
        <s v="8278.737305"/>
        <s v="1.246999979"/>
        <s v="1.350000024"/>
        <s v="100.7799988"/>
        <s v="105.6969986"/>
        <s v="1370.332031"/>
        <s v="1399.490967"/>
        <s v="11179.95117"/>
        <s v="11818.61816"/>
        <s v="78529.41406"/>
        <s v="84339.07031"/>
        <s v="5565.283203"/>
        <s v="6031.187012"/>
        <s v="35.97900009"/>
        <s v="37.66699982"/>
        <s v="11.09899998"/>
        <s v="11.79199982"/>
        <s v="38225.44531"/>
        <s v="45741"/>
        <s v="44921.63672"/>
        <s v="43733.75781"/>
        <s v="9262.896484"/>
        <s v="9890.400391"/>
        <s v="65860.14844"/>
        <s v="67886.00781"/>
        <s v="51482.63672"/>
        <s v="59734.21484"/>
        <s v="320878.3125"/>
        <s v="331002.6563"/>
        <s v="104.9499969"/>
        <s v="104.4229965"/>
        <s v="3412.012939"/>
        <s v="3473.727051"/>
        <s v="30929.55664"/>
        <s v="33469.19922"/>
        <s v="271.1279907"/>
        <s v="307.1499939"/>
        <s v="30081.82617"/>
        <s v="28435.94336"/>
        <s v="92677.07813"/>
        <s v="97338.58594"/>
        <s v="12.26200008"/>
        <s v="11.24600029"/>
        <s v="4529.160156"/>
        <s v="5101.416016"/>
        <s v="26497.88086"/>
        <s v="29825.96875"/>
        <s v="15879.37012"/>
        <s v="18383.95508"/>
        <s v="13814.6416"/>
        <s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 numFmtId="0">
      <sharedItems containsString="0" containsBlank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m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bas_n_rounded" numFmtId="0">
      <sharedItems containsSemiMixedTypes="0" containsString="0" containsNumber="1" containsInteger="1">
        <n v="61.0"/>
        <n v="75.0"/>
        <n v="93.0"/>
        <n v="95.0"/>
        <n v="94.0"/>
        <n v="100.0"/>
        <n v="54.0"/>
        <n v="57.0"/>
        <n v="97.0"/>
        <n v="99.0"/>
        <n v="0.0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ARC_n_full" numFmtId="0">
      <sharedItems>
        <s v=""/>
        <s v="full access"/>
      </sharedItems>
    </cacheField>
    <cacheField name="ARC=0_n" numFmtId="0">
      <sharedItems>
        <s v=""/>
        <s v="ARC=0"/>
      </sharedItems>
    </cacheField>
    <cacheField name="ARC &lt; 0_n" numFmtId="0">
      <sharedItems>
        <s v=""/>
      </sharedItems>
    </cacheField>
    <cacheField name="ARC &gt; 0_n" numFmtId="0">
      <sharedItems>
        <s v="ARC&gt;0"/>
        <s v=""/>
      </sharedItems>
    </cacheField>
    <cacheField name="ARC_n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n v="-19.79331763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wat_lim_n" numFmtId="0">
      <sharedItems containsString="0" containsBlank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m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 numFmtId="0">
      <sharedItems containsString="0" containsBlank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m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 numFmtId="0">
      <sharedItems containsString="0" containsBlank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m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 numFmtId="0">
      <sharedItems containsString="0" containsBlank="1" containsNumber="1">
        <n v="52.98850202"/>
        <n v="66.32791521"/>
        <n v="90.62727461"/>
        <n v="94.09135806"/>
        <n v="88.35270686"/>
        <n v="90.03753791"/>
        <m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bas_r_rounded" numFmtId="0">
      <sharedItems containsSemiMixedTypes="0" containsString="0" containsNumber="1" containsInteger="1">
        <n v="53.0"/>
        <n v="66.0"/>
        <n v="91.0"/>
        <n v="94.0"/>
        <n v="88.0"/>
        <n v="90.0"/>
        <n v="0.0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ARC_r_full" numFmtId="0">
      <sharedItems>
        <s v=""/>
        <s v="full access"/>
      </sharedItems>
    </cacheField>
    <cacheField name="ARC=0_r" numFmtId="0">
      <sharedItems>
        <s v=""/>
        <s v="ARC=0"/>
      </sharedItems>
    </cacheField>
    <cacheField name="ARC&lt;0_r" numFmtId="0">
      <sharedItems>
        <s v=""/>
      </sharedItems>
    </cacheField>
    <cacheField name="ARC&gt;0_r" numFmtId="0">
      <sharedItems>
        <s v="ARC&gt;0"/>
        <s v=""/>
      </sharedItems>
    </cacheField>
    <cacheField name="ARC_r">
      <sharedItems containsMixedTypes="1" containsNumber="1">
        <n v="2.6678826380000005"/>
        <s v=""/>
        <n v="0.6928166900000008"/>
        <n v="0.33696620999999993"/>
        <n v="0.0"/>
        <n v="0.2187714419999999"/>
        <n v="-18.59673201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19.81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-19.848823162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wat_lim_r" numFmtId="0">
      <sharedItems containsString="0" containsBlank="1" containsNumber="1">
        <n v="3.861136617"/>
        <n v="1.956824851"/>
        <n v="5.263172648"/>
        <n v="2.305264955"/>
        <n v="8.685753121"/>
        <n v="8.79672214"/>
        <m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 numFmtId="0">
      <sharedItems containsString="0" containsBlank="1" containsNumber="1">
        <n v="26.55326757"/>
        <n v="19.68294895"/>
        <n v="4.109552744"/>
        <n v="3.603376986"/>
        <n v="2.580431801"/>
        <n v="0.9946030281"/>
        <m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 numFmtId="0">
      <sharedItems containsString="0" containsBlank="1" containsNumber="1">
        <n v="16.59709379"/>
        <n v="12.03231098"/>
        <n v="0.0"/>
        <n v="0.3811082155"/>
        <n v="0.1711369258"/>
        <m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 numFmtId="0">
      <sharedItems containsString="0" containsBlank="1" containsNumber="1">
        <n v="86.65894072"/>
        <n v="100.0"/>
        <n v="95.44506696"/>
        <n v="95.66380912"/>
        <n v="95.4903147"/>
        <n v="96.00473586"/>
        <m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bas_u_rounded" numFmtId="0">
      <sharedItems containsSemiMixedTypes="0" containsString="0" containsNumber="1" containsInteger="1">
        <n v="87.0"/>
        <n v="100.0"/>
        <n v="95.0"/>
        <n v="96.0"/>
        <n v="0.0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u_full" numFmtId="0">
      <sharedItems>
        <s v=""/>
        <s v="full access"/>
      </sharedItems>
    </cacheField>
    <cacheField name="ARC=0_u" numFmtId="0">
      <sharedItems>
        <s v=""/>
        <s v="ARC=0"/>
      </sharedItems>
    </cacheField>
    <cacheField name="ARC&lt;0_u" numFmtId="0">
      <sharedItems>
        <s v=""/>
      </sharedItems>
    </cacheField>
    <cacheField name="ARC&gt;0_u" numFmtId="0">
      <sharedItems>
        <s v="ARC&gt;0"/>
        <s v=""/>
      </sharedItems>
    </cacheField>
    <cacheField name="ARC_u">
      <sharedItems containsMixedTypes="1" containsNumber="1">
        <n v="2.668211855999999"/>
        <s v=""/>
        <n v="0.04374843199999816"/>
        <n v="0.10288423199999955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lim_u" numFmtId="0">
      <sharedItems containsString="0" containsBlank="1" containsNumber="1">
        <n v="2.450270561"/>
        <n v="0.0"/>
        <n v="2.41331182"/>
        <n v="1.62808683"/>
        <n v="3.706117317"/>
        <n v="3.628288591"/>
        <m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 numFmtId="0">
      <sharedItems containsString="0" containsBlank="1" containsNumber="1">
        <n v="8.876035732"/>
        <n v="0.0"/>
        <n v="2.141621216"/>
        <n v="2.708104054"/>
        <n v="0.7385100851"/>
        <n v="0.3669755478"/>
        <m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 numFmtId="0">
      <sharedItems containsBlank="1">
        <s v="2.014752987"/>
        <s v="0"/>
        <s v="0.06505789753"/>
        <m/>
        <s v="2.718749921"/>
        <s v="0.9759791629"/>
        <s v="0.1902459339"/>
        <s v="0.3991837074"/>
        <s v="0.2583266934"/>
        <s v="2.182958756"/>
        <s v="1.198136794"/>
        <s v="0.2875847035"/>
        <s v="0.1173091586"/>
        <s v="0.304941615"/>
        <s v="0.2260230112"/>
        <s v="0.1467727616"/>
        <s v="0.1498202281"/>
        <s v="0.3513198178"/>
        <s v="0.4421957805"/>
        <s v="1.165421012"/>
        <s v="0.0408679538"/>
        <s v="3.6846594"/>
        <s v="0.6910081144"/>
        <s v="0.9856948028"/>
        <s v="1.041917019"/>
        <s v="0.310671709"/>
        <s v="0.09915281712"/>
        <s v="0.8541499715"/>
        <s v="0.8888103843"/>
        <s v="0.3049508197"/>
        <s v="0.322"/>
        <s v="0.340190797"/>
        <s v="0.00709109589"/>
        <s v="0.008949452055"/>
        <s v="3.083334164"/>
        <s v="4.285544994"/>
        <s v="0.06419054206"/>
        <s v="0.02419708411"/>
        <s v="1.548328967"/>
        <s v="0.8531284131"/>
        <s v="0.2082727854"/>
        <s v="0.3264261435"/>
        <s v="0.3882429922"/>
        <s v="0.1494454068"/>
        <s v="0.4663712861"/>
        <s v="0.3046490909"/>
        <s v="0.525"/>
        <s v="1.73905399"/>
        <s v="0.8720082294"/>
        <s v="1.532556439"/>
        <s v="0.392580896"/>
        <s v="0.2714306142"/>
        <s v="0.3103465922"/>
        <s v="0.6481873668"/>
        <s v="0.0992060715"/>
        <s v="0.1329489253"/>
        <s v="0.01084585945"/>
        <s v="0.01562531586"/>
        <s v="0.9089033445"/>
        <s v="0.07878421819"/>
        <s v="0.2080250227"/>
        <s v="0.1597056849"/>
        <s v="0.4882692651"/>
        <s v="0.173539289"/>
        <s v="0.01439322693"/>
        <s v="0.00768467364"/>
        <s v="0.2478216409"/>
        <s v="0.2373001538"/>
        <s v="0.2675555532"/>
        <s v="0.1313629588"/>
        <s v="0.0874287017"/>
        <s v="0.3285312153"/>
        <s v="0.34046355"/>
        <s v="0.06171"/>
        <s v="5.100043429"/>
        <s v="5.961681193"/>
        <s v="1.04821651"/>
        <s v="0.9584353711"/>
        <s v="0.502916007"/>
        <s v="0.65534942"/>
        <s v="0.8797308764"/>
        <s v="0.1977530006"/>
        <s v="4.416545719"/>
        <s v="1.291068417"/>
        <s v="0.4370683245"/>
        <s v="0.3688495446"/>
        <s v="0.09"/>
        <s v="0.306033834"/>
        <s v="0.08140909465"/>
        <s v="0.1828868106"/>
        <s v="0.02255092798"/>
        <s v="2.579970181"/>
        <s v="1.649976404"/>
        <s v="3.663334632"/>
        <s v="2.741830931"/>
        <s v="0.4166621911"/>
        <s v="0.4886654211"/>
        <s v="1.07032397"/>
        <s v="0.9616622585"/>
        <s v="0.2495174846"/>
        <s v="0.2414834229"/>
        <s v="1.252330425"/>
        <s v="2.101031634"/>
        <s v="2.662486501"/>
        <s v="1.29350537"/>
        <s v="0.06372315036"/>
        <s v="0.35652434"/>
        <s v="0.3342044223"/>
        <s v="0.03566604616"/>
        <s v="5.309172598"/>
        <s v="6.362160532"/>
        <s v="0.3360523291"/>
        <s v="0.1613539953"/>
        <s v="0.1525436393"/>
        <s v="0.2"/>
        <s v="3.448344828"/>
        <s v="2.269591394"/>
        <s v="0.1571428571"/>
        <s v="0.6088487774"/>
        <s v="0.03859547379"/>
        <s v="3.743225068"/>
        <s v="2.023349475"/>
        <s v="1.152965328"/>
        <s v="1.132816553"/>
        <s v="0.9298710922"/>
        <s v="6.762929552"/>
        <s v="1.14928027"/>
        <s v="1.012900581"/>
        <s v="0.002585454545"/>
        <s v="2.675328663"/>
        <s v="2.007293339"/>
        <s v="0.4177092401"/>
        <s v="0.9183694177"/>
        <s v="0.8727514049"/>
        <s v="0.118"/>
        <s v="0.138"/>
        <s v="1.193631242"/>
        <s v="1.051936238"/>
        <s v="0.3041124414"/>
        <s v="0.4652264446"/>
        <s v="2.644493171"/>
        <s v="2.674665152"/>
        <s v="0.6409843843"/>
        <s v="0.3483893924"/>
        <s v="1.016269193"/>
        <s v="0.6837350463"/>
        <s v="0.1142427564"/>
        <s v="0.01805461538"/>
      </sharedItems>
    </cacheField>
    <cacheField name="ARC_diff">
      <sharedItems containsMixedTypes="1" containsNumber="1">
        <n v="-3.2921799999874324E-4"/>
        <s v=""/>
        <n v="0.6490682580000027"/>
        <n v="0.23408197800000038"/>
        <n v="0.0"/>
        <n v="-0.08586525800000047"/>
        <n v="-18.65038353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19.81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-19.848823162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-0.007016146000000845"/>
        <n v="0.19799471599999946"/>
        <n v="1.0056200000008175E-4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0.050056129999998686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-0.03561883399999886"/>
        <n v="0.4827418519999981"/>
        <n v="0.9562897539999994"/>
        <n v="0.7564193279999983"/>
        <n v="-0.45882501399999853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L463" sheet="Estimates_of_Use_of_Water2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  <cacheField name="y_diff">
      <sharedItems containsMixedTypes="1" containsNumber="1" containsInteger="1">
        <n v="5.0"/>
        <s v=""/>
        <n v="2.0"/>
        <n v="1.0"/>
        <n v="4.0"/>
        <n v="3.0"/>
      </sharedItems>
    </cacheField>
    <cacheField name="avg_y_diff">
      <sharedItems containsMixedTypes="1" containsNumber="1">
        <n v="2017.5"/>
        <s v=""/>
        <n v="2016.0"/>
        <n v="2015.5"/>
        <n v="2017.0"/>
        <n v="2016.5"/>
      </sharedItems>
    </cacheField>
    <cacheField name="pop_n" numFmtId="0">
      <sharedItems>
        <s v="34413.60156"/>
        <s v="38928.33984"/>
        <s v="2890.523926"/>
        <s v="2877.800049"/>
        <s v="39728.01953"/>
        <s v="43851.04297"/>
        <s v="55.80599976"/>
        <s v="55.1969986"/>
        <s v="77.99299622"/>
        <s v="77.26499939"/>
        <s v="27884.38086"/>
        <s v="32866.26953"/>
        <s v="14.27900028"/>
        <s v="14.5880003"/>
        <s v="93.57099915"/>
        <s v="95.42500305"/>
        <s v="43075.41406"/>
        <s v="45195.77734"/>
        <s v="2925.559082"/>
        <s v="2963.233887"/>
        <s v="104.3389969"/>
        <s v="104.8649979"/>
        <s v="23932.49805"/>
        <s v="25499.88086"/>
        <s v="8678.666992"/>
        <s v="9006.400391"/>
        <s v="9622.741211"/>
        <s v="10139.1748"/>
        <s v="374.2000122"/>
        <s v="389.4859924"/>
        <s v="1371.853027"/>
        <s v="1701.583008"/>
        <s v="156256.2813"/>
        <s v="164689.3906"/>
        <s v="285.3269958"/>
        <s v="287.3710022"/>
        <s v="9439.423828"/>
        <s v="9449.321289"/>
        <s v="11287.93066"/>
        <s v="11589.61621"/>
        <s v="360.9259949"/>
        <s v="397.6210022"/>
        <s v="10575.96191"/>
        <s v="12123.19824"/>
        <s v="63.69499969"/>
        <s v="62.27299881"/>
        <s v="727.8850098"/>
        <s v="771.6119995"/>
        <s v="10869.73242"/>
        <s v="11673.0293"/>
        <s v="3429.362061"/>
        <s v="3280.814941"/>
        <s v="2120.716064"/>
        <s v="2351.625"/>
        <s v="204471.7656"/>
        <s v="212559.4063"/>
        <s v="29.14800072"/>
        <s v="30.23699951"/>
        <s v="414.9140015"/>
        <s v="437.4830017"/>
        <s v="7199.73877"/>
        <s v="6948.444824"/>
        <s v="18110.61523"/>
        <s v="20903.27734"/>
        <s v="10160.03418"/>
        <s v="11890.78125"/>
        <s v="524.7399902"/>
        <s v="555.9879761"/>
        <s v="15521.43457"/>
        <s v="16718.9707"/>
        <s v="23298.37695"/>
        <s v="26545.86328"/>
        <s v="36026.66797"/>
        <s v="37742.15625"/>
        <s v="61.72100067"/>
        <s v="62.56399918"/>
        <s v="4493.170898"/>
        <s v="4829.76416"/>
        <s v="14110.9707"/>
        <s v="16425.85938"/>
        <s v="165.3869934"/>
        <s v="168.6660004"/>
        <s v="17969.35547"/>
        <s v="19116.20898"/>
        <s v="1430405.375"/>
        <s v="1463140.5"/>
        <s v="7185.992188"/>
        <s v="7496.987793"/>
        <s v="602.0930176"/>
        <s v="649.34198"/>
        <s v="47520.66797"/>
        <s v="50882.88281"/>
        <s v="777.4349976"/>
        <s v="850.8909912"/>
        <s v="4856.092773"/>
        <s v="5518.091797"/>
        <s v="17.58099937"/>
        <s v="17.56399918"/>
        <s v="4847.805176"/>
        <s v="5094.11377"/>
        <s v="23226.14844"/>
        <s v="26378.27539"/>
        <s v="4232.874023"/>
        <s v="4105.268066"/>
        <s v="11324.77734"/>
        <s v="11326.61621"/>
        <s v="159.8500061"/>
        <s v="161.9859924"/>
        <s v="1160.987061"/>
        <s v="1207.360962"/>
        <s v="10601.38965"/>
        <s v="10708.98242"/>
        <s v="25183.83203"/>
        <s v="25778.81445"/>
        <s v="76244.53125"/>
        <s v="89561.40625"/>
        <s v="5688.694824"/>
        <s v="5792.203125"/>
        <s v="913.9979858"/>
        <s v="988.0020142"/>
        <s v="71.17500305"/>
        <s v="71.45999908"/>
        <s v="10281.6748"/>
        <s v="10847.9043"/>
        <s v="16212.02246"/>
        <s v="17643.06055"/>
        <s v="92442.54688"/>
        <s v="102334.4063"/>
        <s v="6325.121094"/>
        <s v="6486.201172"/>
        <s v="1168.574951"/>
        <s v="1262.008057"/>
        <s v="3342.818115"/>
        <s v="3376.558105"/>
        <s v="1315.329956"/>
        <s v="1326.53894"/>
        <s v="1104.037964"/>
        <s v="1160.16394"/>
        <s v="100835.4531"/>
        <s v="114963.5859"/>
        <s v="48.05500031"/>
        <s v="48.86500168"/>
        <s v="2.835999966"/>
        <s v="3.48300004"/>
        <s v="868.632019"/>
        <s v="896.4439697"/>
        <s v="5481.12793"/>
        <s v="5540.717773"/>
        <s v="64453.19531"/>
        <s v="65273.51172"/>
        <s v="261.0079956"/>
        <s v="298.6820068"/>
        <s v="273.118988"/>
        <s v="280.9039917"/>
        <s v="1947.689941"/>
        <s v="2225.728027"/>
        <s v="2085.860107"/>
        <s v="2416.664063"/>
        <s v="4024.179932"/>
        <s v="3989.175049"/>
        <s v="81787.41406"/>
        <s v="83783.94531"/>
        <s v="27849.20313"/>
        <s v="31072.94531"/>
        <s v="33.74200058"/>
        <s v="33.69100189"/>
        <s v="10659.7373"/>
        <s v="10423.05566"/>
        <s v="56.37799835"/>
        <s v="56.77199936"/>
        <s v="109.6029968"/>
        <s v="110.8740005"/>
        <s v="400.2600098"/>
        <s v="400.1270142"/>
        <s v="161.8509979"/>
        <s v="168.7830048"/>
        <s v="16252.4248"/>
        <s v="17915.56641"/>
        <s v="11432.0957"/>
        <s v="13132.79199"/>
        <s v="1737.207031"/>
        <s v="1967.998047"/>
        <s v="767.4329834"/>
        <s v="786.559021"/>
        <s v="10695.54004"/>
        <s v="11402.5332"/>
        <s v="9112.904297"/>
        <s v="9904.608398"/>
        <s v="9777.924805"/>
        <s v="9660.349609"/>
        <s v="330.2369995"/>
        <s v="341.25"/>
        <s v="1310152.375"/>
        <s v="1380004.375"/>
        <s v="258383.25"/>
        <s v="273523.625"/>
        <s v="78492.21094"/>
        <s v="83992.95313"/>
        <s v="35572.26953"/>
        <s v="40222.50391"/>
        <s v="4652.419922"/>
        <s v="4937.795898"/>
        <s v="83.23200226"/>
        <s v="85.03199768"/>
        <s v="7978.496094"/>
        <s v="8655.541016"/>
        <s v="60578.48828"/>
        <s v="60461.82813"/>
        <s v="2891.023926"/>
        <s v="2961.160889"/>
        <s v="127985.1406"/>
        <s v="126476.4609"/>
        <s v="9266.573242"/>
        <s v="10203.13965"/>
        <s v="17572.00977"/>
        <s v="18776.70703"/>
        <s v="47878.33984"/>
        <s v="53771.30078"/>
        <s v="110.927002"/>
        <s v="119.4459991"/>
        <s v="3835.587891"/>
        <s v="4270.562988"/>
        <s v="5959.125977"/>
        <s v="6524.190918"/>
        <s v="6741.160156"/>
        <s v="7275.556152"/>
        <s v="1997.675049"/>
        <s v="1886.202026"/>
        <s v="6532.681152"/>
        <s v="6825.441895"/>
        <s v="2059.010986"/>
        <s v="2142.251953"/>
        <s v="4472.229004"/>
        <s v="5057.676758"/>
        <s v="6418.314941"/>
        <s v="6871.287109"/>
        <s v="37.46500015"/>
        <s v="38.13700104"/>
        <s v="2931.87207"/>
        <s v="2722.291016"/>
        <s v="566.7410278"/>
        <s v="625.9760132"/>
        <s v="24234.08008"/>
        <s v="27691.01953"/>
        <s v="16745.30469"/>
        <s v="19129.95508"/>
        <s v="30270.96484"/>
        <s v="32365.99805"/>
        <s v="454.9140015"/>
        <s v="540.5419922"/>
        <s v="17438.77148"/>
        <s v="20250.83398"/>
        <s v="433.5589905"/>
        <s v="441.5390015"/>
        <s v="57.44400024"/>
        <s v="59.19400024"/>
        <s v="378.4830017"/>
        <s v="375.2650146"/>
        <s v="4046.303955"/>
        <s v="4649.660156"/>
        <s v="1259.457031"/>
        <s v="1271.766968"/>
        <s v="240.0110016"/>
        <s v="272.8129883"/>
        <s v="121858.25"/>
        <s v="128932.75"/>
        <s v="108.8860016"/>
        <s v="113.810997"/>
        <s v="37.72299957"/>
        <s v="39.24399948"/>
        <s v="2998.433105"/>
        <s v="3278.291992"/>
        <s v="626.9569702"/>
        <s v="628.0620117"/>
        <s v="4.96600008"/>
        <s v="4.999000072"/>
        <s v="34663.60938"/>
        <s v="36910.55859"/>
        <s v="27042.00195"/>
        <s v="31255.43555"/>
        <s v="52680.72266"/>
        <s v="54409.79297"/>
        <s v="2314.900879"/>
        <s v="2540.916016"/>
        <s v="10.3739996"/>
        <s v="10.83399963"/>
        <s v="27015.0332"/>
        <s v="29136.80859"/>
        <s v="16938.49219"/>
        <s v="17134.87305"/>
        <s v="271.0620117"/>
        <s v="285.4909973"/>
        <s v="4614.526855"/>
        <s v="4822.23291"/>
        <s v="6223.233887"/>
        <s v="6624.554199"/>
        <s v="20001.66211"/>
        <s v="24206.63672"/>
        <s v="181137.4531"/>
        <s v="206139.5938"/>
        <s v="1.610000014"/>
        <s v="1.618000031"/>
        <s v="2079.334961"/>
        <s v="2083.379883"/>
        <s v="55.77899933"/>
        <s v="57.55699921"/>
        <s v="5199.827148"/>
        <s v="5421.242188"/>
        <s v="4267.34082"/>
        <s v="5106.62207"/>
        <s v="199426.9531"/>
        <s v="220892.3281"/>
        <s v="17.66500092"/>
        <s v="18.09199905"/>
        <s v="3968.48999"/>
        <s v="4314.768066"/>
        <s v="8107.771973"/>
        <s v="8947.027344"/>
        <s v="6688.746094"/>
        <s v="7132.529785"/>
        <s v="30470.73828"/>
        <s v="32971.84766"/>
        <s v="102113.2031"/>
        <s v="109581.0859"/>
        <s v="38034.07422"/>
        <s v="37846.60547"/>
        <s v="10368.3457"/>
        <s v="10196.70703"/>
        <s v="3381.511963"/>
        <s v="2860.840088"/>
        <s v="2565.708008"/>
        <s v="2881.060059"/>
        <s v="50823.08594"/>
        <s v="51269.18359"/>
        <s v="4070.705078"/>
        <s v="4033.962891"/>
        <s v="863.3590088"/>
        <s v="895.3079834"/>
        <s v="19925.18164"/>
        <s v="19237.68164"/>
        <s v="144985.0625"/>
        <s v="145934.4531"/>
        <s v="11369.06641"/>
        <s v="12952.20898"/>
        <s v="9.696"/>
        <s v="9.885"/>
        <s v="5.868999958"/>
        <s v="6.071000099"/>
        <s v="51.20399857"/>
        <s v="52.0359993"/>
        <s v="179.1309967"/>
        <s v="183.6289978"/>
        <s v="35.865"/>
        <s v="38.659"/>
        <s v="5.992000103"/>
        <s v="5.795000076"/>
        <s v="109.1350021"/>
        <s v="110.2099991"/>
        <s v="193.5099945"/>
        <s v="198.4100037"/>
        <s v="33.27000046"/>
        <s v="33.93799973"/>
        <s v="199.4389954"/>
        <s v="219.1609955"/>
        <s v="31717.67578"/>
        <s v="34813.86719"/>
        <s v="14578.4502"/>
        <s v="16743.92969"/>
        <s v="8876.777344"/>
        <s v="8737.370117"/>
        <s v="94.98100281"/>
        <s v="97.74099731"/>
        <s v="7171.90918"/>
        <s v="7976.984863"/>
        <s v="5592.143066"/>
        <s v="5850.342773"/>
        <s v="39.96699905"/>
        <s v="41.44400024"/>
        <s v="5435.61377"/>
        <s v="5459.643066"/>
        <s v="2071.198975"/>
        <s v="2078.931885"/>
        <s v="603.1329956"/>
        <s v="686.8779907"/>
        <s v="13797.2041"/>
        <s v="15893.21875"/>
        <s v="55386.36719"/>
        <s v="59308.69141"/>
        <s v="10715.65723"/>
        <s v="11193.72852"/>
        <s v="46671.91797"/>
        <s v="46754.78125"/>
        <s v="20908.02344"/>
        <s v="21413.25"/>
        <s v="38902.94922"/>
        <s v="43849.26953"/>
        <s v="559.1359863"/>
        <s v="586.6339722"/>
        <s v="9764.949219"/>
        <s v="10099.26953"/>
        <s v="8296.775391"/>
        <s v="8654.618164"/>
        <s v="17997.41016"/>
        <s v="17500.65625"/>
        <s v="8454.018555"/>
        <s v="9537.641602"/>
        <s v="68714.51563"/>
        <s v="69799.97656"/>
        <s v="1196.293945"/>
        <s v="1318.442017"/>
        <s v="7323.162109"/>
        <s v="8278.737305"/>
        <s v="1.246999979"/>
        <s v="1.350000024"/>
        <s v="100.7799988"/>
        <s v="105.6969986"/>
        <s v="1370.332031"/>
        <s v="1399.490967"/>
        <s v="11179.95117"/>
        <s v="11818.61816"/>
        <s v="78529.41406"/>
        <s v="84339.07031"/>
        <s v="5565.283203"/>
        <s v="6031.187012"/>
        <s v="35.97900009"/>
        <s v="37.66699982"/>
        <s v="11.09899998"/>
        <s v="11.79199982"/>
        <s v="38225.44531"/>
        <s v="45741"/>
        <s v="44921.63672"/>
        <s v="43733.75781"/>
        <s v="9262.896484"/>
        <s v="9890.400391"/>
        <s v="65860.14844"/>
        <s v="67886.00781"/>
        <s v="51482.63672"/>
        <s v="59734.21484"/>
        <s v="320878.3125"/>
        <s v="331002.6563"/>
        <s v="104.9499969"/>
        <s v="104.4229965"/>
        <s v="3412.012939"/>
        <s v="3473.727051"/>
        <s v="30929.55664"/>
        <s v="33469.19922"/>
        <s v="271.1279907"/>
        <s v="307.1499939"/>
        <s v="30081.82617"/>
        <s v="28435.94336"/>
        <s v="92677.07813"/>
        <s v="97338.58594"/>
        <s v="12.26200008"/>
        <s v="11.24600029"/>
        <s v="4529.160156"/>
        <s v="5101.416016"/>
        <s v="26497.88086"/>
        <s v="29825.96875"/>
        <s v="15879.37012"/>
        <s v="18383.95508"/>
        <s v="13814.6416"/>
        <s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 numFmtId="0">
      <sharedItems containsString="0" containsBlank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m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bas_n_rounded" numFmtId="0">
      <sharedItems containsSemiMixedTypes="0" containsString="0" containsNumber="1" containsInteger="1">
        <n v="61.0"/>
        <n v="75.0"/>
        <n v="93.0"/>
        <n v="95.0"/>
        <n v="94.0"/>
        <n v="100.0"/>
        <n v="54.0"/>
        <n v="57.0"/>
        <n v="97.0"/>
        <n v="99.0"/>
        <n v="0.0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ARC_n_full" numFmtId="0">
      <sharedItems>
        <s v=""/>
        <s v="full access"/>
      </sharedItems>
    </cacheField>
    <cacheField name="ARC=0_n" numFmtId="0">
      <sharedItems>
        <s v=""/>
        <s v="ARC=0"/>
      </sharedItems>
    </cacheField>
    <cacheField name="ARC &lt; 0_n" numFmtId="0">
      <sharedItems>
        <s v=""/>
      </sharedItems>
    </cacheField>
    <cacheField name="ARC &gt; 0_n" numFmtId="0">
      <sharedItems>
        <s v="ARC&gt;0"/>
        <s v=""/>
      </sharedItems>
    </cacheField>
    <cacheField name="ARC_n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n v="-19.79331763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wat_lim_n" numFmtId="0">
      <sharedItems containsString="0" containsBlank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m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 numFmtId="0">
      <sharedItems containsString="0" containsBlank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m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 numFmtId="0">
      <sharedItems containsString="0" containsBlank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m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 numFmtId="0">
      <sharedItems containsString="0" containsBlank="1" containsNumber="1">
        <n v="52.98850202"/>
        <n v="66.32791521"/>
        <n v="90.62727461"/>
        <n v="94.09135806"/>
        <n v="88.35270686"/>
        <n v="90.03753791"/>
        <m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bas_r_rounded" numFmtId="0">
      <sharedItems containsSemiMixedTypes="0" containsString="0" containsNumber="1" containsInteger="1">
        <n v="53.0"/>
        <n v="66.0"/>
        <n v="91.0"/>
        <n v="94.0"/>
        <n v="88.0"/>
        <n v="90.0"/>
        <n v="0.0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ARC_r_full" numFmtId="0">
      <sharedItems>
        <s v=""/>
        <s v="full access"/>
      </sharedItems>
    </cacheField>
    <cacheField name="ARC=0_r" numFmtId="0">
      <sharedItems>
        <s v=""/>
        <s v="ARC=0"/>
      </sharedItems>
    </cacheField>
    <cacheField name="ARC&lt;0_r" numFmtId="0">
      <sharedItems>
        <s v=""/>
      </sharedItems>
    </cacheField>
    <cacheField name="ARC&gt;0_r" numFmtId="0">
      <sharedItems>
        <s v="ARC&gt;0"/>
        <s v=""/>
      </sharedItems>
    </cacheField>
    <cacheField name="ARC_r">
      <sharedItems containsMixedTypes="1" containsNumber="1">
        <n v="2.6678826380000005"/>
        <s v=""/>
        <n v="0.6928166900000008"/>
        <n v="0.33696620999999993"/>
        <n v="0.0"/>
        <n v="0.2187714419999999"/>
        <n v="-18.59673201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19.81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-19.848823162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wat_lim_r" numFmtId="0">
      <sharedItems containsString="0" containsBlank="1" containsNumber="1">
        <n v="3.861136617"/>
        <n v="1.956824851"/>
        <n v="5.263172648"/>
        <n v="2.305264955"/>
        <n v="8.685753121"/>
        <n v="8.79672214"/>
        <m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 numFmtId="0">
      <sharedItems containsString="0" containsBlank="1" containsNumber="1">
        <n v="26.55326757"/>
        <n v="19.68294895"/>
        <n v="4.109552744"/>
        <n v="3.603376986"/>
        <n v="2.580431801"/>
        <n v="0.9946030281"/>
        <m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 numFmtId="0">
      <sharedItems containsString="0" containsBlank="1" containsNumber="1">
        <n v="16.59709379"/>
        <n v="12.03231098"/>
        <n v="0.0"/>
        <n v="0.3811082155"/>
        <n v="0.1711369258"/>
        <m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 numFmtId="0">
      <sharedItems containsString="0" containsBlank="1" containsNumber="1">
        <n v="86.65894072"/>
        <n v="100.0"/>
        <n v="95.44506696"/>
        <n v="95.66380912"/>
        <n v="95.4903147"/>
        <n v="96.00473586"/>
        <m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bas_u_rounded" numFmtId="0">
      <sharedItems containsSemiMixedTypes="0" containsString="0" containsNumber="1" containsInteger="1">
        <n v="87.0"/>
        <n v="100.0"/>
        <n v="95.0"/>
        <n v="96.0"/>
        <n v="0.0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u_full" numFmtId="0">
      <sharedItems>
        <s v=""/>
        <s v="full access"/>
      </sharedItems>
    </cacheField>
    <cacheField name="ARC=0_u" numFmtId="0">
      <sharedItems>
        <s v=""/>
        <s v="ARC=0"/>
      </sharedItems>
    </cacheField>
    <cacheField name="ARC&lt;0_u" numFmtId="0">
      <sharedItems>
        <s v=""/>
      </sharedItems>
    </cacheField>
    <cacheField name="ARC&gt;0_u" numFmtId="0">
      <sharedItems>
        <s v="ARC&gt;0"/>
        <s v=""/>
      </sharedItems>
    </cacheField>
    <cacheField name="ARC_u">
      <sharedItems containsMixedTypes="1" containsNumber="1">
        <n v="2.668211855999999"/>
        <s v=""/>
        <n v="0.04374843199999816"/>
        <n v="0.10288423199999955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lim_u" numFmtId="0">
      <sharedItems containsString="0" containsBlank="1" containsNumber="1">
        <n v="2.450270561"/>
        <n v="0.0"/>
        <n v="2.41331182"/>
        <n v="1.62808683"/>
        <n v="3.706117317"/>
        <n v="3.628288591"/>
        <m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 numFmtId="0">
      <sharedItems containsString="0" containsBlank="1" containsNumber="1">
        <n v="8.876035732"/>
        <n v="0.0"/>
        <n v="2.141621216"/>
        <n v="2.708104054"/>
        <n v="0.7385100851"/>
        <n v="0.3669755478"/>
        <m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 numFmtId="0">
      <sharedItems containsBlank="1">
        <s v="2.014752987"/>
        <s v="0"/>
        <s v="0.06505789753"/>
        <m/>
        <s v="2.718749921"/>
        <s v="0.9759791629"/>
        <s v="0.1902459339"/>
        <s v="0.3991837074"/>
        <s v="0.2583266934"/>
        <s v="2.182958756"/>
        <s v="1.198136794"/>
        <s v="0.2875847035"/>
        <s v="0.1173091586"/>
        <s v="0.304941615"/>
        <s v="0.2260230112"/>
        <s v="0.1467727616"/>
        <s v="0.1498202281"/>
        <s v="0.3513198178"/>
        <s v="0.4421957805"/>
        <s v="1.165421012"/>
        <s v="0.0408679538"/>
        <s v="3.6846594"/>
        <s v="0.6910081144"/>
        <s v="0.9856948028"/>
        <s v="1.041917019"/>
        <s v="0.310671709"/>
        <s v="0.09915281712"/>
        <s v="0.8541499715"/>
        <s v="0.8888103843"/>
        <s v="0.3049508197"/>
        <s v="0.322"/>
        <s v="0.340190797"/>
        <s v="0.00709109589"/>
        <s v="0.008949452055"/>
        <s v="3.083334164"/>
        <s v="4.285544994"/>
        <s v="0.06419054206"/>
        <s v="0.02419708411"/>
        <s v="1.548328967"/>
        <s v="0.8531284131"/>
        <s v="0.2082727854"/>
        <s v="0.3264261435"/>
        <s v="0.3882429922"/>
        <s v="0.1494454068"/>
        <s v="0.4663712861"/>
        <s v="0.3046490909"/>
        <s v="0.525"/>
        <s v="1.73905399"/>
        <s v="0.8720082294"/>
        <s v="1.532556439"/>
        <s v="0.392580896"/>
        <s v="0.2714306142"/>
        <s v="0.3103465922"/>
        <s v="0.6481873668"/>
        <s v="0.0992060715"/>
        <s v="0.1329489253"/>
        <s v="0.01084585945"/>
        <s v="0.01562531586"/>
        <s v="0.9089033445"/>
        <s v="0.07878421819"/>
        <s v="0.2080250227"/>
        <s v="0.1597056849"/>
        <s v="0.4882692651"/>
        <s v="0.173539289"/>
        <s v="0.01439322693"/>
        <s v="0.00768467364"/>
        <s v="0.2478216409"/>
        <s v="0.2373001538"/>
        <s v="0.2675555532"/>
        <s v="0.1313629588"/>
        <s v="0.0874287017"/>
        <s v="0.3285312153"/>
        <s v="0.34046355"/>
        <s v="0.06171"/>
        <s v="5.100043429"/>
        <s v="5.961681193"/>
        <s v="1.04821651"/>
        <s v="0.9584353711"/>
        <s v="0.502916007"/>
        <s v="0.65534942"/>
        <s v="0.8797308764"/>
        <s v="0.1977530006"/>
        <s v="4.416545719"/>
        <s v="1.291068417"/>
        <s v="0.4370683245"/>
        <s v="0.3688495446"/>
        <s v="0.09"/>
        <s v="0.306033834"/>
        <s v="0.08140909465"/>
        <s v="0.1828868106"/>
        <s v="0.02255092798"/>
        <s v="2.579970181"/>
        <s v="1.649976404"/>
        <s v="3.663334632"/>
        <s v="2.741830931"/>
        <s v="0.4166621911"/>
        <s v="0.4886654211"/>
        <s v="1.07032397"/>
        <s v="0.9616622585"/>
        <s v="0.2495174846"/>
        <s v="0.2414834229"/>
        <s v="1.252330425"/>
        <s v="2.101031634"/>
        <s v="2.662486501"/>
        <s v="1.29350537"/>
        <s v="0.06372315036"/>
        <s v="0.35652434"/>
        <s v="0.3342044223"/>
        <s v="0.03566604616"/>
        <s v="5.309172598"/>
        <s v="6.362160532"/>
        <s v="0.3360523291"/>
        <s v="0.1613539953"/>
        <s v="0.1525436393"/>
        <s v="0.2"/>
        <s v="3.448344828"/>
        <s v="2.269591394"/>
        <s v="0.1571428571"/>
        <s v="0.6088487774"/>
        <s v="0.03859547379"/>
        <s v="3.743225068"/>
        <s v="2.023349475"/>
        <s v="1.152965328"/>
        <s v="1.132816553"/>
        <s v="0.9298710922"/>
        <s v="6.762929552"/>
        <s v="1.14928027"/>
        <s v="1.012900581"/>
        <s v="0.002585454545"/>
        <s v="2.675328663"/>
        <s v="2.007293339"/>
        <s v="0.4177092401"/>
        <s v="0.9183694177"/>
        <s v="0.8727514049"/>
        <s v="0.118"/>
        <s v="0.138"/>
        <s v="1.193631242"/>
        <s v="1.051936238"/>
        <s v="0.3041124414"/>
        <s v="0.4652264446"/>
        <s v="2.644493171"/>
        <s v="2.674665152"/>
        <s v="0.6409843843"/>
        <s v="0.3483893924"/>
        <s v="1.016269193"/>
        <s v="0.6837350463"/>
        <s v="0.1142427564"/>
        <s v="0.01805461538"/>
      </sharedItems>
    </cacheField>
    <cacheField name="ARC_diff">
      <sharedItems containsMixedTypes="1" containsNumber="1">
        <n v="-3.2921799999874324E-4"/>
        <s v=""/>
        <n v="0.6490682580000027"/>
        <n v="0.23408197800000038"/>
        <n v="0.0"/>
        <n v="-0.08586525800000047"/>
        <n v="-18.65038353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19.81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-19.848823162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-0.007016146000000845"/>
        <n v="0.19799471599999946"/>
        <n v="1.0056200000008175E-4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0.050056129999998686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-0.03561883399999886"/>
        <n v="0.4827418519999981"/>
        <n v="0.9562897539999994"/>
        <n v="0.7564193279999983"/>
        <n v="-0.4588250139999985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D9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g_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bas_n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=0_n" compact="0" outline="0" multipleItemSelectionAllowed="1" showAll="0">
      <items>
        <item x="0"/>
        <item x="1"/>
        <item t="default"/>
      </items>
    </pivotField>
    <pivotField name="ARC &lt; 0_n" compact="0" outline="0" multipleItemSelectionAllowed="1" showAll="0">
      <items>
        <item x="0"/>
        <item t="default"/>
      </items>
    </pivotField>
    <pivotField name="ARC &gt; 0_n" compact="0" outline="0" multipleItemSelectionAllowed="1" showAll="0">
      <items>
        <item x="0"/>
        <item x="1"/>
        <item t="default"/>
      </items>
    </pivotField>
    <pivotField name="ARC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bas_r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=0_r" compact="0" outline="0" multipleItemSelectionAllowed="1" showAll="0">
      <items>
        <item x="0"/>
        <item x="1"/>
        <item t="default"/>
      </items>
    </pivotField>
    <pivotField name="ARC&lt;0_r" compact="0" outline="0" multipleItemSelectionAllowed="1" showAll="0">
      <items>
        <item x="0"/>
        <item t="default"/>
      </items>
    </pivotField>
    <pivotField name="ARC&gt;0_r" compact="0" outline="0" multipleItemSelectionAllowed="1" showAll="0">
      <items>
        <item x="0"/>
        <item x="1"/>
        <item t="default"/>
      </items>
    </pivotField>
    <pivotField name="ARC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bas_u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ARC=0_u" compact="0" outline="0" multipleItemSelectionAllowed="1" showAll="0">
      <items>
        <item x="0"/>
        <item x="1"/>
        <item t="default"/>
      </items>
    </pivotField>
    <pivotField name="ARC&lt;0_u" compact="0" outline="0" multipleItemSelectionAllowed="1" showAll="0">
      <items>
        <item x="0"/>
        <item t="default"/>
      </items>
    </pivotField>
    <pivotField name="ARC&gt;0_u" compact="0" outline="0" multipleItemSelectionAllowed="1" showAll="0">
      <items>
        <item x="0"/>
        <item x="1"/>
        <item t="default"/>
      </items>
    </pivotField>
    <pivotField name="ARC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AVERAGE of ARC_n" fld="13" subtotal="average" baseField="0"/>
    <dataField name="AVERAGE of ARC_r" fld="23" subtotal="average" baseField="0"/>
    <dataField name="AVERAGE of ARC_u" fld="33" subtotal="average" baseField="0"/>
  </dataFields>
</pivotTableDefinition>
</file>

<file path=xl/pivotTables/pivotTable2.xml><?xml version="1.0" encoding="utf-8"?>
<pivotTableDefinition xmlns="http://schemas.openxmlformats.org/spreadsheetml/2006/main" name="Countries per Region" cacheId="1" dataCaption="" compact="0" compactData="0">
  <location ref="A1:B9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" axis="axisRow" dataField="1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g_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bas_n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=0_n" compact="0" outline="0" multipleItemSelectionAllowed="1" showAll="0">
      <items>
        <item x="0"/>
        <item x="1"/>
        <item t="default"/>
      </items>
    </pivotField>
    <pivotField name="ARC &lt; 0_n" compact="0" outline="0" multipleItemSelectionAllowed="1" showAll="0">
      <items>
        <item x="0"/>
        <item t="default"/>
      </items>
    </pivotField>
    <pivotField name="ARC &gt; 0_n" compact="0" outline="0" multipleItemSelectionAllowed="1" showAll="0">
      <items>
        <item x="0"/>
        <item x="1"/>
        <item t="default"/>
      </items>
    </pivotField>
    <pivotField name="ARC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bas_r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=0_r" compact="0" outline="0" multipleItemSelectionAllowed="1" showAll="0">
      <items>
        <item x="0"/>
        <item x="1"/>
        <item t="default"/>
      </items>
    </pivotField>
    <pivotField name="ARC&lt;0_r" compact="0" outline="0" multipleItemSelectionAllowed="1" showAll="0">
      <items>
        <item x="0"/>
        <item t="default"/>
      </items>
    </pivotField>
    <pivotField name="ARC&gt;0_r" compact="0" outline="0" multipleItemSelectionAllowed="1" showAll="0">
      <items>
        <item x="0"/>
        <item x="1"/>
        <item t="default"/>
      </items>
    </pivotField>
    <pivotField name="ARC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bas_u_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ARC=0_u" compact="0" outline="0" multipleItemSelectionAllowed="1" showAll="0">
      <items>
        <item x="0"/>
        <item x="1"/>
        <item t="default"/>
      </items>
    </pivotField>
    <pivotField name="ARC&lt;0_u" compact="0" outline="0" multipleItemSelectionAllowed="1" showAll="0">
      <items>
        <item x="0"/>
        <item t="default"/>
      </items>
    </pivotField>
    <pivotField name="ARC&gt;0_u" compact="0" outline="0" multipleItemSelectionAllowed="1" showAll="0">
      <items>
        <item x="0"/>
        <item x="1"/>
        <item t="default"/>
      </items>
    </pivotField>
    <pivotField name="ARC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</pivotFields>
  <rowFields>
    <field x="2"/>
  </rowFields>
  <dataFields>
    <dataField name="COUNTA of region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7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8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0" t="s">
        <v>37</v>
      </c>
      <c r="AM1" s="11" t="s">
        <v>38</v>
      </c>
    </row>
    <row r="2">
      <c r="A2" s="11" t="s">
        <v>39</v>
      </c>
      <c r="B2" s="11">
        <v>2015.0</v>
      </c>
      <c r="C2" s="12" t="str">
        <f>VLOOKUP(A2, Regions!A:B, 2, FALSE)
</f>
        <v>South Asia</v>
      </c>
      <c r="D2" s="13">
        <f t="shared" ref="D2:D463" si="1">IF(A3=A2, B3-B2, "")
</f>
        <v>5</v>
      </c>
      <c r="E2" s="14">
        <f t="shared" ref="E2:E463" si="2">IF(AND(A2=A3,), AVERAGEIF(A2:A3, A3, B2:B3), "")
</f>
        <v>2017.5</v>
      </c>
      <c r="F2" s="11" t="s">
        <v>40</v>
      </c>
      <c r="G2" s="11">
        <v>24.8029995</v>
      </c>
      <c r="H2" s="11">
        <v>61.33978081</v>
      </c>
      <c r="I2" s="15">
        <f t="shared" ref="I2:I463" si="3">MIN(ROUND(H2, 0), 100)
</f>
        <v>61</v>
      </c>
      <c r="J2" s="16" t="str">
        <f t="shared" ref="J2:J463" si="4">IF(AND(A2=A3, I2&gt;99, I3&gt;99), "full access", "")
</f>
        <v/>
      </c>
      <c r="K2" s="16" t="str">
        <f t="shared" ref="K2:K463" si="5">IF(AND(I2=0, J2&lt;&gt;"full access"), "ARC=0", "")
</f>
        <v/>
      </c>
      <c r="L2" s="16" t="str">
        <f t="shared" ref="L2:L463" si="6">IF(AND(I2&lt;0, J2&lt;&gt;"full access"), "ARC&lt;0", "")
</f>
        <v/>
      </c>
      <c r="M2" s="16" t="str">
        <f t="shared" ref="M2:M463" si="7">IF(AND(I2&gt;0, J2&lt;&gt;"full access"), "ARC&gt;0", "")
</f>
        <v>ARC&gt;0</v>
      </c>
      <c r="N2" s="13">
        <f t="shared" ref="N2:N463" si="8">IF(A3=A2, (H3 - H2)/(B3 - B2), "")
</f>
        <v>2.750326488</v>
      </c>
      <c r="O2" s="11">
        <v>3.511199514</v>
      </c>
      <c r="P2" s="11">
        <v>22.16878383</v>
      </c>
      <c r="Q2" s="11">
        <v>12.98023585</v>
      </c>
      <c r="R2" s="11">
        <v>52.98850202</v>
      </c>
      <c r="S2" s="15">
        <f t="shared" ref="S2:S463" si="9">MIN(ROUND(R2, 0), 100)
</f>
        <v>53</v>
      </c>
      <c r="T2" s="17" t="str">
        <f t="shared" ref="T2:T463" si="10">IF(AND(A2=A3, S2&gt;99, S3&gt;99), "full access", "")
</f>
        <v/>
      </c>
      <c r="U2" s="17" t="str">
        <f t="shared" ref="U2:U463" si="11">IF(AND(S2=0, Q2&lt;&gt;"full access"), "ARC=0", "")</f>
        <v/>
      </c>
      <c r="V2" s="17" t="str">
        <f t="shared" ref="V2:V463" si="12">IF(AND(S2&lt;0, Q2&lt;&gt;"full access"), "ARC&lt;0", "")
</f>
        <v/>
      </c>
      <c r="W2" s="17" t="str">
        <f t="shared" ref="W2:W463" si="13">IF(AND(S2&gt;0, Q2&lt;&gt;"full access"), "ARC&gt;0", "")</f>
        <v>ARC&gt;0</v>
      </c>
      <c r="X2" s="13">
        <f t="shared" ref="X2:X463" si="14">IF(A3=A2, (R3 - R2)/(B3 - B2), "")
</f>
        <v>2.667882638</v>
      </c>
      <c r="Y2" s="11">
        <v>3.861136617</v>
      </c>
      <c r="Z2" s="11">
        <v>26.55326757</v>
      </c>
      <c r="AA2" s="11">
        <v>16.59709379</v>
      </c>
      <c r="AB2" s="11">
        <v>86.65894072</v>
      </c>
      <c r="AC2" s="15">
        <f t="shared" ref="AC2:AC463" si="15">MIN(ROUND(AB2, 0), 100)
</f>
        <v>87</v>
      </c>
      <c r="AD2" s="16" t="str">
        <f t="shared" ref="AD2:AD463" si="16">IF(AND(A2=A3, AC2&gt;99, AC3&gt;99), "full access", "")
</f>
        <v/>
      </c>
      <c r="AE2" s="16" t="str">
        <f t="shared" ref="AE2:AE463" si="17">IF(AND(AC2=0, X2&lt;&gt;"full access"), "ARC=0", "")
</f>
        <v/>
      </c>
      <c r="AF2" s="16" t="str">
        <f t="shared" ref="AF2:AF463" si="18">IF(AND(AC2&lt;0, X2&lt;&gt;"full access"), "ARC&lt;0", "")</f>
        <v/>
      </c>
      <c r="AG2" s="16" t="str">
        <f t="shared" ref="AG2:AG463" si="19">IF(AND(AC2&gt;0, X2&lt;&gt;"full access"), "ARC&gt;0", "")
</f>
        <v>ARC&gt;0</v>
      </c>
      <c r="AH2" s="13">
        <f t="shared" ref="AH2:AH463" si="20">IF(A3=A2, (AB3 - AB2)/(B3 - B2), "")
</f>
        <v>2.668211856</v>
      </c>
      <c r="AI2" s="11">
        <v>2.450270561</v>
      </c>
      <c r="AJ2" s="11">
        <v>8.876035732</v>
      </c>
      <c r="AK2" s="11" t="s">
        <v>41</v>
      </c>
      <c r="AL2" s="18">
        <f t="shared" ref="AL2:AL463" si="21">IF(AND(MOD(ROW(), 2) = 0, ISNUMBER(X2), ISNUMBER(AH2)), X2 - AH2, "")</f>
        <v>-0.000329218</v>
      </c>
    </row>
    <row r="3">
      <c r="A3" s="11" t="s">
        <v>39</v>
      </c>
      <c r="B3" s="11">
        <v>2020.0</v>
      </c>
      <c r="C3" s="12" t="str">
        <f>VLOOKUP(A3, Regions!A:B, 2, FALSE)
</f>
        <v>South Asia</v>
      </c>
      <c r="D3" s="13" t="str">
        <f t="shared" si="1"/>
        <v/>
      </c>
      <c r="E3" s="14" t="str">
        <f t="shared" si="2"/>
        <v/>
      </c>
      <c r="F3" s="11" t="s">
        <v>42</v>
      </c>
      <c r="G3" s="11">
        <v>26.02599907</v>
      </c>
      <c r="H3" s="11">
        <v>75.09141325</v>
      </c>
      <c r="I3" s="15">
        <f t="shared" si="3"/>
        <v>75</v>
      </c>
      <c r="J3" s="16" t="str">
        <f t="shared" si="4"/>
        <v/>
      </c>
      <c r="K3" s="16" t="str">
        <f t="shared" si="5"/>
        <v/>
      </c>
      <c r="L3" s="16" t="str">
        <f t="shared" si="6"/>
        <v/>
      </c>
      <c r="M3" s="16" t="str">
        <f t="shared" si="7"/>
        <v>ARC&gt;0</v>
      </c>
      <c r="N3" s="13" t="str">
        <f t="shared" si="8"/>
        <v/>
      </c>
      <c r="O3" s="11">
        <v>1.447541688</v>
      </c>
      <c r="P3" s="11">
        <v>14.56026288</v>
      </c>
      <c r="Q3" s="11">
        <v>8.900782174</v>
      </c>
      <c r="R3" s="11">
        <v>66.32791521</v>
      </c>
      <c r="S3" s="15">
        <f t="shared" si="9"/>
        <v>66</v>
      </c>
      <c r="T3" s="17" t="str">
        <f t="shared" si="10"/>
        <v/>
      </c>
      <c r="U3" s="17" t="str">
        <f t="shared" si="11"/>
        <v/>
      </c>
      <c r="V3" s="17" t="str">
        <f t="shared" si="12"/>
        <v/>
      </c>
      <c r="W3" s="17" t="str">
        <f t="shared" si="13"/>
        <v>ARC&gt;0</v>
      </c>
      <c r="X3" s="13" t="str">
        <f t="shared" si="14"/>
        <v/>
      </c>
      <c r="Y3" s="11">
        <v>1.956824851</v>
      </c>
      <c r="Z3" s="11">
        <v>19.68294895</v>
      </c>
      <c r="AA3" s="11">
        <v>12.03231098</v>
      </c>
      <c r="AB3" s="11">
        <v>100.0</v>
      </c>
      <c r="AC3" s="15">
        <f t="shared" si="15"/>
        <v>100</v>
      </c>
      <c r="AD3" s="16" t="str">
        <f t="shared" si="16"/>
        <v/>
      </c>
      <c r="AE3" s="16" t="str">
        <f t="shared" si="17"/>
        <v/>
      </c>
      <c r="AF3" s="16" t="str">
        <f t="shared" si="18"/>
        <v/>
      </c>
      <c r="AG3" s="16" t="str">
        <f t="shared" si="19"/>
        <v>ARC&gt;0</v>
      </c>
      <c r="AH3" s="13" t="str">
        <f t="shared" si="20"/>
        <v/>
      </c>
      <c r="AI3" s="11">
        <v>0.0</v>
      </c>
      <c r="AJ3" s="11">
        <v>0.0</v>
      </c>
      <c r="AK3" s="11" t="s">
        <v>43</v>
      </c>
      <c r="AL3" s="18" t="str">
        <f t="shared" si="21"/>
        <v/>
      </c>
    </row>
    <row r="4">
      <c r="A4" s="11" t="s">
        <v>44</v>
      </c>
      <c r="B4" s="11">
        <v>2015.0</v>
      </c>
      <c r="C4" s="12" t="str">
        <f>VLOOKUP(A4, Regions!A:B, 2, FALSE)
</f>
        <v>Europe &amp; Central Asia</v>
      </c>
      <c r="D4" s="13">
        <f t="shared" si="1"/>
        <v>5</v>
      </c>
      <c r="E4" s="14">
        <f t="shared" si="2"/>
        <v>2017.5</v>
      </c>
      <c r="F4" s="11" t="s">
        <v>45</v>
      </c>
      <c r="G4" s="11">
        <v>57.43399811</v>
      </c>
      <c r="H4" s="11">
        <v>93.39432534</v>
      </c>
      <c r="I4" s="15">
        <f t="shared" si="3"/>
        <v>93</v>
      </c>
      <c r="J4" s="16" t="str">
        <f t="shared" si="4"/>
        <v/>
      </c>
      <c r="K4" s="16" t="str">
        <f t="shared" si="5"/>
        <v/>
      </c>
      <c r="L4" s="16" t="str">
        <f t="shared" si="6"/>
        <v/>
      </c>
      <c r="M4" s="16" t="str">
        <f t="shared" si="7"/>
        <v>ARC&gt;0</v>
      </c>
      <c r="N4" s="13">
        <f t="shared" si="8"/>
        <v>0.334742698</v>
      </c>
      <c r="O4" s="11">
        <v>3.626383658</v>
      </c>
      <c r="P4" s="11">
        <v>2.979291004</v>
      </c>
      <c r="Q4" s="11">
        <v>0.0</v>
      </c>
      <c r="R4" s="11">
        <v>90.62727461</v>
      </c>
      <c r="S4" s="15">
        <f t="shared" si="9"/>
        <v>91</v>
      </c>
      <c r="T4" s="17" t="str">
        <f t="shared" si="10"/>
        <v/>
      </c>
      <c r="U4" s="17" t="str">
        <f t="shared" si="11"/>
        <v/>
      </c>
      <c r="V4" s="17" t="str">
        <f t="shared" si="12"/>
        <v/>
      </c>
      <c r="W4" s="17" t="str">
        <f t="shared" si="13"/>
        <v>ARC&gt;0</v>
      </c>
      <c r="X4" s="13">
        <f t="shared" si="14"/>
        <v>0.69281669</v>
      </c>
      <c r="Y4" s="11">
        <v>5.263172648</v>
      </c>
      <c r="Z4" s="11">
        <v>4.109552744</v>
      </c>
      <c r="AA4" s="11">
        <v>0.0</v>
      </c>
      <c r="AB4" s="11">
        <v>95.44506696</v>
      </c>
      <c r="AC4" s="15">
        <f t="shared" si="15"/>
        <v>95</v>
      </c>
      <c r="AD4" s="16" t="str">
        <f t="shared" si="16"/>
        <v/>
      </c>
      <c r="AE4" s="16" t="str">
        <f t="shared" si="17"/>
        <v/>
      </c>
      <c r="AF4" s="16" t="str">
        <f t="shared" si="18"/>
        <v/>
      </c>
      <c r="AG4" s="16" t="str">
        <f t="shared" si="19"/>
        <v>ARC&gt;0</v>
      </c>
      <c r="AH4" s="13">
        <f t="shared" si="20"/>
        <v>0.043748432</v>
      </c>
      <c r="AI4" s="11">
        <v>2.41331182</v>
      </c>
      <c r="AJ4" s="11">
        <v>2.141621216</v>
      </c>
      <c r="AK4" s="11" t="s">
        <v>43</v>
      </c>
      <c r="AL4" s="18">
        <f t="shared" si="21"/>
        <v>0.649068258</v>
      </c>
    </row>
    <row r="5">
      <c r="A5" s="11" t="s">
        <v>44</v>
      </c>
      <c r="B5" s="11">
        <v>2020.0</v>
      </c>
      <c r="C5" s="12" t="str">
        <f>VLOOKUP(A5, Regions!A:B, 2, FALSE)
</f>
        <v>Europe &amp; Central Asia</v>
      </c>
      <c r="D5" s="13" t="str">
        <f t="shared" si="1"/>
        <v/>
      </c>
      <c r="E5" s="14" t="str">
        <f t="shared" si="2"/>
        <v/>
      </c>
      <c r="F5" s="11" t="s">
        <v>46</v>
      </c>
      <c r="G5" s="11">
        <v>62.11199951</v>
      </c>
      <c r="H5" s="11">
        <v>95.06803883</v>
      </c>
      <c r="I5" s="15">
        <f t="shared" si="3"/>
        <v>95</v>
      </c>
      <c r="J5" s="16" t="str">
        <f t="shared" si="4"/>
        <v/>
      </c>
      <c r="K5" s="16" t="str">
        <f t="shared" si="5"/>
        <v/>
      </c>
      <c r="L5" s="16" t="str">
        <f t="shared" si="6"/>
        <v/>
      </c>
      <c r="M5" s="16" t="str">
        <f t="shared" si="7"/>
        <v>ARC&gt;0</v>
      </c>
      <c r="N5" s="13" t="str">
        <f t="shared" si="8"/>
        <v/>
      </c>
      <c r="O5" s="11">
        <v>1.884656092</v>
      </c>
      <c r="P5" s="11">
        <v>3.047305081</v>
      </c>
      <c r="Q5" s="11">
        <v>0.0</v>
      </c>
      <c r="R5" s="11">
        <v>94.09135806</v>
      </c>
      <c r="S5" s="15">
        <f t="shared" si="9"/>
        <v>94</v>
      </c>
      <c r="T5" s="17" t="str">
        <f t="shared" si="10"/>
        <v/>
      </c>
      <c r="U5" s="17" t="str">
        <f t="shared" si="11"/>
        <v/>
      </c>
      <c r="V5" s="17" t="str">
        <f t="shared" si="12"/>
        <v/>
      </c>
      <c r="W5" s="17" t="str">
        <f t="shared" si="13"/>
        <v>ARC&gt;0</v>
      </c>
      <c r="X5" s="13" t="str">
        <f t="shared" si="14"/>
        <v/>
      </c>
      <c r="Y5" s="11">
        <v>2.305264955</v>
      </c>
      <c r="Z5" s="11">
        <v>3.603376986</v>
      </c>
      <c r="AA5" s="11">
        <v>0.0</v>
      </c>
      <c r="AB5" s="11">
        <v>95.66380912</v>
      </c>
      <c r="AC5" s="15">
        <f t="shared" si="15"/>
        <v>96</v>
      </c>
      <c r="AD5" s="16" t="str">
        <f t="shared" si="16"/>
        <v/>
      </c>
      <c r="AE5" s="16" t="str">
        <f t="shared" si="17"/>
        <v/>
      </c>
      <c r="AF5" s="16" t="str">
        <f t="shared" si="18"/>
        <v/>
      </c>
      <c r="AG5" s="16" t="str">
        <f t="shared" si="19"/>
        <v>ARC&gt;0</v>
      </c>
      <c r="AH5" s="13" t="str">
        <f t="shared" si="20"/>
        <v/>
      </c>
      <c r="AI5" s="11">
        <v>1.62808683</v>
      </c>
      <c r="AJ5" s="11">
        <v>2.708104054</v>
      </c>
      <c r="AK5" s="11" t="s">
        <v>43</v>
      </c>
      <c r="AL5" s="18" t="str">
        <f t="shared" si="21"/>
        <v/>
      </c>
    </row>
    <row r="6">
      <c r="A6" s="11" t="s">
        <v>47</v>
      </c>
      <c r="B6" s="11">
        <v>2015.0</v>
      </c>
      <c r="C6" s="12" t="str">
        <f>VLOOKUP(A6, Regions!A:B, 2, FALSE)
</f>
        <v>Middle East &amp; North Africa</v>
      </c>
      <c r="D6" s="13">
        <f t="shared" si="1"/>
        <v>5</v>
      </c>
      <c r="E6" s="14">
        <f t="shared" si="2"/>
        <v>2017.5</v>
      </c>
      <c r="F6" s="11" t="s">
        <v>48</v>
      </c>
      <c r="G6" s="11">
        <v>70.84799957</v>
      </c>
      <c r="H6" s="11">
        <v>93.40956153</v>
      </c>
      <c r="I6" s="15">
        <f t="shared" si="3"/>
        <v>93</v>
      </c>
      <c r="J6" s="16" t="str">
        <f t="shared" si="4"/>
        <v/>
      </c>
      <c r="K6" s="16" t="str">
        <f t="shared" si="5"/>
        <v/>
      </c>
      <c r="L6" s="16" t="str">
        <f t="shared" si="6"/>
        <v/>
      </c>
      <c r="M6" s="16" t="str">
        <f t="shared" si="7"/>
        <v>ARC&gt;0</v>
      </c>
      <c r="N6" s="13">
        <f t="shared" si="8"/>
        <v>0.205553686</v>
      </c>
      <c r="O6" s="11">
        <v>5.157780893</v>
      </c>
      <c r="P6" s="11">
        <v>1.275464684</v>
      </c>
      <c r="Q6" s="11">
        <v>0.1571928913</v>
      </c>
      <c r="R6" s="11">
        <v>88.35270686</v>
      </c>
      <c r="S6" s="15">
        <f t="shared" si="9"/>
        <v>88</v>
      </c>
      <c r="T6" s="17" t="str">
        <f t="shared" si="10"/>
        <v/>
      </c>
      <c r="U6" s="17" t="str">
        <f t="shared" si="11"/>
        <v/>
      </c>
      <c r="V6" s="17" t="str">
        <f t="shared" si="12"/>
        <v/>
      </c>
      <c r="W6" s="17" t="str">
        <f t="shared" si="13"/>
        <v>ARC&gt;0</v>
      </c>
      <c r="X6" s="13">
        <f t="shared" si="14"/>
        <v>0.33696621</v>
      </c>
      <c r="Y6" s="11">
        <v>8.685753121</v>
      </c>
      <c r="Z6" s="11">
        <v>2.580431801</v>
      </c>
      <c r="AA6" s="11">
        <v>0.3811082155</v>
      </c>
      <c r="AB6" s="11">
        <v>95.4903147</v>
      </c>
      <c r="AC6" s="15">
        <f t="shared" si="15"/>
        <v>95</v>
      </c>
      <c r="AD6" s="16" t="str">
        <f t="shared" si="16"/>
        <v/>
      </c>
      <c r="AE6" s="16" t="str">
        <f t="shared" si="17"/>
        <v/>
      </c>
      <c r="AF6" s="16" t="str">
        <f t="shared" si="18"/>
        <v/>
      </c>
      <c r="AG6" s="16" t="str">
        <f t="shared" si="19"/>
        <v>ARC&gt;0</v>
      </c>
      <c r="AH6" s="13">
        <f t="shared" si="20"/>
        <v>0.102884232</v>
      </c>
      <c r="AI6" s="11">
        <v>3.706117317</v>
      </c>
      <c r="AJ6" s="11">
        <v>0.7385100851</v>
      </c>
      <c r="AK6" s="11" t="s">
        <v>49</v>
      </c>
      <c r="AL6" s="18">
        <f t="shared" si="21"/>
        <v>0.234081978</v>
      </c>
    </row>
    <row r="7">
      <c r="A7" s="11" t="s">
        <v>47</v>
      </c>
      <c r="B7" s="11">
        <v>2020.0</v>
      </c>
      <c r="C7" s="12" t="str">
        <f>VLOOKUP(A7, Regions!A:B, 2, FALSE)
</f>
        <v>Middle East &amp; North Africa</v>
      </c>
      <c r="D7" s="13" t="str">
        <f t="shared" si="1"/>
        <v/>
      </c>
      <c r="E7" s="14" t="str">
        <f t="shared" si="2"/>
        <v/>
      </c>
      <c r="F7" s="11" t="s">
        <v>50</v>
      </c>
      <c r="G7" s="11">
        <v>73.73300171</v>
      </c>
      <c r="H7" s="11">
        <v>94.43732996</v>
      </c>
      <c r="I7" s="15">
        <f t="shared" si="3"/>
        <v>94</v>
      </c>
      <c r="J7" s="16" t="str">
        <f t="shared" si="4"/>
        <v/>
      </c>
      <c r="K7" s="16" t="str">
        <f t="shared" si="5"/>
        <v/>
      </c>
      <c r="L7" s="16" t="str">
        <f t="shared" si="6"/>
        <v/>
      </c>
      <c r="M7" s="16" t="str">
        <f t="shared" si="7"/>
        <v>ARC&gt;0</v>
      </c>
      <c r="N7" s="13" t="str">
        <f t="shared" si="8"/>
        <v/>
      </c>
      <c r="O7" s="11">
        <v>4.985880842</v>
      </c>
      <c r="P7" s="11">
        <v>0.5318366638</v>
      </c>
      <c r="Q7" s="11">
        <v>0.04495253272</v>
      </c>
      <c r="R7" s="11">
        <v>90.03753791</v>
      </c>
      <c r="S7" s="15">
        <f t="shared" si="9"/>
        <v>90</v>
      </c>
      <c r="T7" s="17" t="str">
        <f t="shared" si="10"/>
        <v/>
      </c>
      <c r="U7" s="17" t="str">
        <f t="shared" si="11"/>
        <v/>
      </c>
      <c r="V7" s="17" t="str">
        <f t="shared" si="12"/>
        <v/>
      </c>
      <c r="W7" s="17" t="str">
        <f t="shared" si="13"/>
        <v>ARC&gt;0</v>
      </c>
      <c r="X7" s="13" t="str">
        <f t="shared" si="14"/>
        <v/>
      </c>
      <c r="Y7" s="11">
        <v>8.79672214</v>
      </c>
      <c r="Z7" s="11">
        <v>0.9946030281</v>
      </c>
      <c r="AA7" s="11">
        <v>0.1711369258</v>
      </c>
      <c r="AB7" s="11">
        <v>96.00473586</v>
      </c>
      <c r="AC7" s="15">
        <f t="shared" si="15"/>
        <v>96</v>
      </c>
      <c r="AD7" s="16" t="str">
        <f t="shared" si="16"/>
        <v/>
      </c>
      <c r="AE7" s="16" t="str">
        <f t="shared" si="17"/>
        <v/>
      </c>
      <c r="AF7" s="16" t="str">
        <f t="shared" si="18"/>
        <v/>
      </c>
      <c r="AG7" s="16" t="str">
        <f t="shared" si="19"/>
        <v>ARC&gt;0</v>
      </c>
      <c r="AH7" s="13" t="str">
        <f t="shared" si="20"/>
        <v/>
      </c>
      <c r="AI7" s="11">
        <v>3.628288591</v>
      </c>
      <c r="AJ7" s="11">
        <v>0.3669755478</v>
      </c>
      <c r="AK7" s="11" t="s">
        <v>43</v>
      </c>
      <c r="AL7" s="18" t="str">
        <f t="shared" si="21"/>
        <v/>
      </c>
    </row>
    <row r="8">
      <c r="A8" s="11" t="s">
        <v>51</v>
      </c>
      <c r="B8" s="11">
        <v>2015.0</v>
      </c>
      <c r="C8" s="12" t="str">
        <f>VLOOKUP(A8, Regions!A:B, 2, FALSE)
</f>
        <v>East Asia &amp; Pacific</v>
      </c>
      <c r="D8" s="13">
        <f t="shared" si="1"/>
        <v>5</v>
      </c>
      <c r="E8" s="14">
        <f t="shared" si="2"/>
        <v>2017.5</v>
      </c>
      <c r="F8" s="11" t="s">
        <v>52</v>
      </c>
      <c r="G8" s="11">
        <v>87.23800659</v>
      </c>
      <c r="H8" s="11">
        <v>99.61910315</v>
      </c>
      <c r="I8" s="15">
        <f t="shared" si="3"/>
        <v>100</v>
      </c>
      <c r="J8" s="16" t="str">
        <f t="shared" si="4"/>
        <v>full access</v>
      </c>
      <c r="K8" s="16" t="str">
        <f t="shared" si="5"/>
        <v/>
      </c>
      <c r="L8" s="16" t="str">
        <f t="shared" si="6"/>
        <v/>
      </c>
      <c r="M8" s="16" t="str">
        <f t="shared" si="7"/>
        <v/>
      </c>
      <c r="N8" s="13">
        <f t="shared" si="8"/>
        <v>0.030933702</v>
      </c>
      <c r="O8" s="11">
        <v>0.0</v>
      </c>
      <c r="P8" s="11">
        <v>0.3808968461</v>
      </c>
      <c r="Q8" s="11">
        <v>0.0</v>
      </c>
      <c r="S8" s="15">
        <f t="shared" si="9"/>
        <v>0</v>
      </c>
      <c r="T8" s="17" t="str">
        <f t="shared" si="10"/>
        <v/>
      </c>
      <c r="U8" s="17" t="str">
        <f t="shared" si="11"/>
        <v>ARC=0</v>
      </c>
      <c r="V8" s="17" t="str">
        <f t="shared" si="12"/>
        <v/>
      </c>
      <c r="W8" s="17" t="str">
        <f t="shared" si="13"/>
        <v/>
      </c>
      <c r="X8" s="13">
        <f t="shared" si="14"/>
        <v>0</v>
      </c>
      <c r="AC8" s="15">
        <f t="shared" si="15"/>
        <v>0</v>
      </c>
      <c r="AD8" s="16" t="str">
        <f t="shared" si="16"/>
        <v/>
      </c>
      <c r="AE8" s="16" t="str">
        <f t="shared" si="17"/>
        <v>ARC=0</v>
      </c>
      <c r="AF8" s="16" t="str">
        <f t="shared" si="18"/>
        <v/>
      </c>
      <c r="AG8" s="16" t="str">
        <f t="shared" si="19"/>
        <v/>
      </c>
      <c r="AH8" s="13">
        <f t="shared" si="20"/>
        <v>0</v>
      </c>
      <c r="AL8" s="18">
        <f t="shared" si="21"/>
        <v>0</v>
      </c>
    </row>
    <row r="9">
      <c r="A9" s="11" t="s">
        <v>51</v>
      </c>
      <c r="B9" s="11">
        <v>2020.0</v>
      </c>
      <c r="C9" s="12" t="str">
        <f>VLOOKUP(A9, Regions!A:B, 2, FALSE)
</f>
        <v>East Asia &amp; Pacific</v>
      </c>
      <c r="D9" s="13" t="str">
        <f t="shared" si="1"/>
        <v/>
      </c>
      <c r="E9" s="14" t="str">
        <f t="shared" si="2"/>
        <v/>
      </c>
      <c r="F9" s="11" t="s">
        <v>53</v>
      </c>
      <c r="G9" s="11">
        <v>87.15299988</v>
      </c>
      <c r="H9" s="11">
        <v>99.77377166</v>
      </c>
      <c r="I9" s="15">
        <f t="shared" si="3"/>
        <v>100</v>
      </c>
      <c r="J9" s="16" t="str">
        <f t="shared" si="4"/>
        <v/>
      </c>
      <c r="K9" s="16" t="str">
        <f t="shared" si="5"/>
        <v/>
      </c>
      <c r="L9" s="16" t="str">
        <f t="shared" si="6"/>
        <v/>
      </c>
      <c r="M9" s="16" t="str">
        <f t="shared" si="7"/>
        <v>ARC&gt;0</v>
      </c>
      <c r="N9" s="13" t="str">
        <f t="shared" si="8"/>
        <v/>
      </c>
      <c r="O9" s="11">
        <v>0.0</v>
      </c>
      <c r="P9" s="11">
        <v>0.2262283415</v>
      </c>
      <c r="Q9" s="11">
        <v>0.0</v>
      </c>
      <c r="S9" s="15">
        <f t="shared" si="9"/>
        <v>0</v>
      </c>
      <c r="T9" s="17" t="str">
        <f t="shared" si="10"/>
        <v/>
      </c>
      <c r="U9" s="17" t="str">
        <f t="shared" si="11"/>
        <v>ARC=0</v>
      </c>
      <c r="V9" s="17" t="str">
        <f t="shared" si="12"/>
        <v/>
      </c>
      <c r="W9" s="17" t="str">
        <f t="shared" si="13"/>
        <v/>
      </c>
      <c r="X9" s="13" t="str">
        <f t="shared" si="14"/>
        <v/>
      </c>
      <c r="AC9" s="15">
        <f t="shared" si="15"/>
        <v>0</v>
      </c>
      <c r="AD9" s="16" t="str">
        <f t="shared" si="16"/>
        <v/>
      </c>
      <c r="AE9" s="16" t="str">
        <f t="shared" si="17"/>
        <v>ARC=0</v>
      </c>
      <c r="AF9" s="16" t="str">
        <f t="shared" si="18"/>
        <v/>
      </c>
      <c r="AG9" s="16" t="str">
        <f t="shared" si="19"/>
        <v/>
      </c>
      <c r="AH9" s="13" t="str">
        <f t="shared" si="20"/>
        <v/>
      </c>
      <c r="AL9" s="18" t="str">
        <f t="shared" si="21"/>
        <v/>
      </c>
    </row>
    <row r="10">
      <c r="A10" s="11" t="s">
        <v>54</v>
      </c>
      <c r="B10" s="11">
        <v>2015.0</v>
      </c>
      <c r="C10" s="12" t="str">
        <f>VLOOKUP(A10, Regions!A:B, 2, FALSE)
</f>
        <v>Europe &amp; Central Asia</v>
      </c>
      <c r="D10" s="13">
        <f t="shared" si="1"/>
        <v>5</v>
      </c>
      <c r="E10" s="14">
        <f t="shared" si="2"/>
        <v>2017.5</v>
      </c>
      <c r="F10" s="11" t="s">
        <v>55</v>
      </c>
      <c r="G10" s="11">
        <v>88.34499359</v>
      </c>
      <c r="H10" s="11">
        <v>99.99999755</v>
      </c>
      <c r="I10" s="15">
        <f t="shared" si="3"/>
        <v>100</v>
      </c>
      <c r="J10" s="16" t="str">
        <f t="shared" si="4"/>
        <v>full access</v>
      </c>
      <c r="K10" s="16" t="str">
        <f t="shared" si="5"/>
        <v/>
      </c>
      <c r="L10" s="16" t="str">
        <f t="shared" si="6"/>
        <v/>
      </c>
      <c r="M10" s="16" t="str">
        <f t="shared" si="7"/>
        <v/>
      </c>
      <c r="N10" s="13">
        <f t="shared" si="8"/>
        <v>0.000001229999998</v>
      </c>
      <c r="O10" s="11">
        <v>0.0</v>
      </c>
      <c r="P10" s="11">
        <v>2.445538357E-6</v>
      </c>
      <c r="Q10" s="11">
        <v>0.0</v>
      </c>
      <c r="R10" s="11">
        <v>100.0</v>
      </c>
      <c r="S10" s="15">
        <f t="shared" si="9"/>
        <v>100</v>
      </c>
      <c r="T10" s="17" t="str">
        <f t="shared" si="10"/>
        <v>full access</v>
      </c>
      <c r="U10" s="17" t="str">
        <f t="shared" si="11"/>
        <v/>
      </c>
      <c r="V10" s="17" t="str">
        <f t="shared" si="12"/>
        <v/>
      </c>
      <c r="W10" s="17" t="str">
        <f t="shared" si="13"/>
        <v>ARC&gt;0</v>
      </c>
      <c r="X10" s="13">
        <f t="shared" si="14"/>
        <v>0</v>
      </c>
      <c r="Y10" s="11">
        <v>0.0</v>
      </c>
      <c r="Z10" s="11">
        <v>0.0</v>
      </c>
      <c r="AA10" s="11">
        <v>0.0</v>
      </c>
      <c r="AB10" s="11">
        <v>100.0</v>
      </c>
      <c r="AC10" s="15">
        <f t="shared" si="15"/>
        <v>100</v>
      </c>
      <c r="AD10" s="16" t="str">
        <f t="shared" si="16"/>
        <v>full access</v>
      </c>
      <c r="AE10" s="16" t="str">
        <f t="shared" si="17"/>
        <v/>
      </c>
      <c r="AF10" s="16" t="str">
        <f t="shared" si="18"/>
        <v/>
      </c>
      <c r="AG10" s="16" t="str">
        <f t="shared" si="19"/>
        <v>ARC&gt;0</v>
      </c>
      <c r="AH10" s="13">
        <f t="shared" si="20"/>
        <v>0</v>
      </c>
      <c r="AI10" s="11">
        <v>0.0</v>
      </c>
      <c r="AJ10" s="11">
        <v>0.0</v>
      </c>
      <c r="AK10" s="11" t="s">
        <v>43</v>
      </c>
      <c r="AL10" s="18">
        <f t="shared" si="21"/>
        <v>0</v>
      </c>
    </row>
    <row r="11">
      <c r="A11" s="11" t="s">
        <v>54</v>
      </c>
      <c r="B11" s="11">
        <v>2020.0</v>
      </c>
      <c r="C11" s="12" t="str">
        <f>VLOOKUP(A11, Regions!A:B, 2, FALSE)
</f>
        <v>Europe &amp; Central Asia</v>
      </c>
      <c r="D11" s="13" t="str">
        <f t="shared" si="1"/>
        <v/>
      </c>
      <c r="E11" s="14" t="str">
        <f t="shared" si="2"/>
        <v/>
      </c>
      <c r="F11" s="11" t="s">
        <v>56</v>
      </c>
      <c r="G11" s="11">
        <v>87.91600037</v>
      </c>
      <c r="H11" s="11">
        <v>100.0000037</v>
      </c>
      <c r="I11" s="15">
        <f t="shared" si="3"/>
        <v>100</v>
      </c>
      <c r="J11" s="16" t="str">
        <f t="shared" si="4"/>
        <v/>
      </c>
      <c r="K11" s="16" t="str">
        <f t="shared" si="5"/>
        <v/>
      </c>
      <c r="L11" s="16" t="str">
        <f t="shared" si="6"/>
        <v/>
      </c>
      <c r="M11" s="16" t="str">
        <f t="shared" si="7"/>
        <v>ARC&gt;0</v>
      </c>
      <c r="N11" s="13" t="str">
        <f t="shared" si="8"/>
        <v/>
      </c>
      <c r="O11" s="11">
        <v>0.0</v>
      </c>
      <c r="P11" s="11">
        <v>0.0</v>
      </c>
      <c r="Q11" s="11">
        <v>0.0</v>
      </c>
      <c r="R11" s="11">
        <v>100.0</v>
      </c>
      <c r="S11" s="15">
        <f t="shared" si="9"/>
        <v>100</v>
      </c>
      <c r="T11" s="17" t="str">
        <f t="shared" si="10"/>
        <v/>
      </c>
      <c r="U11" s="17" t="str">
        <f t="shared" si="11"/>
        <v/>
      </c>
      <c r="V11" s="17" t="str">
        <f t="shared" si="12"/>
        <v/>
      </c>
      <c r="W11" s="17" t="str">
        <f t="shared" si="13"/>
        <v>ARC&gt;0</v>
      </c>
      <c r="X11" s="13" t="str">
        <f t="shared" si="14"/>
        <v/>
      </c>
      <c r="Y11" s="11">
        <v>0.0</v>
      </c>
      <c r="Z11" s="11">
        <v>0.0</v>
      </c>
      <c r="AA11" s="11">
        <v>0.0</v>
      </c>
      <c r="AB11" s="11">
        <v>100.0</v>
      </c>
      <c r="AC11" s="15">
        <f t="shared" si="15"/>
        <v>100</v>
      </c>
      <c r="AD11" s="16" t="str">
        <f t="shared" si="16"/>
        <v/>
      </c>
      <c r="AE11" s="16" t="str">
        <f t="shared" si="17"/>
        <v/>
      </c>
      <c r="AF11" s="16" t="str">
        <f t="shared" si="18"/>
        <v/>
      </c>
      <c r="AG11" s="16" t="str">
        <f t="shared" si="19"/>
        <v>ARC&gt;0</v>
      </c>
      <c r="AH11" s="13" t="str">
        <f t="shared" si="20"/>
        <v/>
      </c>
      <c r="AI11" s="11">
        <v>0.0</v>
      </c>
      <c r="AJ11" s="11">
        <v>0.0</v>
      </c>
      <c r="AK11" s="11" t="s">
        <v>43</v>
      </c>
      <c r="AL11" s="18" t="str">
        <f t="shared" si="21"/>
        <v/>
      </c>
    </row>
    <row r="12">
      <c r="A12" s="11" t="s">
        <v>57</v>
      </c>
      <c r="B12" s="11">
        <v>2015.0</v>
      </c>
      <c r="C12" s="12" t="str">
        <f>VLOOKUP(A12, Regions!A:B, 2, FALSE)
</f>
        <v>Sub-Saharan Africa</v>
      </c>
      <c r="D12" s="13">
        <f t="shared" si="1"/>
        <v>5</v>
      </c>
      <c r="E12" s="14">
        <f t="shared" si="2"/>
        <v>2017.5</v>
      </c>
      <c r="F12" s="11" t="s">
        <v>58</v>
      </c>
      <c r="G12" s="11">
        <v>63.44599533</v>
      </c>
      <c r="H12" s="11">
        <v>54.31692835</v>
      </c>
      <c r="I12" s="15">
        <f t="shared" si="3"/>
        <v>54</v>
      </c>
      <c r="J12" s="16" t="str">
        <f t="shared" si="4"/>
        <v/>
      </c>
      <c r="K12" s="16" t="str">
        <f t="shared" si="5"/>
        <v/>
      </c>
      <c r="L12" s="16" t="str">
        <f t="shared" si="6"/>
        <v/>
      </c>
      <c r="M12" s="16" t="str">
        <f t="shared" si="7"/>
        <v>ARC&gt;0</v>
      </c>
      <c r="N12" s="13">
        <f t="shared" si="8"/>
        <v>0.570161854</v>
      </c>
      <c r="O12" s="11">
        <v>11.36861866</v>
      </c>
      <c r="P12" s="11">
        <v>17.37235635</v>
      </c>
      <c r="Q12" s="11">
        <v>16.94209664</v>
      </c>
      <c r="R12" s="11">
        <v>26.7143694</v>
      </c>
      <c r="S12" s="15">
        <f t="shared" si="9"/>
        <v>27</v>
      </c>
      <c r="T12" s="17" t="str">
        <f t="shared" si="10"/>
        <v/>
      </c>
      <c r="U12" s="17" t="str">
        <f t="shared" si="11"/>
        <v/>
      </c>
      <c r="V12" s="17" t="str">
        <f t="shared" si="12"/>
        <v/>
      </c>
      <c r="W12" s="17" t="str">
        <f t="shared" si="13"/>
        <v>ARC&gt;0</v>
      </c>
      <c r="X12" s="13">
        <f t="shared" si="14"/>
        <v>0.218771442</v>
      </c>
      <c r="Y12" s="11">
        <v>9.931069288</v>
      </c>
      <c r="Z12" s="11">
        <v>21.72530762</v>
      </c>
      <c r="AA12" s="11">
        <v>41.62925369</v>
      </c>
      <c r="AB12" s="11">
        <v>70.21996512</v>
      </c>
      <c r="AC12" s="15">
        <f t="shared" si="15"/>
        <v>70</v>
      </c>
      <c r="AD12" s="16" t="str">
        <f t="shared" si="16"/>
        <v/>
      </c>
      <c r="AE12" s="16" t="str">
        <f t="shared" si="17"/>
        <v/>
      </c>
      <c r="AF12" s="16" t="str">
        <f t="shared" si="18"/>
        <v/>
      </c>
      <c r="AG12" s="16" t="str">
        <f t="shared" si="19"/>
        <v>ARC&gt;0</v>
      </c>
      <c r="AH12" s="13">
        <f t="shared" si="20"/>
        <v>0.3046367</v>
      </c>
      <c r="AI12" s="11">
        <v>12.19685349</v>
      </c>
      <c r="AJ12" s="11">
        <v>14.86443147</v>
      </c>
      <c r="AK12" s="11" t="s">
        <v>59</v>
      </c>
      <c r="AL12" s="18">
        <f t="shared" si="21"/>
        <v>-0.085865258</v>
      </c>
    </row>
    <row r="13">
      <c r="A13" s="11" t="s">
        <v>57</v>
      </c>
      <c r="B13" s="11">
        <v>2020.0</v>
      </c>
      <c r="C13" s="12" t="str">
        <f>VLOOKUP(A13, Regions!A:B, 2, FALSE)
</f>
        <v>Sub-Saharan Africa</v>
      </c>
      <c r="D13" s="13" t="str">
        <f t="shared" si="1"/>
        <v/>
      </c>
      <c r="E13" s="14" t="str">
        <f t="shared" si="2"/>
        <v/>
      </c>
      <c r="F13" s="11" t="s">
        <v>60</v>
      </c>
      <c r="G13" s="11">
        <v>66.82499695</v>
      </c>
      <c r="H13" s="11">
        <v>57.16773762</v>
      </c>
      <c r="I13" s="15">
        <f t="shared" si="3"/>
        <v>57</v>
      </c>
      <c r="J13" s="16" t="str">
        <f t="shared" si="4"/>
        <v/>
      </c>
      <c r="K13" s="16" t="str">
        <f t="shared" si="5"/>
        <v/>
      </c>
      <c r="L13" s="16" t="str">
        <f t="shared" si="6"/>
        <v/>
      </c>
      <c r="M13" s="16" t="str">
        <f t="shared" si="7"/>
        <v>ARC&gt;0</v>
      </c>
      <c r="N13" s="13" t="str">
        <f t="shared" si="8"/>
        <v/>
      </c>
      <c r="O13" s="11">
        <v>9.287349919</v>
      </c>
      <c r="P13" s="11">
        <v>19.45082534</v>
      </c>
      <c r="Q13" s="11">
        <v>14.09408712</v>
      </c>
      <c r="R13" s="11">
        <v>27.80822661</v>
      </c>
      <c r="S13" s="15">
        <f t="shared" si="9"/>
        <v>28</v>
      </c>
      <c r="T13" s="17" t="str">
        <f t="shared" si="10"/>
        <v/>
      </c>
      <c r="U13" s="17" t="str">
        <f t="shared" si="11"/>
        <v/>
      </c>
      <c r="V13" s="17" t="str">
        <f t="shared" si="12"/>
        <v/>
      </c>
      <c r="W13" s="17" t="str">
        <f t="shared" si="13"/>
        <v>ARC&gt;0</v>
      </c>
      <c r="X13" s="13" t="str">
        <f t="shared" si="14"/>
        <v/>
      </c>
      <c r="Y13" s="11">
        <v>8.740488389</v>
      </c>
      <c r="Z13" s="11">
        <v>22.93315258</v>
      </c>
      <c r="AA13" s="11">
        <v>40.51813242</v>
      </c>
      <c r="AB13" s="11">
        <v>71.74314862</v>
      </c>
      <c r="AC13" s="15">
        <f t="shared" si="15"/>
        <v>72</v>
      </c>
      <c r="AD13" s="16" t="str">
        <f t="shared" si="16"/>
        <v/>
      </c>
      <c r="AE13" s="16" t="str">
        <f t="shared" si="17"/>
        <v/>
      </c>
      <c r="AF13" s="16" t="str">
        <f t="shared" si="18"/>
        <v/>
      </c>
      <c r="AG13" s="16" t="str">
        <f t="shared" si="19"/>
        <v>ARC&gt;0</v>
      </c>
      <c r="AH13" s="13" t="str">
        <f t="shared" si="20"/>
        <v/>
      </c>
      <c r="AI13" s="11">
        <v>9.558837489</v>
      </c>
      <c r="AJ13" s="11">
        <v>17.72203473</v>
      </c>
      <c r="AK13" s="11" t="s">
        <v>61</v>
      </c>
      <c r="AL13" s="18" t="str">
        <f t="shared" si="21"/>
        <v/>
      </c>
    </row>
    <row r="14">
      <c r="A14" s="11" t="s">
        <v>62</v>
      </c>
      <c r="B14" s="11">
        <v>2015.0</v>
      </c>
      <c r="C14" s="12" t="str">
        <f>VLOOKUP(A14, Regions!A:B, 2, FALSE)
</f>
        <v>Latin America &amp; Caribbean</v>
      </c>
      <c r="D14" s="13">
        <f t="shared" si="1"/>
        <v>2</v>
      </c>
      <c r="E14" s="14">
        <f t="shared" si="2"/>
        <v>2016</v>
      </c>
      <c r="F14" s="11" t="s">
        <v>63</v>
      </c>
      <c r="G14" s="11">
        <v>100.0</v>
      </c>
      <c r="H14" s="11">
        <v>97.48227425</v>
      </c>
      <c r="I14" s="15">
        <f t="shared" si="3"/>
        <v>97</v>
      </c>
      <c r="J14" s="16" t="str">
        <f t="shared" si="4"/>
        <v/>
      </c>
      <c r="K14" s="16" t="str">
        <f t="shared" si="5"/>
        <v/>
      </c>
      <c r="L14" s="16" t="str">
        <f t="shared" si="6"/>
        <v/>
      </c>
      <c r="M14" s="16" t="str">
        <f t="shared" si="7"/>
        <v>ARC&gt;0</v>
      </c>
      <c r="N14" s="13">
        <f t="shared" si="8"/>
        <v>0</v>
      </c>
      <c r="O14" s="11">
        <v>0.0</v>
      </c>
      <c r="P14" s="11">
        <v>2.517725753</v>
      </c>
      <c r="Q14" s="11">
        <v>0.0</v>
      </c>
      <c r="S14" s="15">
        <f t="shared" si="9"/>
        <v>0</v>
      </c>
      <c r="T14" s="17" t="str">
        <f t="shared" si="10"/>
        <v/>
      </c>
      <c r="U14" s="17" t="str">
        <f t="shared" si="11"/>
        <v>ARC=0</v>
      </c>
      <c r="V14" s="17" t="str">
        <f t="shared" si="12"/>
        <v/>
      </c>
      <c r="W14" s="17" t="str">
        <f t="shared" si="13"/>
        <v/>
      </c>
      <c r="X14" s="13">
        <f t="shared" si="14"/>
        <v>0</v>
      </c>
      <c r="AB14" s="11">
        <v>97.48227425</v>
      </c>
      <c r="AC14" s="15">
        <f t="shared" si="15"/>
        <v>97</v>
      </c>
      <c r="AD14" s="16" t="str">
        <f t="shared" si="16"/>
        <v/>
      </c>
      <c r="AE14" s="16" t="str">
        <f t="shared" si="17"/>
        <v/>
      </c>
      <c r="AF14" s="16" t="str">
        <f t="shared" si="18"/>
        <v/>
      </c>
      <c r="AG14" s="16" t="str">
        <f t="shared" si="19"/>
        <v>ARC&gt;0</v>
      </c>
      <c r="AH14" s="13">
        <f t="shared" si="20"/>
        <v>0</v>
      </c>
      <c r="AI14" s="11">
        <v>0.0</v>
      </c>
      <c r="AJ14" s="11">
        <v>2.517725753</v>
      </c>
      <c r="AK14" s="11" t="s">
        <v>43</v>
      </c>
      <c r="AL14" s="18">
        <f t="shared" si="21"/>
        <v>0</v>
      </c>
    </row>
    <row r="15">
      <c r="A15" s="11" t="s">
        <v>62</v>
      </c>
      <c r="B15" s="11">
        <v>2017.0</v>
      </c>
      <c r="C15" s="12" t="str">
        <f>VLOOKUP(A15, Regions!A:B, 2, FALSE)
</f>
        <v>Latin America &amp; Caribbean</v>
      </c>
      <c r="D15" s="13" t="str">
        <f t="shared" si="1"/>
        <v/>
      </c>
      <c r="E15" s="14" t="str">
        <f t="shared" si="2"/>
        <v/>
      </c>
      <c r="F15" s="11" t="s">
        <v>64</v>
      </c>
      <c r="G15" s="11">
        <v>100.0</v>
      </c>
      <c r="H15" s="11">
        <v>97.48227425</v>
      </c>
      <c r="I15" s="15">
        <f t="shared" si="3"/>
        <v>97</v>
      </c>
      <c r="J15" s="16" t="str">
        <f t="shared" si="4"/>
        <v/>
      </c>
      <c r="K15" s="16" t="str">
        <f t="shared" si="5"/>
        <v/>
      </c>
      <c r="L15" s="16" t="str">
        <f t="shared" si="6"/>
        <v/>
      </c>
      <c r="M15" s="16" t="str">
        <f t="shared" si="7"/>
        <v>ARC&gt;0</v>
      </c>
      <c r="N15" s="13" t="str">
        <f t="shared" si="8"/>
        <v/>
      </c>
      <c r="O15" s="11">
        <v>0.0</v>
      </c>
      <c r="P15" s="11">
        <v>2.517725753</v>
      </c>
      <c r="Q15" s="11">
        <v>0.0</v>
      </c>
      <c r="S15" s="15">
        <f t="shared" si="9"/>
        <v>0</v>
      </c>
      <c r="T15" s="17" t="str">
        <f t="shared" si="10"/>
        <v/>
      </c>
      <c r="U15" s="17" t="str">
        <f t="shared" si="11"/>
        <v>ARC=0</v>
      </c>
      <c r="V15" s="17" t="str">
        <f t="shared" si="12"/>
        <v/>
      </c>
      <c r="W15" s="17" t="str">
        <f t="shared" si="13"/>
        <v/>
      </c>
      <c r="X15" s="13" t="str">
        <f t="shared" si="14"/>
        <v/>
      </c>
      <c r="AB15" s="11">
        <v>97.48227425</v>
      </c>
      <c r="AC15" s="15">
        <f t="shared" si="15"/>
        <v>97</v>
      </c>
      <c r="AD15" s="16" t="str">
        <f t="shared" si="16"/>
        <v/>
      </c>
      <c r="AE15" s="16" t="str">
        <f t="shared" si="17"/>
        <v/>
      </c>
      <c r="AF15" s="16" t="str">
        <f t="shared" si="18"/>
        <v/>
      </c>
      <c r="AG15" s="16" t="str">
        <f t="shared" si="19"/>
        <v>ARC&gt;0</v>
      </c>
      <c r="AH15" s="13" t="str">
        <f t="shared" si="20"/>
        <v/>
      </c>
      <c r="AI15" s="11">
        <v>0.0</v>
      </c>
      <c r="AJ15" s="11">
        <v>2.517725753</v>
      </c>
      <c r="AK15" s="11" t="s">
        <v>43</v>
      </c>
      <c r="AL15" s="18" t="str">
        <f t="shared" si="21"/>
        <v/>
      </c>
    </row>
    <row r="16">
      <c r="A16" s="11" t="s">
        <v>65</v>
      </c>
      <c r="B16" s="11">
        <v>2015.0</v>
      </c>
      <c r="C16" s="12" t="str">
        <f>VLOOKUP(A16, Regions!A:B, 2, FALSE)
</f>
        <v>Latin America &amp; Caribbean</v>
      </c>
      <c r="D16" s="13">
        <f t="shared" si="1"/>
        <v>2</v>
      </c>
      <c r="E16" s="14">
        <f t="shared" si="2"/>
        <v>2016</v>
      </c>
      <c r="F16" s="11" t="s">
        <v>66</v>
      </c>
      <c r="G16" s="11">
        <v>25.0</v>
      </c>
      <c r="H16" s="11">
        <v>96.73918628</v>
      </c>
      <c r="I16" s="15">
        <f t="shared" si="3"/>
        <v>97</v>
      </c>
      <c r="J16" s="16" t="str">
        <f t="shared" si="4"/>
        <v/>
      </c>
      <c r="K16" s="16" t="str">
        <f t="shared" si="5"/>
        <v/>
      </c>
      <c r="L16" s="16" t="str">
        <f t="shared" si="6"/>
        <v/>
      </c>
      <c r="M16" s="16" t="str">
        <f t="shared" si="7"/>
        <v>ARC&gt;0</v>
      </c>
      <c r="N16" s="13">
        <f t="shared" si="8"/>
        <v>0</v>
      </c>
      <c r="O16" s="11">
        <v>0.0</v>
      </c>
      <c r="P16" s="11">
        <v>3.16634761</v>
      </c>
      <c r="Q16" s="11">
        <v>0.09446611409</v>
      </c>
      <c r="S16" s="15">
        <f t="shared" si="9"/>
        <v>0</v>
      </c>
      <c r="T16" s="17" t="str">
        <f t="shared" si="10"/>
        <v/>
      </c>
      <c r="U16" s="17" t="str">
        <f t="shared" si="11"/>
        <v>ARC=0</v>
      </c>
      <c r="V16" s="17" t="str">
        <f t="shared" si="12"/>
        <v/>
      </c>
      <c r="W16" s="17" t="str">
        <f t="shared" si="13"/>
        <v/>
      </c>
      <c r="X16" s="13">
        <f t="shared" si="14"/>
        <v>0</v>
      </c>
      <c r="AC16" s="15">
        <f t="shared" si="15"/>
        <v>0</v>
      </c>
      <c r="AD16" s="16" t="str">
        <f t="shared" si="16"/>
        <v/>
      </c>
      <c r="AE16" s="16" t="str">
        <f t="shared" si="17"/>
        <v>ARC=0</v>
      </c>
      <c r="AF16" s="16" t="str">
        <f t="shared" si="18"/>
        <v/>
      </c>
      <c r="AG16" s="16" t="str">
        <f t="shared" si="19"/>
        <v/>
      </c>
      <c r="AH16" s="13">
        <f t="shared" si="20"/>
        <v>0</v>
      </c>
      <c r="AL16" s="18">
        <f t="shared" si="21"/>
        <v>0</v>
      </c>
    </row>
    <row r="17">
      <c r="A17" s="11" t="s">
        <v>65</v>
      </c>
      <c r="B17" s="11">
        <v>2017.0</v>
      </c>
      <c r="C17" s="12" t="str">
        <f>VLOOKUP(A17, Regions!A:B, 2, FALSE)
</f>
        <v>Latin America &amp; Caribbean</v>
      </c>
      <c r="D17" s="13" t="str">
        <f t="shared" si="1"/>
        <v/>
      </c>
      <c r="E17" s="14" t="str">
        <f t="shared" si="2"/>
        <v/>
      </c>
      <c r="F17" s="11" t="s">
        <v>67</v>
      </c>
      <c r="G17" s="11">
        <v>24.71300125</v>
      </c>
      <c r="H17" s="11">
        <v>96.73918628</v>
      </c>
      <c r="I17" s="15">
        <f t="shared" si="3"/>
        <v>97</v>
      </c>
      <c r="J17" s="16" t="str">
        <f t="shared" si="4"/>
        <v/>
      </c>
      <c r="K17" s="16" t="str">
        <f t="shared" si="5"/>
        <v/>
      </c>
      <c r="L17" s="16" t="str">
        <f t="shared" si="6"/>
        <v/>
      </c>
      <c r="M17" s="16" t="str">
        <f t="shared" si="7"/>
        <v>ARC&gt;0</v>
      </c>
      <c r="N17" s="13" t="str">
        <f t="shared" si="8"/>
        <v/>
      </c>
      <c r="O17" s="11">
        <v>0.0</v>
      </c>
      <c r="P17" s="11">
        <v>3.16634761</v>
      </c>
      <c r="Q17" s="11">
        <v>0.09446611409</v>
      </c>
      <c r="S17" s="15">
        <f t="shared" si="9"/>
        <v>0</v>
      </c>
      <c r="T17" s="17" t="str">
        <f t="shared" si="10"/>
        <v/>
      </c>
      <c r="U17" s="17" t="str">
        <f t="shared" si="11"/>
        <v>ARC=0</v>
      </c>
      <c r="V17" s="17" t="str">
        <f t="shared" si="12"/>
        <v/>
      </c>
      <c r="W17" s="17" t="str">
        <f t="shared" si="13"/>
        <v/>
      </c>
      <c r="X17" s="13" t="str">
        <f t="shared" si="14"/>
        <v/>
      </c>
      <c r="AC17" s="15">
        <f t="shared" si="15"/>
        <v>0</v>
      </c>
      <c r="AD17" s="16" t="str">
        <f t="shared" si="16"/>
        <v/>
      </c>
      <c r="AE17" s="16" t="str">
        <f t="shared" si="17"/>
        <v>ARC=0</v>
      </c>
      <c r="AF17" s="16" t="str">
        <f t="shared" si="18"/>
        <v/>
      </c>
      <c r="AG17" s="16" t="str">
        <f t="shared" si="19"/>
        <v/>
      </c>
      <c r="AH17" s="13" t="str">
        <f t="shared" si="20"/>
        <v/>
      </c>
      <c r="AL17" s="18" t="str">
        <f t="shared" si="21"/>
        <v/>
      </c>
    </row>
    <row r="18">
      <c r="A18" s="11" t="s">
        <v>68</v>
      </c>
      <c r="B18" s="11">
        <v>2015.0</v>
      </c>
      <c r="C18" s="12" t="str">
        <f>VLOOKUP(A18, Regions!A:B, 2, FALSE)
</f>
        <v>Latin America &amp; Caribbean</v>
      </c>
      <c r="D18" s="13">
        <f t="shared" si="1"/>
        <v>5</v>
      </c>
      <c r="E18" s="14">
        <f t="shared" si="2"/>
        <v>2017.5</v>
      </c>
      <c r="F18" s="11" t="s">
        <v>69</v>
      </c>
      <c r="G18" s="11">
        <v>91.50299835</v>
      </c>
      <c r="H18" s="11">
        <v>98.96658815</v>
      </c>
      <c r="I18" s="15">
        <f t="shared" si="3"/>
        <v>99</v>
      </c>
      <c r="J18" s="16" t="str">
        <f t="shared" si="4"/>
        <v/>
      </c>
      <c r="K18" s="16" t="str">
        <f t="shared" si="5"/>
        <v/>
      </c>
      <c r="L18" s="16" t="str">
        <f t="shared" si="6"/>
        <v/>
      </c>
      <c r="M18" s="16" t="str">
        <f t="shared" si="7"/>
        <v>ARC&gt;0</v>
      </c>
      <c r="N18" s="13">
        <f t="shared" si="8"/>
        <v>-19.79331763</v>
      </c>
      <c r="O18" s="11">
        <v>0.0</v>
      </c>
      <c r="P18" s="11">
        <v>0.6649143791</v>
      </c>
      <c r="Q18" s="11">
        <v>0.3684974742</v>
      </c>
      <c r="R18" s="11">
        <v>92.98366005</v>
      </c>
      <c r="S18" s="15">
        <f t="shared" si="9"/>
        <v>93</v>
      </c>
      <c r="T18" s="17" t="str">
        <f t="shared" si="10"/>
        <v/>
      </c>
      <c r="U18" s="17" t="str">
        <f t="shared" si="11"/>
        <v/>
      </c>
      <c r="V18" s="17" t="str">
        <f t="shared" si="12"/>
        <v/>
      </c>
      <c r="W18" s="17" t="str">
        <f t="shared" si="13"/>
        <v>ARC&gt;0</v>
      </c>
      <c r="X18" s="13">
        <f t="shared" si="14"/>
        <v>-18.59673201</v>
      </c>
      <c r="Y18" s="11">
        <v>0.0</v>
      </c>
      <c r="Z18" s="11">
        <v>2.679544899</v>
      </c>
      <c r="AA18" s="11">
        <v>4.336795051</v>
      </c>
      <c r="AB18" s="11">
        <v>99.52216305</v>
      </c>
      <c r="AC18" s="15">
        <f t="shared" si="15"/>
        <v>100</v>
      </c>
      <c r="AD18" s="16" t="str">
        <f t="shared" si="16"/>
        <v>full access</v>
      </c>
      <c r="AE18" s="16" t="str">
        <f t="shared" si="17"/>
        <v/>
      </c>
      <c r="AF18" s="16" t="str">
        <f t="shared" si="18"/>
        <v/>
      </c>
      <c r="AG18" s="16" t="str">
        <f t="shared" si="19"/>
        <v>ARC&gt;0</v>
      </c>
      <c r="AH18" s="13">
        <f t="shared" si="20"/>
        <v>0.05365152</v>
      </c>
      <c r="AI18" s="11">
        <v>0.0</v>
      </c>
      <c r="AJ18" s="11">
        <v>0.4778369473</v>
      </c>
      <c r="AK18" s="11" t="s">
        <v>43</v>
      </c>
      <c r="AL18" s="18">
        <f t="shared" si="21"/>
        <v>-18.65038353</v>
      </c>
    </row>
    <row r="19">
      <c r="A19" s="11" t="s">
        <v>68</v>
      </c>
      <c r="B19" s="11">
        <v>2020.0</v>
      </c>
      <c r="C19" s="12" t="str">
        <f>VLOOKUP(A19, Regions!A:B, 2, FALSE)
</f>
        <v>Latin America &amp; Caribbean</v>
      </c>
      <c r="D19" s="13" t="str">
        <f t="shared" si="1"/>
        <v/>
      </c>
      <c r="E19" s="14" t="str">
        <f t="shared" si="2"/>
        <v/>
      </c>
      <c r="F19" s="11" t="s">
        <v>70</v>
      </c>
      <c r="G19" s="11">
        <v>92.11100006</v>
      </c>
      <c r="I19" s="15">
        <f t="shared" si="3"/>
        <v>0</v>
      </c>
      <c r="J19" s="16" t="str">
        <f t="shared" si="4"/>
        <v/>
      </c>
      <c r="K19" s="16" t="str">
        <f t="shared" si="5"/>
        <v>ARC=0</v>
      </c>
      <c r="L19" s="16" t="str">
        <f t="shared" si="6"/>
        <v/>
      </c>
      <c r="M19" s="16" t="str">
        <f t="shared" si="7"/>
        <v/>
      </c>
      <c r="N19" s="13" t="str">
        <f t="shared" si="8"/>
        <v/>
      </c>
      <c r="S19" s="15">
        <f t="shared" si="9"/>
        <v>0</v>
      </c>
      <c r="T19" s="17" t="str">
        <f t="shared" si="10"/>
        <v/>
      </c>
      <c r="U19" s="17" t="str">
        <f t="shared" si="11"/>
        <v>ARC=0</v>
      </c>
      <c r="V19" s="17" t="str">
        <f t="shared" si="12"/>
        <v/>
      </c>
      <c r="W19" s="17" t="str">
        <f t="shared" si="13"/>
        <v/>
      </c>
      <c r="X19" s="13" t="str">
        <f t="shared" si="14"/>
        <v/>
      </c>
      <c r="AB19" s="11">
        <v>99.79042065</v>
      </c>
      <c r="AC19" s="15">
        <f t="shared" si="15"/>
        <v>100</v>
      </c>
      <c r="AD19" s="16" t="str">
        <f t="shared" si="16"/>
        <v/>
      </c>
      <c r="AE19" s="16" t="str">
        <f t="shared" si="17"/>
        <v/>
      </c>
      <c r="AF19" s="16" t="str">
        <f t="shared" si="18"/>
        <v/>
      </c>
      <c r="AG19" s="16" t="str">
        <f t="shared" si="19"/>
        <v>ARC&gt;0</v>
      </c>
      <c r="AH19" s="13" t="str">
        <f t="shared" si="20"/>
        <v/>
      </c>
      <c r="AI19" s="11">
        <v>0.0</v>
      </c>
      <c r="AJ19" s="11">
        <v>0.2095793501</v>
      </c>
      <c r="AK19" s="11" t="s">
        <v>43</v>
      </c>
      <c r="AL19" s="18" t="str">
        <f t="shared" si="21"/>
        <v/>
      </c>
    </row>
    <row r="20">
      <c r="A20" s="11" t="s">
        <v>71</v>
      </c>
      <c r="B20" s="11">
        <v>2015.0</v>
      </c>
      <c r="C20" s="12" t="str">
        <f>VLOOKUP(A20, Regions!A:B, 2, FALSE)
</f>
        <v>Europe &amp; Central Asia</v>
      </c>
      <c r="D20" s="13">
        <f t="shared" si="1"/>
        <v>5</v>
      </c>
      <c r="E20" s="14">
        <f t="shared" si="2"/>
        <v>2017.5</v>
      </c>
      <c r="F20" s="11" t="s">
        <v>72</v>
      </c>
      <c r="G20" s="11">
        <v>63.0850029</v>
      </c>
      <c r="H20" s="11">
        <v>99.5525667</v>
      </c>
      <c r="I20" s="15">
        <f t="shared" si="3"/>
        <v>100</v>
      </c>
      <c r="J20" s="16" t="str">
        <f t="shared" si="4"/>
        <v>full access</v>
      </c>
      <c r="K20" s="16" t="str">
        <f t="shared" si="5"/>
        <v/>
      </c>
      <c r="L20" s="16" t="str">
        <f t="shared" si="6"/>
        <v/>
      </c>
      <c r="M20" s="16" t="str">
        <f t="shared" si="7"/>
        <v/>
      </c>
      <c r="N20" s="13">
        <f t="shared" si="8"/>
        <v>0.083722798</v>
      </c>
      <c r="O20" s="11">
        <v>0.0</v>
      </c>
      <c r="P20" s="11">
        <v>0.09850508366</v>
      </c>
      <c r="Q20" s="11">
        <v>0.3489282205</v>
      </c>
      <c r="R20" s="11">
        <v>99.05477927</v>
      </c>
      <c r="S20" s="15">
        <f t="shared" si="9"/>
        <v>99</v>
      </c>
      <c r="T20" s="17" t="str">
        <f t="shared" si="10"/>
        <v/>
      </c>
      <c r="U20" s="17" t="str">
        <f t="shared" si="11"/>
        <v/>
      </c>
      <c r="V20" s="17" t="str">
        <f t="shared" si="12"/>
        <v/>
      </c>
      <c r="W20" s="17" t="str">
        <f t="shared" si="13"/>
        <v>ARC&gt;0</v>
      </c>
      <c r="X20" s="13">
        <f t="shared" si="14"/>
        <v>0.189044146</v>
      </c>
      <c r="Y20" s="11">
        <v>0.0</v>
      </c>
      <c r="Z20" s="11">
        <v>0.0</v>
      </c>
      <c r="AA20" s="11">
        <v>0.9452207347</v>
      </c>
      <c r="AB20" s="11">
        <v>99.8438534</v>
      </c>
      <c r="AC20" s="15">
        <f t="shared" si="15"/>
        <v>100</v>
      </c>
      <c r="AD20" s="16" t="str">
        <f t="shared" si="16"/>
        <v>full access</v>
      </c>
      <c r="AE20" s="16" t="str">
        <f t="shared" si="17"/>
        <v/>
      </c>
      <c r="AF20" s="16" t="str">
        <f t="shared" si="18"/>
        <v/>
      </c>
      <c r="AG20" s="16" t="str">
        <f t="shared" si="19"/>
        <v>ARC&gt;0</v>
      </c>
      <c r="AH20" s="13">
        <f t="shared" si="20"/>
        <v>0.022125564</v>
      </c>
      <c r="AI20" s="11">
        <v>0.0</v>
      </c>
      <c r="AJ20" s="11">
        <v>0.1561465981</v>
      </c>
      <c r="AK20" s="11" t="s">
        <v>43</v>
      </c>
      <c r="AL20" s="18">
        <f t="shared" si="21"/>
        <v>0.166918582</v>
      </c>
    </row>
    <row r="21" ht="15.75" customHeight="1">
      <c r="A21" s="11" t="s">
        <v>71</v>
      </c>
      <c r="B21" s="11">
        <v>2020.0</v>
      </c>
      <c r="C21" s="12" t="str">
        <f>VLOOKUP(A21, Regions!A:B, 2, FALSE)
</f>
        <v>Europe &amp; Central Asia</v>
      </c>
      <c r="D21" s="13" t="str">
        <f t="shared" si="1"/>
        <v/>
      </c>
      <c r="E21" s="14" t="str">
        <f t="shared" si="2"/>
        <v/>
      </c>
      <c r="F21" s="11" t="s">
        <v>73</v>
      </c>
      <c r="G21" s="11">
        <v>63.31299973</v>
      </c>
      <c r="H21" s="11">
        <v>99.97118069</v>
      </c>
      <c r="I21" s="15">
        <f t="shared" si="3"/>
        <v>100</v>
      </c>
      <c r="J21" s="16" t="str">
        <f t="shared" si="4"/>
        <v/>
      </c>
      <c r="K21" s="16" t="str">
        <f t="shared" si="5"/>
        <v/>
      </c>
      <c r="L21" s="16" t="str">
        <f t="shared" si="6"/>
        <v/>
      </c>
      <c r="M21" s="16" t="str">
        <f t="shared" si="7"/>
        <v>ARC&gt;0</v>
      </c>
      <c r="N21" s="13" t="str">
        <f t="shared" si="8"/>
        <v/>
      </c>
      <c r="O21" s="11">
        <v>0.0</v>
      </c>
      <c r="P21" s="11">
        <v>0.02881930801</v>
      </c>
      <c r="Q21" s="11">
        <v>0.0</v>
      </c>
      <c r="R21" s="11">
        <v>100.0</v>
      </c>
      <c r="S21" s="15">
        <f t="shared" si="9"/>
        <v>100</v>
      </c>
      <c r="T21" s="17" t="str">
        <f t="shared" si="10"/>
        <v/>
      </c>
      <c r="U21" s="17" t="str">
        <f t="shared" si="11"/>
        <v/>
      </c>
      <c r="V21" s="17" t="str">
        <f t="shared" si="12"/>
        <v/>
      </c>
      <c r="W21" s="17" t="str">
        <f t="shared" si="13"/>
        <v>ARC&gt;0</v>
      </c>
      <c r="X21" s="13" t="str">
        <f t="shared" si="14"/>
        <v/>
      </c>
      <c r="Y21" s="11">
        <v>0.0</v>
      </c>
      <c r="Z21" s="11">
        <v>0.0</v>
      </c>
      <c r="AA21" s="11">
        <v>0.0</v>
      </c>
      <c r="AB21" s="11">
        <v>99.95448122</v>
      </c>
      <c r="AC21" s="15">
        <f t="shared" si="15"/>
        <v>100</v>
      </c>
      <c r="AD21" s="16" t="str">
        <f t="shared" si="16"/>
        <v/>
      </c>
      <c r="AE21" s="16" t="str">
        <f t="shared" si="17"/>
        <v/>
      </c>
      <c r="AF21" s="16" t="str">
        <f t="shared" si="18"/>
        <v/>
      </c>
      <c r="AG21" s="16" t="str">
        <f t="shared" si="19"/>
        <v>ARC&gt;0</v>
      </c>
      <c r="AH21" s="13" t="str">
        <f t="shared" si="20"/>
        <v/>
      </c>
      <c r="AI21" s="11">
        <v>0.0</v>
      </c>
      <c r="AJ21" s="11">
        <v>0.04551878364</v>
      </c>
      <c r="AK21" s="11" t="s">
        <v>43</v>
      </c>
      <c r="AL21" s="18" t="str">
        <f t="shared" si="21"/>
        <v/>
      </c>
    </row>
    <row r="22" ht="15.75" customHeight="1">
      <c r="A22" s="11" t="s">
        <v>74</v>
      </c>
      <c r="B22" s="11">
        <v>2015.0</v>
      </c>
      <c r="C22" s="12" t="str">
        <f>VLOOKUP(A22, Regions!A:B, 2, FALSE)
</f>
        <v>Latin America &amp; Caribbean</v>
      </c>
      <c r="D22" s="13">
        <f t="shared" si="1"/>
        <v>1</v>
      </c>
      <c r="E22" s="14">
        <f t="shared" si="2"/>
        <v>2015.5</v>
      </c>
      <c r="F22" s="11" t="s">
        <v>75</v>
      </c>
      <c r="G22" s="11">
        <v>43.10800171</v>
      </c>
      <c r="H22" s="11">
        <v>97.86902338</v>
      </c>
      <c r="I22" s="15">
        <f t="shared" si="3"/>
        <v>98</v>
      </c>
      <c r="J22" s="16" t="str">
        <f t="shared" si="4"/>
        <v/>
      </c>
      <c r="K22" s="16" t="str">
        <f t="shared" si="5"/>
        <v/>
      </c>
      <c r="L22" s="16" t="str">
        <f t="shared" si="6"/>
        <v/>
      </c>
      <c r="M22" s="16" t="str">
        <f t="shared" si="7"/>
        <v>ARC&gt;0</v>
      </c>
      <c r="N22" s="13">
        <f t="shared" si="8"/>
        <v>0</v>
      </c>
      <c r="O22" s="11">
        <v>0.0</v>
      </c>
      <c r="P22" s="11">
        <v>1.95993621</v>
      </c>
      <c r="Q22" s="11">
        <v>0.1710404089</v>
      </c>
      <c r="S22" s="15">
        <f t="shared" si="9"/>
        <v>0</v>
      </c>
      <c r="T22" s="17" t="str">
        <f t="shared" si="10"/>
        <v/>
      </c>
      <c r="U22" s="17" t="str">
        <f t="shared" si="11"/>
        <v>ARC=0</v>
      </c>
      <c r="V22" s="17" t="str">
        <f t="shared" si="12"/>
        <v/>
      </c>
      <c r="W22" s="17" t="str">
        <f t="shared" si="13"/>
        <v/>
      </c>
      <c r="X22" s="13">
        <f t="shared" si="14"/>
        <v>0</v>
      </c>
      <c r="AC22" s="15">
        <f t="shared" si="15"/>
        <v>0</v>
      </c>
      <c r="AD22" s="16" t="str">
        <f t="shared" si="16"/>
        <v/>
      </c>
      <c r="AE22" s="16" t="str">
        <f t="shared" si="17"/>
        <v>ARC=0</v>
      </c>
      <c r="AF22" s="16" t="str">
        <f t="shared" si="18"/>
        <v/>
      </c>
      <c r="AG22" s="16" t="str">
        <f t="shared" si="19"/>
        <v/>
      </c>
      <c r="AH22" s="13">
        <f t="shared" si="20"/>
        <v>0</v>
      </c>
      <c r="AL22" s="18">
        <f t="shared" si="21"/>
        <v>0</v>
      </c>
    </row>
    <row r="23" ht="15.75" customHeight="1">
      <c r="A23" s="11" t="s">
        <v>74</v>
      </c>
      <c r="B23" s="11">
        <v>2016.0</v>
      </c>
      <c r="C23" s="12" t="str">
        <f>VLOOKUP(A23, Regions!A:B, 2, FALSE)
</f>
        <v>Latin America &amp; Caribbean</v>
      </c>
      <c r="D23" s="13" t="str">
        <f t="shared" si="1"/>
        <v/>
      </c>
      <c r="E23" s="14" t="str">
        <f t="shared" si="2"/>
        <v/>
      </c>
      <c r="F23" s="11" t="s">
        <v>76</v>
      </c>
      <c r="G23" s="11">
        <v>43.19199753</v>
      </c>
      <c r="H23" s="11">
        <v>97.86902338</v>
      </c>
      <c r="I23" s="15">
        <f t="shared" si="3"/>
        <v>98</v>
      </c>
      <c r="J23" s="16" t="str">
        <f t="shared" si="4"/>
        <v/>
      </c>
      <c r="K23" s="16" t="str">
        <f t="shared" si="5"/>
        <v/>
      </c>
      <c r="L23" s="16" t="str">
        <f t="shared" si="6"/>
        <v/>
      </c>
      <c r="M23" s="16" t="str">
        <f t="shared" si="7"/>
        <v>ARC&gt;0</v>
      </c>
      <c r="N23" s="13" t="str">
        <f t="shared" si="8"/>
        <v/>
      </c>
      <c r="O23" s="11">
        <v>0.0</v>
      </c>
      <c r="P23" s="11">
        <v>1.95993621</v>
      </c>
      <c r="Q23" s="11">
        <v>0.1710404089</v>
      </c>
      <c r="S23" s="15">
        <f t="shared" si="9"/>
        <v>0</v>
      </c>
      <c r="T23" s="17" t="str">
        <f t="shared" si="10"/>
        <v/>
      </c>
      <c r="U23" s="17" t="str">
        <f t="shared" si="11"/>
        <v>ARC=0</v>
      </c>
      <c r="V23" s="17" t="str">
        <f t="shared" si="12"/>
        <v/>
      </c>
      <c r="W23" s="17" t="str">
        <f t="shared" si="13"/>
        <v/>
      </c>
      <c r="X23" s="13" t="str">
        <f t="shared" si="14"/>
        <v/>
      </c>
      <c r="AC23" s="15">
        <f t="shared" si="15"/>
        <v>0</v>
      </c>
      <c r="AD23" s="16" t="str">
        <f t="shared" si="16"/>
        <v/>
      </c>
      <c r="AE23" s="16" t="str">
        <f t="shared" si="17"/>
        <v>ARC=0</v>
      </c>
      <c r="AF23" s="16" t="str">
        <f t="shared" si="18"/>
        <v/>
      </c>
      <c r="AG23" s="16" t="str">
        <f t="shared" si="19"/>
        <v/>
      </c>
      <c r="AH23" s="13" t="str">
        <f t="shared" si="20"/>
        <v/>
      </c>
      <c r="AL23" s="18" t="str">
        <f t="shared" si="21"/>
        <v/>
      </c>
    </row>
    <row r="24" ht="15.75" customHeight="1">
      <c r="A24" s="11" t="s">
        <v>77</v>
      </c>
      <c r="B24" s="11">
        <v>2015.0</v>
      </c>
      <c r="C24" s="12" t="str">
        <f>VLOOKUP(A24, Regions!A:B, 2, FALSE)
</f>
        <v>East Asia &amp; Pacific</v>
      </c>
      <c r="D24" s="13">
        <f t="shared" si="1"/>
        <v>5</v>
      </c>
      <c r="E24" s="14">
        <f t="shared" si="2"/>
        <v>2017.5</v>
      </c>
      <c r="F24" s="11" t="s">
        <v>78</v>
      </c>
      <c r="G24" s="11">
        <v>85.70100403</v>
      </c>
      <c r="H24" s="11">
        <v>99.97000567</v>
      </c>
      <c r="I24" s="15">
        <f t="shared" si="3"/>
        <v>100</v>
      </c>
      <c r="J24" s="16" t="str">
        <f t="shared" si="4"/>
        <v>full access</v>
      </c>
      <c r="K24" s="16" t="str">
        <f t="shared" si="5"/>
        <v/>
      </c>
      <c r="L24" s="16" t="str">
        <f t="shared" si="6"/>
        <v/>
      </c>
      <c r="M24" s="16" t="str">
        <f t="shared" si="7"/>
        <v/>
      </c>
      <c r="N24" s="13">
        <f t="shared" si="8"/>
        <v>-0.00003877</v>
      </c>
      <c r="O24" s="11">
        <v>0.0</v>
      </c>
      <c r="P24" s="11">
        <v>0.02999433057</v>
      </c>
      <c r="Q24" s="11">
        <v>0.0</v>
      </c>
      <c r="R24" s="11">
        <v>100.0</v>
      </c>
      <c r="S24" s="15">
        <f t="shared" si="9"/>
        <v>100</v>
      </c>
      <c r="T24" s="17" t="str">
        <f t="shared" si="10"/>
        <v>full access</v>
      </c>
      <c r="U24" s="17" t="str">
        <f t="shared" si="11"/>
        <v/>
      </c>
      <c r="V24" s="17" t="str">
        <f t="shared" si="12"/>
        <v/>
      </c>
      <c r="W24" s="17" t="str">
        <f t="shared" si="13"/>
        <v>ARC&gt;0</v>
      </c>
      <c r="X24" s="13">
        <f t="shared" si="14"/>
        <v>0</v>
      </c>
      <c r="Y24" s="11">
        <v>0.0</v>
      </c>
      <c r="Z24" s="11">
        <v>0.0</v>
      </c>
      <c r="AA24" s="11">
        <v>0.0</v>
      </c>
      <c r="AB24" s="11">
        <v>99.965</v>
      </c>
      <c r="AC24" s="15">
        <f t="shared" si="15"/>
        <v>100</v>
      </c>
      <c r="AD24" s="16" t="str">
        <f t="shared" si="16"/>
        <v>full access</v>
      </c>
      <c r="AE24" s="16" t="str">
        <f t="shared" si="17"/>
        <v/>
      </c>
      <c r="AF24" s="16" t="str">
        <f t="shared" si="18"/>
        <v/>
      </c>
      <c r="AG24" s="16" t="str">
        <f t="shared" si="19"/>
        <v>ARC&gt;0</v>
      </c>
      <c r="AH24" s="13">
        <f t="shared" si="20"/>
        <v>0</v>
      </c>
      <c r="AI24" s="11">
        <v>0.0</v>
      </c>
      <c r="AJ24" s="11">
        <v>0.035</v>
      </c>
      <c r="AK24" s="11" t="s">
        <v>43</v>
      </c>
      <c r="AL24" s="18">
        <f t="shared" si="21"/>
        <v>0</v>
      </c>
    </row>
    <row r="25" ht="15.75" customHeight="1">
      <c r="A25" s="11" t="s">
        <v>77</v>
      </c>
      <c r="B25" s="11">
        <v>2020.0</v>
      </c>
      <c r="C25" s="12" t="str">
        <f>VLOOKUP(A25, Regions!A:B, 2, FALSE)
</f>
        <v>East Asia &amp; Pacific</v>
      </c>
      <c r="D25" s="13" t="str">
        <f t="shared" si="1"/>
        <v/>
      </c>
      <c r="E25" s="14" t="str">
        <f t="shared" si="2"/>
        <v/>
      </c>
      <c r="F25" s="11" t="s">
        <v>79</v>
      </c>
      <c r="G25" s="11">
        <v>86.24099731</v>
      </c>
      <c r="H25" s="11">
        <v>99.96981182</v>
      </c>
      <c r="I25" s="15">
        <f t="shared" si="3"/>
        <v>100</v>
      </c>
      <c r="J25" s="16" t="str">
        <f t="shared" si="4"/>
        <v/>
      </c>
      <c r="K25" s="16" t="str">
        <f t="shared" si="5"/>
        <v/>
      </c>
      <c r="L25" s="16" t="str">
        <f t="shared" si="6"/>
        <v/>
      </c>
      <c r="M25" s="16" t="str">
        <f t="shared" si="7"/>
        <v>ARC&gt;0</v>
      </c>
      <c r="N25" s="13" t="str">
        <f t="shared" si="8"/>
        <v/>
      </c>
      <c r="O25" s="11">
        <v>0.0</v>
      </c>
      <c r="P25" s="11">
        <v>0.03018817873</v>
      </c>
      <c r="Q25" s="11">
        <v>0.0</v>
      </c>
      <c r="R25" s="11">
        <v>100.0</v>
      </c>
      <c r="S25" s="15">
        <f t="shared" si="9"/>
        <v>100</v>
      </c>
      <c r="T25" s="17" t="str">
        <f t="shared" si="10"/>
        <v/>
      </c>
      <c r="U25" s="17" t="str">
        <f t="shared" si="11"/>
        <v/>
      </c>
      <c r="V25" s="17" t="str">
        <f t="shared" si="12"/>
        <v/>
      </c>
      <c r="W25" s="17" t="str">
        <f t="shared" si="13"/>
        <v>ARC&gt;0</v>
      </c>
      <c r="X25" s="13" t="str">
        <f t="shared" si="14"/>
        <v/>
      </c>
      <c r="Y25" s="11">
        <v>0.0</v>
      </c>
      <c r="Z25" s="11">
        <v>0.0</v>
      </c>
      <c r="AA25" s="11">
        <v>0.0</v>
      </c>
      <c r="AB25" s="11">
        <v>99.965</v>
      </c>
      <c r="AC25" s="15">
        <f t="shared" si="15"/>
        <v>100</v>
      </c>
      <c r="AD25" s="16" t="str">
        <f t="shared" si="16"/>
        <v/>
      </c>
      <c r="AE25" s="16" t="str">
        <f t="shared" si="17"/>
        <v/>
      </c>
      <c r="AF25" s="16" t="str">
        <f t="shared" si="18"/>
        <v/>
      </c>
      <c r="AG25" s="16" t="str">
        <f t="shared" si="19"/>
        <v>ARC&gt;0</v>
      </c>
      <c r="AH25" s="13" t="str">
        <f t="shared" si="20"/>
        <v/>
      </c>
      <c r="AI25" s="11">
        <v>0.0</v>
      </c>
      <c r="AJ25" s="11">
        <v>0.035</v>
      </c>
      <c r="AK25" s="11" t="s">
        <v>43</v>
      </c>
      <c r="AL25" s="18" t="str">
        <f t="shared" si="21"/>
        <v/>
      </c>
    </row>
    <row r="26" ht="15.75" customHeight="1">
      <c r="A26" s="11" t="s">
        <v>80</v>
      </c>
      <c r="B26" s="11">
        <v>2015.0</v>
      </c>
      <c r="C26" s="12" t="str">
        <f>VLOOKUP(A26, Regions!A:B, 2, FALSE)
</f>
        <v>Europe &amp; Central Asia</v>
      </c>
      <c r="D26" s="13">
        <f t="shared" si="1"/>
        <v>5</v>
      </c>
      <c r="E26" s="14">
        <f t="shared" si="2"/>
        <v>2017.5</v>
      </c>
      <c r="F26" s="11" t="s">
        <v>81</v>
      </c>
      <c r="G26" s="11">
        <v>57.71500015</v>
      </c>
      <c r="H26" s="11">
        <v>100.0</v>
      </c>
      <c r="I26" s="15">
        <f t="shared" si="3"/>
        <v>100</v>
      </c>
      <c r="J26" s="16" t="str">
        <f t="shared" si="4"/>
        <v>full access</v>
      </c>
      <c r="K26" s="16" t="str">
        <f t="shared" si="5"/>
        <v/>
      </c>
      <c r="L26" s="16" t="str">
        <f t="shared" si="6"/>
        <v/>
      </c>
      <c r="M26" s="16" t="str">
        <f t="shared" si="7"/>
        <v/>
      </c>
      <c r="N26" s="13">
        <f t="shared" si="8"/>
        <v>0</v>
      </c>
      <c r="O26" s="11">
        <v>0.0</v>
      </c>
      <c r="P26" s="11">
        <v>0.0</v>
      </c>
      <c r="Q26" s="11">
        <v>0.0</v>
      </c>
      <c r="R26" s="11">
        <v>100.0</v>
      </c>
      <c r="S26" s="15">
        <f t="shared" si="9"/>
        <v>100</v>
      </c>
      <c r="T26" s="17" t="str">
        <f t="shared" si="10"/>
        <v>full access</v>
      </c>
      <c r="U26" s="17" t="str">
        <f t="shared" si="11"/>
        <v/>
      </c>
      <c r="V26" s="17" t="str">
        <f t="shared" si="12"/>
        <v/>
      </c>
      <c r="W26" s="17" t="str">
        <f t="shared" si="13"/>
        <v>ARC&gt;0</v>
      </c>
      <c r="X26" s="13">
        <f t="shared" si="14"/>
        <v>0</v>
      </c>
      <c r="Y26" s="11">
        <v>0.0</v>
      </c>
      <c r="Z26" s="11">
        <v>0.0</v>
      </c>
      <c r="AA26" s="11">
        <v>0.0</v>
      </c>
      <c r="AB26" s="11">
        <v>100.0</v>
      </c>
      <c r="AC26" s="15">
        <f t="shared" si="15"/>
        <v>100</v>
      </c>
      <c r="AD26" s="16" t="str">
        <f t="shared" si="16"/>
        <v>full access</v>
      </c>
      <c r="AE26" s="16" t="str">
        <f t="shared" si="17"/>
        <v/>
      </c>
      <c r="AF26" s="16" t="str">
        <f t="shared" si="18"/>
        <v/>
      </c>
      <c r="AG26" s="16" t="str">
        <f t="shared" si="19"/>
        <v>ARC&gt;0</v>
      </c>
      <c r="AH26" s="13">
        <f t="shared" si="20"/>
        <v>0</v>
      </c>
      <c r="AI26" s="11">
        <v>0.0</v>
      </c>
      <c r="AJ26" s="11">
        <v>0.0</v>
      </c>
      <c r="AK26" s="11" t="s">
        <v>43</v>
      </c>
      <c r="AL26" s="18">
        <f t="shared" si="21"/>
        <v>0</v>
      </c>
    </row>
    <row r="27" ht="15.75" customHeight="1">
      <c r="A27" s="11" t="s">
        <v>80</v>
      </c>
      <c r="B27" s="11">
        <v>2020.0</v>
      </c>
      <c r="C27" s="12" t="str">
        <f>VLOOKUP(A27, Regions!A:B, 2, FALSE)
</f>
        <v>Europe &amp; Central Asia</v>
      </c>
      <c r="D27" s="13" t="str">
        <f t="shared" si="1"/>
        <v/>
      </c>
      <c r="E27" s="14" t="str">
        <f t="shared" si="2"/>
        <v/>
      </c>
      <c r="F27" s="11" t="s">
        <v>82</v>
      </c>
      <c r="G27" s="11">
        <v>58.7480011</v>
      </c>
      <c r="H27" s="11">
        <v>100.0</v>
      </c>
      <c r="I27" s="15">
        <f t="shared" si="3"/>
        <v>100</v>
      </c>
      <c r="J27" s="16" t="str">
        <f t="shared" si="4"/>
        <v/>
      </c>
      <c r="K27" s="16" t="str">
        <f t="shared" si="5"/>
        <v/>
      </c>
      <c r="L27" s="16" t="str">
        <f t="shared" si="6"/>
        <v/>
      </c>
      <c r="M27" s="16" t="str">
        <f t="shared" si="7"/>
        <v>ARC&gt;0</v>
      </c>
      <c r="N27" s="13" t="str">
        <f t="shared" si="8"/>
        <v/>
      </c>
      <c r="O27" s="11">
        <v>0.0</v>
      </c>
      <c r="P27" s="11">
        <v>0.0</v>
      </c>
      <c r="Q27" s="11">
        <v>0.0</v>
      </c>
      <c r="R27" s="11">
        <v>100.0</v>
      </c>
      <c r="S27" s="15">
        <f t="shared" si="9"/>
        <v>100</v>
      </c>
      <c r="T27" s="17" t="str">
        <f t="shared" si="10"/>
        <v/>
      </c>
      <c r="U27" s="17" t="str">
        <f t="shared" si="11"/>
        <v/>
      </c>
      <c r="V27" s="17" t="str">
        <f t="shared" si="12"/>
        <v/>
      </c>
      <c r="W27" s="17" t="str">
        <f t="shared" si="13"/>
        <v>ARC&gt;0</v>
      </c>
      <c r="X27" s="13" t="str">
        <f t="shared" si="14"/>
        <v/>
      </c>
      <c r="Y27" s="11">
        <v>0.0</v>
      </c>
      <c r="Z27" s="11">
        <v>0.0</v>
      </c>
      <c r="AA27" s="11">
        <v>0.0</v>
      </c>
      <c r="AB27" s="11">
        <v>100.0</v>
      </c>
      <c r="AC27" s="15">
        <f t="shared" si="15"/>
        <v>100</v>
      </c>
      <c r="AD27" s="16" t="str">
        <f t="shared" si="16"/>
        <v/>
      </c>
      <c r="AE27" s="16" t="str">
        <f t="shared" si="17"/>
        <v/>
      </c>
      <c r="AF27" s="16" t="str">
        <f t="shared" si="18"/>
        <v/>
      </c>
      <c r="AG27" s="16" t="str">
        <f t="shared" si="19"/>
        <v>ARC&gt;0</v>
      </c>
      <c r="AH27" s="13" t="str">
        <f t="shared" si="20"/>
        <v/>
      </c>
      <c r="AI27" s="11">
        <v>0.0</v>
      </c>
      <c r="AJ27" s="11">
        <v>0.0</v>
      </c>
      <c r="AK27" s="11" t="s">
        <v>43</v>
      </c>
      <c r="AL27" s="18" t="str">
        <f t="shared" si="21"/>
        <v/>
      </c>
    </row>
    <row r="28" ht="15.75" customHeight="1">
      <c r="A28" s="11" t="s">
        <v>83</v>
      </c>
      <c r="B28" s="11">
        <v>2015.0</v>
      </c>
      <c r="C28" s="12" t="str">
        <f>VLOOKUP(A28, Regions!A:B, 2, FALSE)
</f>
        <v>Europe &amp; Central Asia</v>
      </c>
      <c r="D28" s="13">
        <f t="shared" si="1"/>
        <v>5</v>
      </c>
      <c r="E28" s="14">
        <f t="shared" si="2"/>
        <v>2017.5</v>
      </c>
      <c r="F28" s="11" t="s">
        <v>84</v>
      </c>
      <c r="G28" s="11">
        <v>54.7140007</v>
      </c>
      <c r="H28" s="11">
        <v>92.42031398</v>
      </c>
      <c r="I28" s="15">
        <f t="shared" si="3"/>
        <v>92</v>
      </c>
      <c r="J28" s="16" t="str">
        <f t="shared" si="4"/>
        <v/>
      </c>
      <c r="K28" s="16" t="str">
        <f t="shared" si="5"/>
        <v/>
      </c>
      <c r="L28" s="16" t="str">
        <f t="shared" si="6"/>
        <v/>
      </c>
      <c r="M28" s="16" t="str">
        <f t="shared" si="7"/>
        <v>ARC&gt;0</v>
      </c>
      <c r="N28" s="13">
        <f t="shared" si="8"/>
        <v>0.72461243</v>
      </c>
      <c r="O28" s="11">
        <v>1.002242415</v>
      </c>
      <c r="P28" s="11">
        <v>4.365089522</v>
      </c>
      <c r="Q28" s="11">
        <v>2.21235408</v>
      </c>
      <c r="R28" s="11">
        <v>84.14321327</v>
      </c>
      <c r="S28" s="15">
        <f t="shared" si="9"/>
        <v>84</v>
      </c>
      <c r="T28" s="17" t="str">
        <f t="shared" si="10"/>
        <v/>
      </c>
      <c r="U28" s="17" t="str">
        <f t="shared" si="11"/>
        <v/>
      </c>
      <c r="V28" s="17" t="str">
        <f t="shared" si="12"/>
        <v/>
      </c>
      <c r="W28" s="17" t="str">
        <f t="shared" si="13"/>
        <v>ARC&gt;0</v>
      </c>
      <c r="X28" s="13">
        <f t="shared" si="14"/>
        <v>1.356516936</v>
      </c>
      <c r="Y28" s="11">
        <v>2.213139731</v>
      </c>
      <c r="Z28" s="11">
        <v>8.988206006</v>
      </c>
      <c r="AA28" s="11">
        <v>4.655440992</v>
      </c>
      <c r="AB28" s="11">
        <v>99.27115203</v>
      </c>
      <c r="AC28" s="15">
        <f t="shared" si="15"/>
        <v>99</v>
      </c>
      <c r="AD28" s="16" t="str">
        <f t="shared" si="16"/>
        <v/>
      </c>
      <c r="AE28" s="16" t="str">
        <f t="shared" si="17"/>
        <v/>
      </c>
      <c r="AF28" s="16" t="str">
        <f t="shared" si="18"/>
        <v/>
      </c>
      <c r="AG28" s="16" t="str">
        <f t="shared" si="19"/>
        <v>ARC&gt;0</v>
      </c>
      <c r="AH28" s="13">
        <f t="shared" si="20"/>
        <v>0.145769594</v>
      </c>
      <c r="AI28" s="11">
        <v>0.0</v>
      </c>
      <c r="AJ28" s="11">
        <v>0.5386020345</v>
      </c>
      <c r="AK28" s="11" t="s">
        <v>85</v>
      </c>
      <c r="AL28" s="18">
        <f t="shared" si="21"/>
        <v>1.210747342</v>
      </c>
    </row>
    <row r="29" ht="15.75" customHeight="1">
      <c r="A29" s="11" t="s">
        <v>83</v>
      </c>
      <c r="B29" s="11">
        <v>2020.0</v>
      </c>
      <c r="C29" s="12" t="str">
        <f>VLOOKUP(A29, Regions!A:B, 2, FALSE)
</f>
        <v>Europe &amp; Central Asia</v>
      </c>
      <c r="D29" s="13" t="str">
        <f t="shared" si="1"/>
        <v/>
      </c>
      <c r="E29" s="14" t="str">
        <f t="shared" si="2"/>
        <v/>
      </c>
      <c r="F29" s="11" t="s">
        <v>86</v>
      </c>
      <c r="G29" s="11">
        <v>56.39700317</v>
      </c>
      <c r="H29" s="11">
        <v>96.04337613</v>
      </c>
      <c r="I29" s="15">
        <f t="shared" si="3"/>
        <v>96</v>
      </c>
      <c r="J29" s="16" t="str">
        <f t="shared" si="4"/>
        <v/>
      </c>
      <c r="K29" s="16" t="str">
        <f t="shared" si="5"/>
        <v/>
      </c>
      <c r="L29" s="16" t="str">
        <f t="shared" si="6"/>
        <v/>
      </c>
      <c r="M29" s="16" t="str">
        <f t="shared" si="7"/>
        <v>ARC&gt;0</v>
      </c>
      <c r="N29" s="13" t="str">
        <f t="shared" si="8"/>
        <v/>
      </c>
      <c r="O29" s="11">
        <v>1.04278118</v>
      </c>
      <c r="P29" s="11">
        <v>2.913842688</v>
      </c>
      <c r="Q29" s="11">
        <v>0.0</v>
      </c>
      <c r="R29" s="11">
        <v>90.92579795</v>
      </c>
      <c r="S29" s="15">
        <f t="shared" si="9"/>
        <v>91</v>
      </c>
      <c r="T29" s="17" t="str">
        <f t="shared" si="10"/>
        <v/>
      </c>
      <c r="U29" s="17" t="str">
        <f t="shared" si="11"/>
        <v/>
      </c>
      <c r="V29" s="17" t="str">
        <f t="shared" si="12"/>
        <v/>
      </c>
      <c r="W29" s="17" t="str">
        <f t="shared" si="13"/>
        <v>ARC&gt;0</v>
      </c>
      <c r="X29" s="13" t="str">
        <f t="shared" si="14"/>
        <v/>
      </c>
      <c r="Y29" s="11">
        <v>2.391535671</v>
      </c>
      <c r="Z29" s="11">
        <v>6.682666377</v>
      </c>
      <c r="AA29" s="11">
        <v>0.0</v>
      </c>
      <c r="AB29" s="11">
        <v>100.0</v>
      </c>
      <c r="AC29" s="15">
        <f t="shared" si="15"/>
        <v>100</v>
      </c>
      <c r="AD29" s="16" t="str">
        <f t="shared" si="16"/>
        <v/>
      </c>
      <c r="AE29" s="16" t="str">
        <f t="shared" si="17"/>
        <v/>
      </c>
      <c r="AF29" s="16" t="str">
        <f t="shared" si="18"/>
        <v/>
      </c>
      <c r="AG29" s="16" t="str">
        <f t="shared" si="19"/>
        <v>ARC&gt;0</v>
      </c>
      <c r="AH29" s="13" t="str">
        <f t="shared" si="20"/>
        <v/>
      </c>
      <c r="AI29" s="11">
        <v>0.0</v>
      </c>
      <c r="AJ29" s="11">
        <v>0.0</v>
      </c>
      <c r="AK29" s="11" t="s">
        <v>43</v>
      </c>
      <c r="AL29" s="18" t="str">
        <f t="shared" si="21"/>
        <v/>
      </c>
    </row>
    <row r="30" ht="15.75" customHeight="1">
      <c r="A30" s="11" t="s">
        <v>87</v>
      </c>
      <c r="B30" s="11">
        <v>2015.0</v>
      </c>
      <c r="C30" s="12" t="str">
        <f>VLOOKUP(A30, Regions!A:B, 2, FALSE)
</f>
        <v>Latin America &amp; Caribbean</v>
      </c>
      <c r="D30" s="13">
        <f t="shared" si="1"/>
        <v>4</v>
      </c>
      <c r="E30" s="14">
        <f t="shared" si="2"/>
        <v>2017</v>
      </c>
      <c r="F30" s="11" t="s">
        <v>88</v>
      </c>
      <c r="G30" s="11">
        <v>82.74599457</v>
      </c>
      <c r="H30" s="11">
        <v>98.8869605</v>
      </c>
      <c r="I30" s="15">
        <f t="shared" si="3"/>
        <v>99</v>
      </c>
      <c r="J30" s="16" t="str">
        <f t="shared" si="4"/>
        <v/>
      </c>
      <c r="K30" s="16" t="str">
        <f t="shared" si="5"/>
        <v/>
      </c>
      <c r="L30" s="16" t="str">
        <f t="shared" si="6"/>
        <v/>
      </c>
      <c r="M30" s="16" t="str">
        <f t="shared" si="7"/>
        <v>ARC&gt;0</v>
      </c>
      <c r="N30" s="13">
        <f t="shared" si="8"/>
        <v>0</v>
      </c>
      <c r="O30" s="11">
        <v>0.0</v>
      </c>
      <c r="P30" s="11">
        <v>1.113039503</v>
      </c>
      <c r="Q30" s="11">
        <v>0.0</v>
      </c>
      <c r="S30" s="15">
        <f t="shared" si="9"/>
        <v>0</v>
      </c>
      <c r="T30" s="17" t="str">
        <f t="shared" si="10"/>
        <v/>
      </c>
      <c r="U30" s="17" t="str">
        <f t="shared" si="11"/>
        <v>ARC=0</v>
      </c>
      <c r="V30" s="17" t="str">
        <f t="shared" si="12"/>
        <v/>
      </c>
      <c r="W30" s="17" t="str">
        <f t="shared" si="13"/>
        <v/>
      </c>
      <c r="X30" s="13">
        <f t="shared" si="14"/>
        <v>0</v>
      </c>
      <c r="AC30" s="15">
        <f t="shared" si="15"/>
        <v>0</v>
      </c>
      <c r="AD30" s="16" t="str">
        <f t="shared" si="16"/>
        <v/>
      </c>
      <c r="AE30" s="16" t="str">
        <f t="shared" si="17"/>
        <v>ARC=0</v>
      </c>
      <c r="AF30" s="16" t="str">
        <f t="shared" si="18"/>
        <v/>
      </c>
      <c r="AG30" s="16" t="str">
        <f t="shared" si="19"/>
        <v/>
      </c>
      <c r="AH30" s="13">
        <f t="shared" si="20"/>
        <v>0</v>
      </c>
      <c r="AL30" s="18">
        <f t="shared" si="21"/>
        <v>0</v>
      </c>
    </row>
    <row r="31" ht="15.75" customHeight="1">
      <c r="A31" s="11" t="s">
        <v>87</v>
      </c>
      <c r="B31" s="11">
        <v>2019.0</v>
      </c>
      <c r="C31" s="12" t="str">
        <f>VLOOKUP(A31, Regions!A:B, 2, FALSE)
</f>
        <v>Latin America &amp; Caribbean</v>
      </c>
      <c r="D31" s="13" t="str">
        <f t="shared" si="1"/>
        <v/>
      </c>
      <c r="E31" s="14" t="str">
        <f t="shared" si="2"/>
        <v/>
      </c>
      <c r="F31" s="11" t="s">
        <v>89</v>
      </c>
      <c r="G31" s="11">
        <v>83.13199615</v>
      </c>
      <c r="H31" s="11">
        <v>98.8869605</v>
      </c>
      <c r="I31" s="15">
        <f t="shared" si="3"/>
        <v>99</v>
      </c>
      <c r="J31" s="16" t="str">
        <f t="shared" si="4"/>
        <v/>
      </c>
      <c r="K31" s="16" t="str">
        <f t="shared" si="5"/>
        <v/>
      </c>
      <c r="L31" s="16" t="str">
        <f t="shared" si="6"/>
        <v/>
      </c>
      <c r="M31" s="16" t="str">
        <f t="shared" si="7"/>
        <v>ARC&gt;0</v>
      </c>
      <c r="N31" s="13" t="str">
        <f t="shared" si="8"/>
        <v/>
      </c>
      <c r="O31" s="11">
        <v>0.0</v>
      </c>
      <c r="P31" s="11">
        <v>1.113039503</v>
      </c>
      <c r="Q31" s="11">
        <v>0.0</v>
      </c>
      <c r="S31" s="15">
        <f t="shared" si="9"/>
        <v>0</v>
      </c>
      <c r="T31" s="17" t="str">
        <f t="shared" si="10"/>
        <v/>
      </c>
      <c r="U31" s="17" t="str">
        <f t="shared" si="11"/>
        <v>ARC=0</v>
      </c>
      <c r="V31" s="17" t="str">
        <f t="shared" si="12"/>
        <v/>
      </c>
      <c r="W31" s="17" t="str">
        <f t="shared" si="13"/>
        <v/>
      </c>
      <c r="X31" s="13" t="str">
        <f t="shared" si="14"/>
        <v/>
      </c>
      <c r="AC31" s="15">
        <f t="shared" si="15"/>
        <v>0</v>
      </c>
      <c r="AD31" s="16" t="str">
        <f t="shared" si="16"/>
        <v/>
      </c>
      <c r="AE31" s="16" t="str">
        <f t="shared" si="17"/>
        <v>ARC=0</v>
      </c>
      <c r="AF31" s="16" t="str">
        <f t="shared" si="18"/>
        <v/>
      </c>
      <c r="AG31" s="16" t="str">
        <f t="shared" si="19"/>
        <v/>
      </c>
      <c r="AH31" s="13" t="str">
        <f t="shared" si="20"/>
        <v/>
      </c>
      <c r="AL31" s="18" t="str">
        <f t="shared" si="21"/>
        <v/>
      </c>
    </row>
    <row r="32" ht="15.75" customHeight="1">
      <c r="A32" s="11" t="s">
        <v>90</v>
      </c>
      <c r="B32" s="11">
        <v>2015.0</v>
      </c>
      <c r="C32" s="12" t="str">
        <f>VLOOKUP(A32, Regions!A:B, 2, FALSE)
</f>
        <v>Europe &amp; Central Asia</v>
      </c>
      <c r="D32" s="13">
        <f t="shared" si="1"/>
        <v>5</v>
      </c>
      <c r="E32" s="14">
        <f t="shared" si="2"/>
        <v>2017.5</v>
      </c>
      <c r="F32" s="11" t="s">
        <v>91</v>
      </c>
      <c r="G32" s="11">
        <v>88.99899292</v>
      </c>
      <c r="H32" s="11">
        <v>100.0</v>
      </c>
      <c r="I32" s="15">
        <f t="shared" si="3"/>
        <v>100</v>
      </c>
      <c r="J32" s="16" t="str">
        <f t="shared" si="4"/>
        <v>full access</v>
      </c>
      <c r="K32" s="16" t="str">
        <f t="shared" si="5"/>
        <v/>
      </c>
      <c r="L32" s="16" t="str">
        <f t="shared" si="6"/>
        <v/>
      </c>
      <c r="M32" s="16" t="str">
        <f t="shared" si="7"/>
        <v/>
      </c>
      <c r="N32" s="13">
        <f t="shared" si="8"/>
        <v>0</v>
      </c>
      <c r="O32" s="11">
        <v>0.0</v>
      </c>
      <c r="P32" s="11">
        <v>0.0</v>
      </c>
      <c r="Q32" s="11">
        <v>0.0</v>
      </c>
      <c r="S32" s="15">
        <f t="shared" si="9"/>
        <v>0</v>
      </c>
      <c r="T32" s="17" t="str">
        <f t="shared" si="10"/>
        <v/>
      </c>
      <c r="U32" s="17" t="str">
        <f t="shared" si="11"/>
        <v>ARC=0</v>
      </c>
      <c r="V32" s="17" t="str">
        <f t="shared" si="12"/>
        <v/>
      </c>
      <c r="W32" s="17" t="str">
        <f t="shared" si="13"/>
        <v/>
      </c>
      <c r="X32" s="13">
        <f t="shared" si="14"/>
        <v>0</v>
      </c>
      <c r="AC32" s="15">
        <f t="shared" si="15"/>
        <v>0</v>
      </c>
      <c r="AD32" s="16" t="str">
        <f t="shared" si="16"/>
        <v/>
      </c>
      <c r="AE32" s="16" t="str">
        <f t="shared" si="17"/>
        <v>ARC=0</v>
      </c>
      <c r="AF32" s="16" t="str">
        <f t="shared" si="18"/>
        <v/>
      </c>
      <c r="AG32" s="16" t="str">
        <f t="shared" si="19"/>
        <v/>
      </c>
      <c r="AH32" s="13">
        <f t="shared" si="20"/>
        <v>0</v>
      </c>
      <c r="AL32" s="18">
        <f t="shared" si="21"/>
        <v>0</v>
      </c>
    </row>
    <row r="33" ht="15.75" customHeight="1">
      <c r="A33" s="11" t="s">
        <v>90</v>
      </c>
      <c r="B33" s="11">
        <v>2020.0</v>
      </c>
      <c r="C33" s="12" t="str">
        <f>VLOOKUP(A33, Regions!A:B, 2, FALSE)
</f>
        <v>Europe &amp; Central Asia</v>
      </c>
      <c r="D33" s="13" t="str">
        <f t="shared" si="1"/>
        <v/>
      </c>
      <c r="E33" s="14" t="str">
        <f t="shared" si="2"/>
        <v/>
      </c>
      <c r="F33" s="11" t="s">
        <v>92</v>
      </c>
      <c r="G33" s="11">
        <v>89.50600433</v>
      </c>
      <c r="H33" s="11">
        <v>100.0</v>
      </c>
      <c r="I33" s="15">
        <f t="shared" si="3"/>
        <v>100</v>
      </c>
      <c r="J33" s="16" t="str">
        <f t="shared" si="4"/>
        <v/>
      </c>
      <c r="K33" s="16" t="str">
        <f t="shared" si="5"/>
        <v/>
      </c>
      <c r="L33" s="16" t="str">
        <f t="shared" si="6"/>
        <v/>
      </c>
      <c r="M33" s="16" t="str">
        <f t="shared" si="7"/>
        <v>ARC&gt;0</v>
      </c>
      <c r="N33" s="13" t="str">
        <f t="shared" si="8"/>
        <v/>
      </c>
      <c r="O33" s="11">
        <v>0.0</v>
      </c>
      <c r="P33" s="11">
        <v>0.0</v>
      </c>
      <c r="Q33" s="11">
        <v>0.0</v>
      </c>
      <c r="S33" s="15">
        <f t="shared" si="9"/>
        <v>0</v>
      </c>
      <c r="T33" s="17" t="str">
        <f t="shared" si="10"/>
        <v/>
      </c>
      <c r="U33" s="17" t="str">
        <f t="shared" si="11"/>
        <v>ARC=0</v>
      </c>
      <c r="V33" s="17" t="str">
        <f t="shared" si="12"/>
        <v/>
      </c>
      <c r="W33" s="17" t="str">
        <f t="shared" si="13"/>
        <v/>
      </c>
      <c r="X33" s="13" t="str">
        <f t="shared" si="14"/>
        <v/>
      </c>
      <c r="AC33" s="15">
        <f t="shared" si="15"/>
        <v>0</v>
      </c>
      <c r="AD33" s="16" t="str">
        <f t="shared" si="16"/>
        <v/>
      </c>
      <c r="AE33" s="16" t="str">
        <f t="shared" si="17"/>
        <v>ARC=0</v>
      </c>
      <c r="AF33" s="16" t="str">
        <f t="shared" si="18"/>
        <v/>
      </c>
      <c r="AG33" s="16" t="str">
        <f t="shared" si="19"/>
        <v/>
      </c>
      <c r="AH33" s="13" t="str">
        <f t="shared" si="20"/>
        <v/>
      </c>
      <c r="AL33" s="18" t="str">
        <f t="shared" si="21"/>
        <v/>
      </c>
    </row>
    <row r="34" ht="15.75" customHeight="1">
      <c r="A34" s="11" t="s">
        <v>93</v>
      </c>
      <c r="B34" s="11">
        <v>2015.0</v>
      </c>
      <c r="C34" s="12" t="str">
        <f>VLOOKUP(A34, Regions!A:B, 2, FALSE)
</f>
        <v>South Asia</v>
      </c>
      <c r="D34" s="13">
        <f t="shared" si="1"/>
        <v>5</v>
      </c>
      <c r="E34" s="14">
        <f t="shared" si="2"/>
        <v>2017.5</v>
      </c>
      <c r="F34" s="11" t="s">
        <v>94</v>
      </c>
      <c r="G34" s="11">
        <v>34.30800247</v>
      </c>
      <c r="H34" s="11">
        <v>97.10160247</v>
      </c>
      <c r="I34" s="15">
        <f t="shared" si="3"/>
        <v>97</v>
      </c>
      <c r="J34" s="16" t="str">
        <f t="shared" si="4"/>
        <v/>
      </c>
      <c r="K34" s="16" t="str">
        <f t="shared" si="5"/>
        <v/>
      </c>
      <c r="L34" s="16" t="str">
        <f t="shared" si="6"/>
        <v/>
      </c>
      <c r="M34" s="16" t="str">
        <f t="shared" si="7"/>
        <v>ARC&gt;0</v>
      </c>
      <c r="N34" s="13">
        <f t="shared" si="8"/>
        <v>0.119271556</v>
      </c>
      <c r="O34" s="11">
        <v>1.087988961</v>
      </c>
      <c r="P34" s="11">
        <v>0.7215616582</v>
      </c>
      <c r="Q34" s="11">
        <v>1.08884691</v>
      </c>
      <c r="R34" s="11">
        <v>96.77301128</v>
      </c>
      <c r="S34" s="15">
        <f t="shared" si="9"/>
        <v>97</v>
      </c>
      <c r="T34" s="17" t="str">
        <f t="shared" si="10"/>
        <v/>
      </c>
      <c r="U34" s="17" t="str">
        <f t="shared" si="11"/>
        <v/>
      </c>
      <c r="V34" s="17" t="str">
        <f t="shared" si="12"/>
        <v/>
      </c>
      <c r="W34" s="17" t="str">
        <f t="shared" si="13"/>
        <v>ARC&gt;0</v>
      </c>
      <c r="X34" s="13">
        <f t="shared" si="14"/>
        <v>0.221445296</v>
      </c>
      <c r="Y34" s="11">
        <v>1.046214162</v>
      </c>
      <c r="Z34" s="11">
        <v>0.7317473217</v>
      </c>
      <c r="AA34" s="11">
        <v>1.449027237</v>
      </c>
      <c r="AB34" s="11">
        <v>97.73077968</v>
      </c>
      <c r="AC34" s="15">
        <f t="shared" si="15"/>
        <v>98</v>
      </c>
      <c r="AD34" s="16" t="str">
        <f t="shared" si="16"/>
        <v/>
      </c>
      <c r="AE34" s="16" t="str">
        <f t="shared" si="17"/>
        <v/>
      </c>
      <c r="AF34" s="16" t="str">
        <f t="shared" si="18"/>
        <v/>
      </c>
      <c r="AG34" s="16" t="str">
        <f t="shared" si="19"/>
        <v>ARC&gt;0</v>
      </c>
      <c r="AH34" s="13">
        <f t="shared" si="20"/>
        <v>-0.065600342</v>
      </c>
      <c r="AI34" s="11">
        <v>1.167978177</v>
      </c>
      <c r="AJ34" s="11">
        <v>0.702058435</v>
      </c>
      <c r="AK34" s="11" t="s">
        <v>95</v>
      </c>
      <c r="AL34" s="18">
        <f t="shared" si="21"/>
        <v>0.287045638</v>
      </c>
    </row>
    <row r="35" ht="15.75" customHeight="1">
      <c r="A35" s="11" t="s">
        <v>93</v>
      </c>
      <c r="B35" s="11">
        <v>2020.0</v>
      </c>
      <c r="C35" s="12" t="str">
        <f>VLOOKUP(A35, Regions!A:B, 2, FALSE)
</f>
        <v>South Asia</v>
      </c>
      <c r="D35" s="13" t="str">
        <f t="shared" si="1"/>
        <v/>
      </c>
      <c r="E35" s="14" t="str">
        <f t="shared" si="2"/>
        <v/>
      </c>
      <c r="F35" s="11" t="s">
        <v>96</v>
      </c>
      <c r="G35" s="11">
        <v>38.17700195</v>
      </c>
      <c r="H35" s="11">
        <v>97.69796025</v>
      </c>
      <c r="I35" s="15">
        <f t="shared" si="3"/>
        <v>98</v>
      </c>
      <c r="J35" s="16" t="str">
        <f t="shared" si="4"/>
        <v/>
      </c>
      <c r="K35" s="16" t="str">
        <f t="shared" si="5"/>
        <v/>
      </c>
      <c r="L35" s="16" t="str">
        <f t="shared" si="6"/>
        <v/>
      </c>
      <c r="M35" s="16" t="str">
        <f t="shared" si="7"/>
        <v>ARC&gt;0</v>
      </c>
      <c r="N35" s="13" t="str">
        <f t="shared" si="8"/>
        <v/>
      </c>
      <c r="O35" s="11">
        <v>1.156425878</v>
      </c>
      <c r="P35" s="11">
        <v>0.4626557002</v>
      </c>
      <c r="Q35" s="11">
        <v>0.6829581735</v>
      </c>
      <c r="R35" s="11">
        <v>97.88023776</v>
      </c>
      <c r="S35" s="15">
        <f t="shared" si="9"/>
        <v>98</v>
      </c>
      <c r="T35" s="17" t="str">
        <f t="shared" si="10"/>
        <v/>
      </c>
      <c r="U35" s="17" t="str">
        <f t="shared" si="11"/>
        <v/>
      </c>
      <c r="V35" s="17" t="str">
        <f t="shared" si="12"/>
        <v/>
      </c>
      <c r="W35" s="17" t="str">
        <f t="shared" si="13"/>
        <v>ARC&gt;0</v>
      </c>
      <c r="X35" s="13" t="str">
        <f t="shared" si="14"/>
        <v/>
      </c>
      <c r="Y35" s="11">
        <v>0.8581049804</v>
      </c>
      <c r="Z35" s="11">
        <v>0.3164802414</v>
      </c>
      <c r="AA35" s="11">
        <v>0.9451770151</v>
      </c>
      <c r="AB35" s="11">
        <v>97.40277797</v>
      </c>
      <c r="AC35" s="15">
        <f t="shared" si="15"/>
        <v>97</v>
      </c>
      <c r="AD35" s="16" t="str">
        <f t="shared" si="16"/>
        <v/>
      </c>
      <c r="AE35" s="16" t="str">
        <f t="shared" si="17"/>
        <v/>
      </c>
      <c r="AF35" s="16" t="str">
        <f t="shared" si="18"/>
        <v/>
      </c>
      <c r="AG35" s="16" t="str">
        <f t="shared" si="19"/>
        <v>ARC&gt;0</v>
      </c>
      <c r="AH35" s="13" t="str">
        <f t="shared" si="20"/>
        <v/>
      </c>
      <c r="AI35" s="11">
        <v>1.639520121</v>
      </c>
      <c r="AJ35" s="11">
        <v>0.6993752147</v>
      </c>
      <c r="AK35" s="11" t="s">
        <v>97</v>
      </c>
      <c r="AL35" s="18" t="str">
        <f t="shared" si="21"/>
        <v/>
      </c>
    </row>
    <row r="36" ht="15.75" customHeight="1">
      <c r="A36" s="11" t="s">
        <v>98</v>
      </c>
      <c r="B36" s="11">
        <v>2015.0</v>
      </c>
      <c r="C36" s="12" t="str">
        <f>VLOOKUP(A36, Regions!A:B, 2, FALSE)
</f>
        <v>Latin America &amp; Caribbean</v>
      </c>
      <c r="D36" s="13">
        <f t="shared" si="1"/>
        <v>5</v>
      </c>
      <c r="E36" s="14">
        <f t="shared" si="2"/>
        <v>2017.5</v>
      </c>
      <c r="F36" s="11" t="s">
        <v>99</v>
      </c>
      <c r="G36" s="11">
        <v>31.24899864</v>
      </c>
      <c r="H36" s="11">
        <v>98.47444474</v>
      </c>
      <c r="I36" s="15">
        <f t="shared" si="3"/>
        <v>98</v>
      </c>
      <c r="J36" s="16" t="str">
        <f t="shared" si="4"/>
        <v/>
      </c>
      <c r="K36" s="16" t="str">
        <f t="shared" si="5"/>
        <v/>
      </c>
      <c r="L36" s="16" t="str">
        <f t="shared" si="6"/>
        <v/>
      </c>
      <c r="M36" s="16" t="str">
        <f t="shared" si="7"/>
        <v>ARC&gt;0</v>
      </c>
      <c r="N36" s="13">
        <f t="shared" si="8"/>
        <v>0.008001136</v>
      </c>
      <c r="O36" s="11">
        <v>0.2674919064</v>
      </c>
      <c r="P36" s="11">
        <v>1.258063351</v>
      </c>
      <c r="Q36" s="11">
        <v>0.0</v>
      </c>
      <c r="S36" s="15">
        <f t="shared" si="9"/>
        <v>0</v>
      </c>
      <c r="T36" s="17" t="str">
        <f t="shared" si="10"/>
        <v/>
      </c>
      <c r="U36" s="17" t="str">
        <f t="shared" si="11"/>
        <v>ARC=0</v>
      </c>
      <c r="V36" s="17" t="str">
        <f t="shared" si="12"/>
        <v/>
      </c>
      <c r="W36" s="17" t="str">
        <f t="shared" si="13"/>
        <v/>
      </c>
      <c r="X36" s="13">
        <f t="shared" si="14"/>
        <v>0</v>
      </c>
      <c r="AC36" s="15">
        <f t="shared" si="15"/>
        <v>0</v>
      </c>
      <c r="AD36" s="16" t="str">
        <f t="shared" si="16"/>
        <v/>
      </c>
      <c r="AE36" s="16" t="str">
        <f t="shared" si="17"/>
        <v>ARC=0</v>
      </c>
      <c r="AF36" s="16" t="str">
        <f t="shared" si="18"/>
        <v/>
      </c>
      <c r="AG36" s="16" t="str">
        <f t="shared" si="19"/>
        <v/>
      </c>
      <c r="AH36" s="13">
        <f t="shared" si="20"/>
        <v>0</v>
      </c>
      <c r="AL36" s="18">
        <f t="shared" si="21"/>
        <v>0</v>
      </c>
    </row>
    <row r="37" ht="15.75" customHeight="1">
      <c r="A37" s="11" t="s">
        <v>98</v>
      </c>
      <c r="B37" s="11">
        <v>2020.0</v>
      </c>
      <c r="C37" s="12" t="str">
        <f>VLOOKUP(A37, Regions!A:B, 2, FALSE)
</f>
        <v>Latin America &amp; Caribbean</v>
      </c>
      <c r="D37" s="13" t="str">
        <f t="shared" si="1"/>
        <v/>
      </c>
      <c r="E37" s="14" t="str">
        <f t="shared" si="2"/>
        <v/>
      </c>
      <c r="F37" s="11" t="s">
        <v>100</v>
      </c>
      <c r="G37" s="11">
        <v>31.19099998</v>
      </c>
      <c r="H37" s="11">
        <v>98.51445042</v>
      </c>
      <c r="I37" s="15">
        <f t="shared" si="3"/>
        <v>99</v>
      </c>
      <c r="J37" s="16" t="str">
        <f t="shared" si="4"/>
        <v/>
      </c>
      <c r="K37" s="16" t="str">
        <f t="shared" si="5"/>
        <v/>
      </c>
      <c r="L37" s="16" t="str">
        <f t="shared" si="6"/>
        <v/>
      </c>
      <c r="M37" s="16" t="str">
        <f t="shared" si="7"/>
        <v>ARC&gt;0</v>
      </c>
      <c r="N37" s="13" t="str">
        <f t="shared" si="8"/>
        <v/>
      </c>
      <c r="O37" s="11">
        <v>0.2676005761</v>
      </c>
      <c r="P37" s="11">
        <v>1.217949005</v>
      </c>
      <c r="Q37" s="11">
        <v>0.0</v>
      </c>
      <c r="S37" s="15">
        <f t="shared" si="9"/>
        <v>0</v>
      </c>
      <c r="T37" s="17" t="str">
        <f t="shared" si="10"/>
        <v/>
      </c>
      <c r="U37" s="17" t="str">
        <f t="shared" si="11"/>
        <v>ARC=0</v>
      </c>
      <c r="V37" s="17" t="str">
        <f t="shared" si="12"/>
        <v/>
      </c>
      <c r="W37" s="17" t="str">
        <f t="shared" si="13"/>
        <v/>
      </c>
      <c r="X37" s="13" t="str">
        <f t="shared" si="14"/>
        <v/>
      </c>
      <c r="AC37" s="15">
        <f t="shared" si="15"/>
        <v>0</v>
      </c>
      <c r="AD37" s="16" t="str">
        <f t="shared" si="16"/>
        <v/>
      </c>
      <c r="AE37" s="16" t="str">
        <f t="shared" si="17"/>
        <v>ARC=0</v>
      </c>
      <c r="AF37" s="16" t="str">
        <f t="shared" si="18"/>
        <v/>
      </c>
      <c r="AG37" s="16" t="str">
        <f t="shared" si="19"/>
        <v/>
      </c>
      <c r="AH37" s="13" t="str">
        <f t="shared" si="20"/>
        <v/>
      </c>
      <c r="AL37" s="18" t="str">
        <f t="shared" si="21"/>
        <v/>
      </c>
    </row>
    <row r="38" ht="15.75" customHeight="1">
      <c r="A38" s="11" t="s">
        <v>101</v>
      </c>
      <c r="B38" s="11">
        <v>2015.0</v>
      </c>
      <c r="C38" s="12" t="str">
        <f>VLOOKUP(A38, Regions!A:B, 2, FALSE)
</f>
        <v>Europe &amp; Central Asia</v>
      </c>
      <c r="D38" s="13">
        <f t="shared" si="1"/>
        <v>5</v>
      </c>
      <c r="E38" s="14">
        <f t="shared" si="2"/>
        <v>2017.5</v>
      </c>
      <c r="F38" s="11" t="s">
        <v>102</v>
      </c>
      <c r="G38" s="11">
        <v>77.18099976</v>
      </c>
      <c r="H38" s="11">
        <v>96.47706709</v>
      </c>
      <c r="I38" s="15">
        <f t="shared" si="3"/>
        <v>96</v>
      </c>
      <c r="J38" s="16" t="str">
        <f t="shared" si="4"/>
        <v/>
      </c>
      <c r="K38" s="16" t="str">
        <f t="shared" si="5"/>
        <v/>
      </c>
      <c r="L38" s="16" t="str">
        <f t="shared" si="6"/>
        <v/>
      </c>
      <c r="M38" s="16" t="str">
        <f t="shared" si="7"/>
        <v>ARC&gt;0</v>
      </c>
      <c r="N38" s="13">
        <f t="shared" si="8"/>
        <v>0.011531798</v>
      </c>
      <c r="O38" s="11">
        <v>3.300130108</v>
      </c>
      <c r="P38" s="11">
        <v>0.2228027995</v>
      </c>
      <c r="Q38" s="11">
        <v>0.0</v>
      </c>
      <c r="R38" s="11">
        <v>98.3306716</v>
      </c>
      <c r="S38" s="15">
        <f t="shared" si="9"/>
        <v>98</v>
      </c>
      <c r="T38" s="17" t="str">
        <f t="shared" si="10"/>
        <v/>
      </c>
      <c r="U38" s="17" t="str">
        <f t="shared" si="11"/>
        <v/>
      </c>
      <c r="V38" s="17" t="str">
        <f t="shared" si="12"/>
        <v/>
      </c>
      <c r="W38" s="17" t="str">
        <f t="shared" si="13"/>
        <v>ARC&gt;0</v>
      </c>
      <c r="X38" s="13">
        <f t="shared" si="14"/>
        <v>0.046690142</v>
      </c>
      <c r="Y38" s="11">
        <v>0.9932391071</v>
      </c>
      <c r="Z38" s="11">
        <v>0.6760892895</v>
      </c>
      <c r="AA38" s="11">
        <v>0.0</v>
      </c>
      <c r="AB38" s="11">
        <v>95.92903518</v>
      </c>
      <c r="AC38" s="15">
        <f t="shared" si="15"/>
        <v>96</v>
      </c>
      <c r="AD38" s="16" t="str">
        <f t="shared" si="16"/>
        <v/>
      </c>
      <c r="AE38" s="16" t="str">
        <f t="shared" si="17"/>
        <v/>
      </c>
      <c r="AF38" s="16" t="str">
        <f t="shared" si="18"/>
        <v/>
      </c>
      <c r="AG38" s="16" t="str">
        <f t="shared" si="19"/>
        <v>ARC&gt;0</v>
      </c>
      <c r="AH38" s="13">
        <f t="shared" si="20"/>
        <v>0.016367688</v>
      </c>
      <c r="AI38" s="11">
        <v>3.982175393</v>
      </c>
      <c r="AJ38" s="11">
        <v>0.08878942383</v>
      </c>
      <c r="AK38" s="11" t="s">
        <v>43</v>
      </c>
      <c r="AL38" s="18">
        <f t="shared" si="21"/>
        <v>0.030322454</v>
      </c>
    </row>
    <row r="39" ht="15.75" customHeight="1">
      <c r="A39" s="11" t="s">
        <v>101</v>
      </c>
      <c r="B39" s="11">
        <v>2020.0</v>
      </c>
      <c r="C39" s="12" t="str">
        <f>VLOOKUP(A39, Regions!A:B, 2, FALSE)
</f>
        <v>Europe &amp; Central Asia</v>
      </c>
      <c r="D39" s="13" t="str">
        <f t="shared" si="1"/>
        <v/>
      </c>
      <c r="E39" s="14" t="str">
        <f t="shared" si="2"/>
        <v/>
      </c>
      <c r="F39" s="11" t="s">
        <v>103</v>
      </c>
      <c r="G39" s="11">
        <v>79.48300171</v>
      </c>
      <c r="H39" s="11">
        <v>96.53472608</v>
      </c>
      <c r="I39" s="15">
        <f t="shared" si="3"/>
        <v>97</v>
      </c>
      <c r="J39" s="16" t="str">
        <f t="shared" si="4"/>
        <v/>
      </c>
      <c r="K39" s="16" t="str">
        <f t="shared" si="5"/>
        <v/>
      </c>
      <c r="L39" s="16" t="str">
        <f t="shared" si="6"/>
        <v/>
      </c>
      <c r="M39" s="16" t="str">
        <f t="shared" si="7"/>
        <v>ARC&gt;0</v>
      </c>
      <c r="N39" s="13" t="str">
        <f t="shared" si="8"/>
        <v/>
      </c>
      <c r="O39" s="11">
        <v>3.37211955</v>
      </c>
      <c r="P39" s="11">
        <v>0.09315436837</v>
      </c>
      <c r="Q39" s="11">
        <v>0.0</v>
      </c>
      <c r="R39" s="11">
        <v>98.56412231</v>
      </c>
      <c r="S39" s="15">
        <f t="shared" si="9"/>
        <v>99</v>
      </c>
      <c r="T39" s="17" t="str">
        <f t="shared" si="10"/>
        <v/>
      </c>
      <c r="U39" s="17" t="str">
        <f t="shared" si="11"/>
        <v/>
      </c>
      <c r="V39" s="17" t="str">
        <f t="shared" si="12"/>
        <v/>
      </c>
      <c r="W39" s="17" t="str">
        <f t="shared" si="13"/>
        <v>ARC&gt;0</v>
      </c>
      <c r="X39" s="13" t="str">
        <f t="shared" si="14"/>
        <v/>
      </c>
      <c r="Y39" s="11">
        <v>0.9955971951</v>
      </c>
      <c r="Z39" s="11">
        <v>0.4402804931</v>
      </c>
      <c r="AA39" s="11">
        <v>0.0</v>
      </c>
      <c r="AB39" s="11">
        <v>96.01087362</v>
      </c>
      <c r="AC39" s="15">
        <f t="shared" si="15"/>
        <v>96</v>
      </c>
      <c r="AD39" s="16" t="str">
        <f t="shared" si="16"/>
        <v/>
      </c>
      <c r="AE39" s="16" t="str">
        <f t="shared" si="17"/>
        <v/>
      </c>
      <c r="AF39" s="16" t="str">
        <f t="shared" si="18"/>
        <v/>
      </c>
      <c r="AG39" s="16" t="str">
        <f t="shared" si="19"/>
        <v>ARC&gt;0</v>
      </c>
      <c r="AH39" s="13" t="str">
        <f t="shared" si="20"/>
        <v/>
      </c>
      <c r="AI39" s="11">
        <v>3.985572644</v>
      </c>
      <c r="AJ39" s="11">
        <v>0.003553731977</v>
      </c>
      <c r="AK39" s="11" t="s">
        <v>43</v>
      </c>
      <c r="AL39" s="18" t="str">
        <f t="shared" si="21"/>
        <v/>
      </c>
    </row>
    <row r="40" ht="15.75" customHeight="1">
      <c r="A40" s="11" t="s">
        <v>104</v>
      </c>
      <c r="B40" s="11">
        <v>2015.0</v>
      </c>
      <c r="C40" s="12" t="str">
        <f>VLOOKUP(A40, Regions!A:B, 2, FALSE)
</f>
        <v>Europe &amp; Central Asia</v>
      </c>
      <c r="D40" s="13">
        <f t="shared" si="1"/>
        <v>5</v>
      </c>
      <c r="E40" s="14">
        <f t="shared" si="2"/>
        <v>2017.5</v>
      </c>
      <c r="F40" s="11" t="s">
        <v>105</v>
      </c>
      <c r="G40" s="11">
        <v>97.87599945</v>
      </c>
      <c r="H40" s="11">
        <v>99.9999977</v>
      </c>
      <c r="I40" s="15">
        <f t="shared" si="3"/>
        <v>100</v>
      </c>
      <c r="J40" s="16" t="str">
        <f t="shared" si="4"/>
        <v>full access</v>
      </c>
      <c r="K40" s="16" t="str">
        <f t="shared" si="5"/>
        <v/>
      </c>
      <c r="L40" s="16" t="str">
        <f t="shared" si="6"/>
        <v/>
      </c>
      <c r="M40" s="16" t="str">
        <f t="shared" si="7"/>
        <v/>
      </c>
      <c r="N40" s="13">
        <f t="shared" si="8"/>
        <v>-0.0000002499999994</v>
      </c>
      <c r="O40" s="11">
        <v>0.0</v>
      </c>
      <c r="P40" s="11">
        <v>2.298024512E-6</v>
      </c>
      <c r="Q40" s="11">
        <v>0.0</v>
      </c>
      <c r="R40" s="11">
        <v>100.0</v>
      </c>
      <c r="S40" s="15">
        <f t="shared" si="9"/>
        <v>100</v>
      </c>
      <c r="T40" s="17" t="str">
        <f t="shared" si="10"/>
        <v>full access</v>
      </c>
      <c r="U40" s="17" t="str">
        <f t="shared" si="11"/>
        <v/>
      </c>
      <c r="V40" s="17" t="str">
        <f t="shared" si="12"/>
        <v/>
      </c>
      <c r="W40" s="17" t="str">
        <f t="shared" si="13"/>
        <v>ARC&gt;0</v>
      </c>
      <c r="X40" s="13">
        <f t="shared" si="14"/>
        <v>0</v>
      </c>
      <c r="Y40" s="11">
        <v>0.0</v>
      </c>
      <c r="Z40" s="11">
        <v>0.0</v>
      </c>
      <c r="AA40" s="11">
        <v>0.0</v>
      </c>
      <c r="AB40" s="11">
        <v>100.0</v>
      </c>
      <c r="AC40" s="15">
        <f t="shared" si="15"/>
        <v>100</v>
      </c>
      <c r="AD40" s="16" t="str">
        <f t="shared" si="16"/>
        <v>full access</v>
      </c>
      <c r="AE40" s="16" t="str">
        <f t="shared" si="17"/>
        <v/>
      </c>
      <c r="AF40" s="16" t="str">
        <f t="shared" si="18"/>
        <v/>
      </c>
      <c r="AG40" s="16" t="str">
        <f t="shared" si="19"/>
        <v>ARC&gt;0</v>
      </c>
      <c r="AH40" s="13">
        <f t="shared" si="20"/>
        <v>0</v>
      </c>
      <c r="AI40" s="11">
        <v>0.0</v>
      </c>
      <c r="AJ40" s="11">
        <v>0.0</v>
      </c>
      <c r="AK40" s="11" t="s">
        <v>43</v>
      </c>
      <c r="AL40" s="18">
        <f t="shared" si="21"/>
        <v>0</v>
      </c>
    </row>
    <row r="41" ht="15.75" customHeight="1">
      <c r="A41" s="11" t="s">
        <v>104</v>
      </c>
      <c r="B41" s="11">
        <v>2020.0</v>
      </c>
      <c r="C41" s="12" t="str">
        <f>VLOOKUP(A41, Regions!A:B, 2, FALSE)
</f>
        <v>Europe &amp; Central Asia</v>
      </c>
      <c r="D41" s="13" t="str">
        <f t="shared" si="1"/>
        <v/>
      </c>
      <c r="E41" s="14" t="str">
        <f t="shared" si="2"/>
        <v/>
      </c>
      <c r="F41" s="11" t="s">
        <v>106</v>
      </c>
      <c r="G41" s="11">
        <v>98.07899475</v>
      </c>
      <c r="H41" s="11">
        <v>99.99999645</v>
      </c>
      <c r="I41" s="15">
        <f t="shared" si="3"/>
        <v>100</v>
      </c>
      <c r="J41" s="16" t="str">
        <f t="shared" si="4"/>
        <v/>
      </c>
      <c r="K41" s="16" t="str">
        <f t="shared" si="5"/>
        <v/>
      </c>
      <c r="L41" s="16" t="str">
        <f t="shared" si="6"/>
        <v/>
      </c>
      <c r="M41" s="16" t="str">
        <f t="shared" si="7"/>
        <v>ARC&gt;0</v>
      </c>
      <c r="N41" s="13" t="str">
        <f t="shared" si="8"/>
        <v/>
      </c>
      <c r="O41" s="11">
        <v>0.0</v>
      </c>
      <c r="P41" s="11">
        <v>3.554796791E-6</v>
      </c>
      <c r="Q41" s="11">
        <v>0.0</v>
      </c>
      <c r="R41" s="11">
        <v>100.0</v>
      </c>
      <c r="S41" s="15">
        <f t="shared" si="9"/>
        <v>100</v>
      </c>
      <c r="T41" s="17" t="str">
        <f t="shared" si="10"/>
        <v/>
      </c>
      <c r="U41" s="17" t="str">
        <f t="shared" si="11"/>
        <v/>
      </c>
      <c r="V41" s="17" t="str">
        <f t="shared" si="12"/>
        <v/>
      </c>
      <c r="W41" s="17" t="str">
        <f t="shared" si="13"/>
        <v>ARC&gt;0</v>
      </c>
      <c r="X41" s="13" t="str">
        <f t="shared" si="14"/>
        <v/>
      </c>
      <c r="Y41" s="11">
        <v>0.0</v>
      </c>
      <c r="Z41" s="11">
        <v>0.0</v>
      </c>
      <c r="AA41" s="11">
        <v>0.0</v>
      </c>
      <c r="AB41" s="11">
        <v>100.0</v>
      </c>
      <c r="AC41" s="15">
        <f t="shared" si="15"/>
        <v>100</v>
      </c>
      <c r="AD41" s="16" t="str">
        <f t="shared" si="16"/>
        <v/>
      </c>
      <c r="AE41" s="16" t="str">
        <f t="shared" si="17"/>
        <v/>
      </c>
      <c r="AF41" s="16" t="str">
        <f t="shared" si="18"/>
        <v/>
      </c>
      <c r="AG41" s="16" t="str">
        <f t="shared" si="19"/>
        <v>ARC&gt;0</v>
      </c>
      <c r="AH41" s="13" t="str">
        <f t="shared" si="20"/>
        <v/>
      </c>
      <c r="AI41" s="11">
        <v>0.0</v>
      </c>
      <c r="AJ41" s="11">
        <v>0.0</v>
      </c>
      <c r="AK41" s="11" t="s">
        <v>43</v>
      </c>
      <c r="AL41" s="18" t="str">
        <f t="shared" si="21"/>
        <v/>
      </c>
    </row>
    <row r="42" ht="15.75" customHeight="1">
      <c r="A42" s="11" t="s">
        <v>107</v>
      </c>
      <c r="B42" s="11">
        <v>2015.0</v>
      </c>
      <c r="C42" s="12" t="str">
        <f>VLOOKUP(A42, Regions!A:B, 2, FALSE)
</f>
        <v>Latin America &amp; Caribbean</v>
      </c>
      <c r="D42" s="13">
        <f t="shared" si="1"/>
        <v>5</v>
      </c>
      <c r="E42" s="14">
        <f t="shared" si="2"/>
        <v>2017.5</v>
      </c>
      <c r="F42" s="11" t="s">
        <v>108</v>
      </c>
      <c r="G42" s="11">
        <v>45.40599823</v>
      </c>
      <c r="H42" s="11">
        <v>97.17559498</v>
      </c>
      <c r="I42" s="15">
        <f t="shared" si="3"/>
        <v>97</v>
      </c>
      <c r="J42" s="16" t="str">
        <f t="shared" si="4"/>
        <v/>
      </c>
      <c r="K42" s="16" t="str">
        <f t="shared" si="5"/>
        <v/>
      </c>
      <c r="L42" s="16" t="str">
        <f t="shared" si="6"/>
        <v/>
      </c>
      <c r="M42" s="16" t="str">
        <f t="shared" si="7"/>
        <v>ARC&gt;0</v>
      </c>
      <c r="N42" s="13">
        <f t="shared" si="8"/>
        <v>0.24527193</v>
      </c>
      <c r="O42" s="11">
        <v>1.227940493</v>
      </c>
      <c r="P42" s="11">
        <v>1.568222535</v>
      </c>
      <c r="Q42" s="11">
        <v>0.02824198817</v>
      </c>
      <c r="R42" s="11">
        <v>95.65383206</v>
      </c>
      <c r="S42" s="15">
        <f t="shared" si="9"/>
        <v>96</v>
      </c>
      <c r="T42" s="17" t="str">
        <f t="shared" si="10"/>
        <v/>
      </c>
      <c r="U42" s="17" t="str">
        <f t="shared" si="11"/>
        <v/>
      </c>
      <c r="V42" s="17" t="str">
        <f t="shared" si="12"/>
        <v/>
      </c>
      <c r="W42" s="17" t="str">
        <f t="shared" si="13"/>
        <v>ARC&gt;0</v>
      </c>
      <c r="X42" s="13">
        <f t="shared" si="14"/>
        <v>0.468275104</v>
      </c>
      <c r="Y42" s="11">
        <v>1.421919005</v>
      </c>
      <c r="Z42" s="11">
        <v>2.872517994</v>
      </c>
      <c r="AA42" s="11">
        <v>0.05173093576</v>
      </c>
      <c r="AB42" s="11">
        <v>99.00529</v>
      </c>
      <c r="AC42" s="15">
        <f t="shared" si="15"/>
        <v>99</v>
      </c>
      <c r="AD42" s="16" t="str">
        <f t="shared" si="16"/>
        <v/>
      </c>
      <c r="AE42" s="16" t="str">
        <f t="shared" si="17"/>
        <v/>
      </c>
      <c r="AF42" s="16" t="str">
        <f t="shared" si="18"/>
        <v/>
      </c>
      <c r="AG42" s="16" t="str">
        <f t="shared" si="19"/>
        <v>ARC&gt;0</v>
      </c>
      <c r="AH42" s="13">
        <f t="shared" si="20"/>
        <v>-0.025266</v>
      </c>
      <c r="AI42" s="11">
        <v>0.99471</v>
      </c>
      <c r="AJ42" s="11">
        <v>0.0</v>
      </c>
      <c r="AK42" s="11" t="s">
        <v>43</v>
      </c>
      <c r="AL42" s="18">
        <f t="shared" si="21"/>
        <v>0.493541104</v>
      </c>
    </row>
    <row r="43" ht="15.75" customHeight="1">
      <c r="A43" s="11" t="s">
        <v>107</v>
      </c>
      <c r="B43" s="11">
        <v>2020.0</v>
      </c>
      <c r="C43" s="12" t="str">
        <f>VLOOKUP(A43, Regions!A:B, 2, FALSE)
</f>
        <v>Latin America &amp; Caribbean</v>
      </c>
      <c r="D43" s="13" t="str">
        <f t="shared" si="1"/>
        <v/>
      </c>
      <c r="E43" s="14" t="str">
        <f t="shared" si="2"/>
        <v/>
      </c>
      <c r="F43" s="11" t="s">
        <v>109</v>
      </c>
      <c r="G43" s="11">
        <v>46.02500153</v>
      </c>
      <c r="H43" s="11">
        <v>98.40195463</v>
      </c>
      <c r="I43" s="15">
        <f t="shared" si="3"/>
        <v>98</v>
      </c>
      <c r="J43" s="16" t="str">
        <f t="shared" si="4"/>
        <v/>
      </c>
      <c r="K43" s="16" t="str">
        <f t="shared" si="5"/>
        <v/>
      </c>
      <c r="L43" s="16" t="str">
        <f t="shared" si="6"/>
        <v/>
      </c>
      <c r="M43" s="16" t="str">
        <f t="shared" si="7"/>
        <v>ARC&gt;0</v>
      </c>
      <c r="N43" s="13" t="str">
        <f t="shared" si="8"/>
        <v/>
      </c>
      <c r="O43" s="11">
        <v>1.249110629</v>
      </c>
      <c r="P43" s="11">
        <v>0.3489347411</v>
      </c>
      <c r="Q43" s="11">
        <v>0.0</v>
      </c>
      <c r="R43" s="11">
        <v>97.99520758</v>
      </c>
      <c r="S43" s="15">
        <f t="shared" si="9"/>
        <v>98</v>
      </c>
      <c r="T43" s="17" t="str">
        <f t="shared" si="10"/>
        <v/>
      </c>
      <c r="U43" s="17" t="str">
        <f t="shared" si="11"/>
        <v/>
      </c>
      <c r="V43" s="17" t="str">
        <f t="shared" si="12"/>
        <v/>
      </c>
      <c r="W43" s="17" t="str">
        <f t="shared" si="13"/>
        <v>ARC&gt;0</v>
      </c>
      <c r="X43" s="13" t="str">
        <f t="shared" si="14"/>
        <v/>
      </c>
      <c r="Y43" s="11">
        <v>1.358317682</v>
      </c>
      <c r="Z43" s="11">
        <v>0.6464747393</v>
      </c>
      <c r="AA43" s="11">
        <v>0.0</v>
      </c>
      <c r="AB43" s="11">
        <v>98.87896</v>
      </c>
      <c r="AC43" s="15">
        <f t="shared" si="15"/>
        <v>99</v>
      </c>
      <c r="AD43" s="16" t="str">
        <f t="shared" si="16"/>
        <v/>
      </c>
      <c r="AE43" s="16" t="str">
        <f t="shared" si="17"/>
        <v/>
      </c>
      <c r="AF43" s="16" t="str">
        <f t="shared" si="18"/>
        <v/>
      </c>
      <c r="AG43" s="16" t="str">
        <f t="shared" si="19"/>
        <v>ARC&gt;0</v>
      </c>
      <c r="AH43" s="13" t="str">
        <f t="shared" si="20"/>
        <v/>
      </c>
      <c r="AI43" s="11">
        <v>1.12104</v>
      </c>
      <c r="AJ43" s="11">
        <v>0.0</v>
      </c>
      <c r="AK43" s="11" t="s">
        <v>43</v>
      </c>
      <c r="AL43" s="18" t="str">
        <f t="shared" si="21"/>
        <v/>
      </c>
    </row>
    <row r="44" ht="15.75" customHeight="1">
      <c r="A44" s="11" t="s">
        <v>110</v>
      </c>
      <c r="B44" s="11">
        <v>2015.0</v>
      </c>
      <c r="C44" s="12" t="str">
        <f>VLOOKUP(A44, Regions!A:B, 2, FALSE)
</f>
        <v>Sub-Saharan Africa</v>
      </c>
      <c r="D44" s="13">
        <f t="shared" si="1"/>
        <v>5</v>
      </c>
      <c r="E44" s="14">
        <f t="shared" si="2"/>
        <v>2017.5</v>
      </c>
      <c r="F44" s="11" t="s">
        <v>111</v>
      </c>
      <c r="G44" s="11">
        <v>45.69500351</v>
      </c>
      <c r="H44" s="11">
        <v>64.7868223</v>
      </c>
      <c r="I44" s="15">
        <f t="shared" si="3"/>
        <v>65</v>
      </c>
      <c r="J44" s="16" t="str">
        <f t="shared" si="4"/>
        <v/>
      </c>
      <c r="K44" s="16" t="str">
        <f t="shared" si="5"/>
        <v/>
      </c>
      <c r="L44" s="16" t="str">
        <f t="shared" si="6"/>
        <v/>
      </c>
      <c r="M44" s="16" t="str">
        <f t="shared" si="7"/>
        <v>ARC&gt;0</v>
      </c>
      <c r="N44" s="13">
        <f t="shared" si="8"/>
        <v>0.125460138</v>
      </c>
      <c r="O44" s="11">
        <v>8.715470654</v>
      </c>
      <c r="P44" s="11">
        <v>21.29846434</v>
      </c>
      <c r="Q44" s="11">
        <v>5.199242713</v>
      </c>
      <c r="R44" s="11">
        <v>56.78435247</v>
      </c>
      <c r="S44" s="15">
        <f t="shared" si="9"/>
        <v>57</v>
      </c>
      <c r="T44" s="17" t="str">
        <f t="shared" si="10"/>
        <v/>
      </c>
      <c r="U44" s="17" t="str">
        <f t="shared" si="11"/>
        <v/>
      </c>
      <c r="V44" s="17" t="str">
        <f t="shared" si="12"/>
        <v/>
      </c>
      <c r="W44" s="17" t="str">
        <f t="shared" si="13"/>
        <v>ARC&gt;0</v>
      </c>
      <c r="X44" s="13">
        <f t="shared" si="14"/>
        <v>0.253583104</v>
      </c>
      <c r="Y44" s="11">
        <v>11.70337067</v>
      </c>
      <c r="Z44" s="11">
        <v>23.77497857</v>
      </c>
      <c r="AA44" s="11">
        <v>7.737298286</v>
      </c>
      <c r="AB44" s="11">
        <v>74.29714256</v>
      </c>
      <c r="AC44" s="15">
        <f t="shared" si="15"/>
        <v>74</v>
      </c>
      <c r="AD44" s="16" t="str">
        <f t="shared" si="16"/>
        <v/>
      </c>
      <c r="AE44" s="16" t="str">
        <f t="shared" si="17"/>
        <v/>
      </c>
      <c r="AF44" s="16" t="str">
        <f t="shared" si="18"/>
        <v/>
      </c>
      <c r="AG44" s="16" t="str">
        <f t="shared" si="19"/>
        <v>ARC&gt;0</v>
      </c>
      <c r="AH44" s="13">
        <f t="shared" si="20"/>
        <v>-0.207828504</v>
      </c>
      <c r="AI44" s="11">
        <v>5.164581154</v>
      </c>
      <c r="AJ44" s="11">
        <v>18.35531753</v>
      </c>
      <c r="AK44" s="11" t="s">
        <v>112</v>
      </c>
      <c r="AL44" s="18">
        <f t="shared" si="21"/>
        <v>0.461411608</v>
      </c>
    </row>
    <row r="45" ht="15.75" customHeight="1">
      <c r="A45" s="11" t="s">
        <v>110</v>
      </c>
      <c r="B45" s="11">
        <v>2020.0</v>
      </c>
      <c r="C45" s="12" t="str">
        <f>VLOOKUP(A45, Regions!A:B, 2, FALSE)
</f>
        <v>Sub-Saharan Africa</v>
      </c>
      <c r="D45" s="13" t="str">
        <f t="shared" si="1"/>
        <v/>
      </c>
      <c r="E45" s="14" t="str">
        <f t="shared" si="2"/>
        <v/>
      </c>
      <c r="F45" s="11" t="s">
        <v>113</v>
      </c>
      <c r="G45" s="11">
        <v>48.4149971</v>
      </c>
      <c r="H45" s="11">
        <v>65.41412299</v>
      </c>
      <c r="I45" s="15">
        <f t="shared" si="3"/>
        <v>65</v>
      </c>
      <c r="J45" s="16" t="str">
        <f t="shared" si="4"/>
        <v/>
      </c>
      <c r="K45" s="16" t="str">
        <f t="shared" si="5"/>
        <v/>
      </c>
      <c r="L45" s="16" t="str">
        <f t="shared" si="6"/>
        <v/>
      </c>
      <c r="M45" s="16" t="str">
        <f t="shared" si="7"/>
        <v>ARC&gt;0</v>
      </c>
      <c r="N45" s="13" t="str">
        <f t="shared" si="8"/>
        <v/>
      </c>
      <c r="O45" s="11">
        <v>9.317535586</v>
      </c>
      <c r="P45" s="11">
        <v>21.97254088</v>
      </c>
      <c r="Q45" s="11">
        <v>3.295800547</v>
      </c>
      <c r="R45" s="11">
        <v>58.05226799</v>
      </c>
      <c r="S45" s="15">
        <f t="shared" si="9"/>
        <v>58</v>
      </c>
      <c r="T45" s="17" t="str">
        <f t="shared" si="10"/>
        <v/>
      </c>
      <c r="U45" s="17" t="str">
        <f t="shared" si="11"/>
        <v/>
      </c>
      <c r="V45" s="17" t="str">
        <f t="shared" si="12"/>
        <v/>
      </c>
      <c r="W45" s="17" t="str">
        <f t="shared" si="13"/>
        <v>ARC&gt;0</v>
      </c>
      <c r="X45" s="13" t="str">
        <f t="shared" si="14"/>
        <v/>
      </c>
      <c r="Y45" s="11">
        <v>12.70520504</v>
      </c>
      <c r="Z45" s="11">
        <v>23.97796833</v>
      </c>
      <c r="AA45" s="11">
        <v>5.264558634</v>
      </c>
      <c r="AB45" s="11">
        <v>73.25800004</v>
      </c>
      <c r="AC45" s="15">
        <f t="shared" si="15"/>
        <v>73</v>
      </c>
      <c r="AD45" s="16" t="str">
        <f t="shared" si="16"/>
        <v/>
      </c>
      <c r="AE45" s="16" t="str">
        <f t="shared" si="17"/>
        <v/>
      </c>
      <c r="AF45" s="16" t="str">
        <f t="shared" si="18"/>
        <v/>
      </c>
      <c r="AG45" s="16" t="str">
        <f t="shared" si="19"/>
        <v>ARC&gt;0</v>
      </c>
      <c r="AH45" s="13" t="str">
        <f t="shared" si="20"/>
        <v/>
      </c>
      <c r="AI45" s="11">
        <v>5.708056353</v>
      </c>
      <c r="AJ45" s="11">
        <v>19.83580681</v>
      </c>
      <c r="AK45" s="11" t="s">
        <v>114</v>
      </c>
      <c r="AL45" s="18" t="str">
        <f t="shared" si="21"/>
        <v/>
      </c>
    </row>
    <row r="46" ht="15.75" customHeight="1">
      <c r="A46" s="11" t="s">
        <v>115</v>
      </c>
      <c r="B46" s="11">
        <v>2015.0</v>
      </c>
      <c r="C46" s="12" t="str">
        <f>VLOOKUP(A46, Regions!A:B, 2, FALSE)
</f>
        <v>North America</v>
      </c>
      <c r="D46" s="13">
        <f t="shared" si="1"/>
        <v>5</v>
      </c>
      <c r="E46" s="14">
        <f t="shared" si="2"/>
        <v>2017.5</v>
      </c>
      <c r="F46" s="11" t="s">
        <v>116</v>
      </c>
      <c r="G46" s="11">
        <v>100.0</v>
      </c>
      <c r="H46" s="11">
        <v>99.90314002</v>
      </c>
      <c r="I46" s="15">
        <f t="shared" si="3"/>
        <v>100</v>
      </c>
      <c r="J46" s="16" t="str">
        <f t="shared" si="4"/>
        <v>full access</v>
      </c>
      <c r="K46" s="16" t="str">
        <f t="shared" si="5"/>
        <v/>
      </c>
      <c r="L46" s="16" t="str">
        <f t="shared" si="6"/>
        <v/>
      </c>
      <c r="M46" s="16" t="str">
        <f t="shared" si="7"/>
        <v/>
      </c>
      <c r="N46" s="13">
        <f t="shared" si="8"/>
        <v>0</v>
      </c>
      <c r="O46" s="11">
        <v>0.0</v>
      </c>
      <c r="P46" s="11">
        <v>0.09685998294</v>
      </c>
      <c r="Q46" s="11">
        <v>0.0</v>
      </c>
      <c r="S46" s="15">
        <f t="shared" si="9"/>
        <v>0</v>
      </c>
      <c r="T46" s="17" t="str">
        <f t="shared" si="10"/>
        <v/>
      </c>
      <c r="U46" s="17" t="str">
        <f t="shared" si="11"/>
        <v>ARC=0</v>
      </c>
      <c r="V46" s="17" t="str">
        <f t="shared" si="12"/>
        <v/>
      </c>
      <c r="W46" s="17" t="str">
        <f t="shared" si="13"/>
        <v/>
      </c>
      <c r="X46" s="13">
        <f t="shared" si="14"/>
        <v>0</v>
      </c>
      <c r="AB46" s="11">
        <v>99.90314002</v>
      </c>
      <c r="AC46" s="15">
        <f t="shared" si="15"/>
        <v>100</v>
      </c>
      <c r="AD46" s="16" t="str">
        <f t="shared" si="16"/>
        <v>full access</v>
      </c>
      <c r="AE46" s="16" t="str">
        <f t="shared" si="17"/>
        <v/>
      </c>
      <c r="AF46" s="16" t="str">
        <f t="shared" si="18"/>
        <v/>
      </c>
      <c r="AG46" s="16" t="str">
        <f t="shared" si="19"/>
        <v>ARC&gt;0</v>
      </c>
      <c r="AH46" s="13">
        <f t="shared" si="20"/>
        <v>0</v>
      </c>
      <c r="AI46" s="11">
        <v>0.0</v>
      </c>
      <c r="AJ46" s="11">
        <v>0.09685998294</v>
      </c>
      <c r="AK46" s="11" t="s">
        <v>43</v>
      </c>
      <c r="AL46" s="18">
        <f t="shared" si="21"/>
        <v>0</v>
      </c>
    </row>
    <row r="47" ht="15.75" customHeight="1">
      <c r="A47" s="11" t="s">
        <v>115</v>
      </c>
      <c r="B47" s="11">
        <v>2020.0</v>
      </c>
      <c r="C47" s="12" t="str">
        <f>VLOOKUP(A47, Regions!A:B, 2, FALSE)
</f>
        <v>North America</v>
      </c>
      <c r="D47" s="13" t="str">
        <f t="shared" si="1"/>
        <v/>
      </c>
      <c r="E47" s="14" t="str">
        <f t="shared" si="2"/>
        <v/>
      </c>
      <c r="F47" s="11" t="s">
        <v>117</v>
      </c>
      <c r="G47" s="11">
        <v>100.0</v>
      </c>
      <c r="H47" s="11">
        <v>99.90314002</v>
      </c>
      <c r="I47" s="15">
        <f t="shared" si="3"/>
        <v>100</v>
      </c>
      <c r="J47" s="16" t="str">
        <f t="shared" si="4"/>
        <v/>
      </c>
      <c r="K47" s="16" t="str">
        <f t="shared" si="5"/>
        <v/>
      </c>
      <c r="L47" s="16" t="str">
        <f t="shared" si="6"/>
        <v/>
      </c>
      <c r="M47" s="16" t="str">
        <f t="shared" si="7"/>
        <v>ARC&gt;0</v>
      </c>
      <c r="N47" s="13" t="str">
        <f t="shared" si="8"/>
        <v/>
      </c>
      <c r="O47" s="11">
        <v>0.0</v>
      </c>
      <c r="P47" s="11">
        <v>0.09685998294</v>
      </c>
      <c r="Q47" s="11">
        <v>0.0</v>
      </c>
      <c r="S47" s="15">
        <f t="shared" si="9"/>
        <v>0</v>
      </c>
      <c r="T47" s="17" t="str">
        <f t="shared" si="10"/>
        <v/>
      </c>
      <c r="U47" s="17" t="str">
        <f t="shared" si="11"/>
        <v>ARC=0</v>
      </c>
      <c r="V47" s="17" t="str">
        <f t="shared" si="12"/>
        <v/>
      </c>
      <c r="W47" s="17" t="str">
        <f t="shared" si="13"/>
        <v/>
      </c>
      <c r="X47" s="13" t="str">
        <f t="shared" si="14"/>
        <v/>
      </c>
      <c r="AB47" s="11">
        <v>99.90314002</v>
      </c>
      <c r="AC47" s="15">
        <f t="shared" si="15"/>
        <v>100</v>
      </c>
      <c r="AD47" s="16" t="str">
        <f t="shared" si="16"/>
        <v/>
      </c>
      <c r="AE47" s="16" t="str">
        <f t="shared" si="17"/>
        <v/>
      </c>
      <c r="AF47" s="16" t="str">
        <f t="shared" si="18"/>
        <v/>
      </c>
      <c r="AG47" s="16" t="str">
        <f t="shared" si="19"/>
        <v>ARC&gt;0</v>
      </c>
      <c r="AH47" s="13" t="str">
        <f t="shared" si="20"/>
        <v/>
      </c>
      <c r="AI47" s="11">
        <v>0.0</v>
      </c>
      <c r="AJ47" s="11">
        <v>0.09685998294</v>
      </c>
      <c r="AK47" s="11" t="s">
        <v>43</v>
      </c>
      <c r="AL47" s="18" t="str">
        <f t="shared" si="21"/>
        <v/>
      </c>
    </row>
    <row r="48" ht="15.75" customHeight="1">
      <c r="A48" s="11" t="s">
        <v>118</v>
      </c>
      <c r="B48" s="11">
        <v>2015.0</v>
      </c>
      <c r="C48" s="12" t="str">
        <f>VLOOKUP(A48, Regions!A:B, 2, FALSE)
</f>
        <v>South Asia</v>
      </c>
      <c r="D48" s="13">
        <f t="shared" si="1"/>
        <v>5</v>
      </c>
      <c r="E48" s="14">
        <f t="shared" si="2"/>
        <v>2017.5</v>
      </c>
      <c r="F48" s="11" t="s">
        <v>119</v>
      </c>
      <c r="G48" s="11">
        <v>38.6780014</v>
      </c>
      <c r="H48" s="11">
        <v>96.22142259</v>
      </c>
      <c r="I48" s="15">
        <f t="shared" si="3"/>
        <v>96</v>
      </c>
      <c r="J48" s="16" t="str">
        <f t="shared" si="4"/>
        <v/>
      </c>
      <c r="K48" s="16" t="str">
        <f t="shared" si="5"/>
        <v/>
      </c>
      <c r="L48" s="16" t="str">
        <f t="shared" si="6"/>
        <v/>
      </c>
      <c r="M48" s="16" t="str">
        <f t="shared" si="7"/>
        <v>ARC&gt;0</v>
      </c>
      <c r="N48" s="13">
        <f t="shared" si="8"/>
        <v>0.218360008</v>
      </c>
      <c r="O48" s="11">
        <v>2.496596292</v>
      </c>
      <c r="P48" s="11">
        <v>0.2961873751</v>
      </c>
      <c r="Q48" s="11">
        <v>0.9857937377</v>
      </c>
      <c r="R48" s="11">
        <v>95.16436295</v>
      </c>
      <c r="S48" s="15">
        <f t="shared" si="9"/>
        <v>95</v>
      </c>
      <c r="T48" s="17" t="str">
        <f t="shared" si="10"/>
        <v/>
      </c>
      <c r="U48" s="17" t="str">
        <f t="shared" si="11"/>
        <v/>
      </c>
      <c r="V48" s="17" t="str">
        <f t="shared" si="12"/>
        <v/>
      </c>
      <c r="W48" s="17" t="str">
        <f t="shared" si="13"/>
        <v>ARC&gt;0</v>
      </c>
      <c r="X48" s="13">
        <f t="shared" si="14"/>
        <v>0.31336614</v>
      </c>
      <c r="Y48" s="11">
        <v>3.215858941</v>
      </c>
      <c r="Z48" s="11">
        <v>0.1935987005</v>
      </c>
      <c r="AA48" s="11">
        <v>1.426179411</v>
      </c>
      <c r="AB48" s="11">
        <v>97.89733678</v>
      </c>
      <c r="AC48" s="15">
        <f t="shared" si="15"/>
        <v>98</v>
      </c>
      <c r="AD48" s="16" t="str">
        <f t="shared" si="16"/>
        <v/>
      </c>
      <c r="AE48" s="16" t="str">
        <f t="shared" si="17"/>
        <v/>
      </c>
      <c r="AF48" s="16" t="str">
        <f t="shared" si="18"/>
        <v/>
      </c>
      <c r="AG48" s="16" t="str">
        <f t="shared" si="19"/>
        <v>ARC&gt;0</v>
      </c>
      <c r="AH48" s="13">
        <f t="shared" si="20"/>
        <v>0.041858342</v>
      </c>
      <c r="AI48" s="11">
        <v>1.356242032</v>
      </c>
      <c r="AJ48" s="11">
        <v>0.4588364885</v>
      </c>
      <c r="AK48" s="11" t="s">
        <v>120</v>
      </c>
      <c r="AL48" s="18">
        <f t="shared" si="21"/>
        <v>0.271507798</v>
      </c>
    </row>
    <row r="49" ht="15.75" customHeight="1">
      <c r="A49" s="11" t="s">
        <v>118</v>
      </c>
      <c r="B49" s="11">
        <v>2020.0</v>
      </c>
      <c r="C49" s="12" t="str">
        <f>VLOOKUP(A49, Regions!A:B, 2, FALSE)
</f>
        <v>South Asia</v>
      </c>
      <c r="D49" s="13" t="str">
        <f t="shared" si="1"/>
        <v/>
      </c>
      <c r="E49" s="14" t="str">
        <f t="shared" si="2"/>
        <v/>
      </c>
      <c r="F49" s="11" t="s">
        <v>121</v>
      </c>
      <c r="G49" s="11">
        <v>42.31599808</v>
      </c>
      <c r="H49" s="11">
        <v>97.31322263</v>
      </c>
      <c r="I49" s="15">
        <f t="shared" si="3"/>
        <v>97</v>
      </c>
      <c r="J49" s="16" t="str">
        <f t="shared" si="4"/>
        <v/>
      </c>
      <c r="K49" s="16" t="str">
        <f t="shared" si="5"/>
        <v/>
      </c>
      <c r="L49" s="16" t="str">
        <f t="shared" si="6"/>
        <v/>
      </c>
      <c r="M49" s="16" t="str">
        <f t="shared" si="7"/>
        <v>ARC&gt;0</v>
      </c>
      <c r="N49" s="13" t="str">
        <f t="shared" si="8"/>
        <v/>
      </c>
      <c r="O49" s="11">
        <v>2.460712607</v>
      </c>
      <c r="P49" s="11">
        <v>0.1764242183</v>
      </c>
      <c r="Q49" s="11">
        <v>0.04964054142</v>
      </c>
      <c r="R49" s="11">
        <v>96.73119365</v>
      </c>
      <c r="S49" s="15">
        <f t="shared" si="9"/>
        <v>97</v>
      </c>
      <c r="T49" s="17" t="str">
        <f t="shared" si="10"/>
        <v/>
      </c>
      <c r="U49" s="17" t="str">
        <f t="shared" si="11"/>
        <v/>
      </c>
      <c r="V49" s="17" t="str">
        <f t="shared" si="12"/>
        <v/>
      </c>
      <c r="W49" s="17" t="str">
        <f t="shared" si="13"/>
        <v>ARC&gt;0</v>
      </c>
      <c r="X49" s="13" t="str">
        <f t="shared" si="14"/>
        <v/>
      </c>
      <c r="Y49" s="11">
        <v>3.268806351</v>
      </c>
      <c r="Z49" s="11">
        <v>0.0</v>
      </c>
      <c r="AA49" s="11">
        <v>0.0</v>
      </c>
      <c r="AB49" s="11">
        <v>98.10662849</v>
      </c>
      <c r="AC49" s="15">
        <f t="shared" si="15"/>
        <v>98</v>
      </c>
      <c r="AD49" s="16" t="str">
        <f t="shared" si="16"/>
        <v/>
      </c>
      <c r="AE49" s="16" t="str">
        <f t="shared" si="17"/>
        <v/>
      </c>
      <c r="AF49" s="16" t="str">
        <f t="shared" si="18"/>
        <v/>
      </c>
      <c r="AG49" s="16" t="str">
        <f t="shared" si="19"/>
        <v>ARC&gt;0</v>
      </c>
      <c r="AH49" s="13" t="str">
        <f t="shared" si="20"/>
        <v/>
      </c>
      <c r="AI49" s="11">
        <v>1.3591415</v>
      </c>
      <c r="AJ49" s="11">
        <v>0.4169208475</v>
      </c>
      <c r="AK49" s="11" t="s">
        <v>122</v>
      </c>
      <c r="AL49" s="18" t="str">
        <f t="shared" si="21"/>
        <v/>
      </c>
    </row>
    <row r="50" ht="15.75" customHeight="1">
      <c r="A50" s="11" t="s">
        <v>123</v>
      </c>
      <c r="B50" s="11">
        <v>2015.0</v>
      </c>
      <c r="C50" s="12" t="str">
        <f>VLOOKUP(A50, Regions!A:B, 2, FALSE)
</f>
        <v>Latin America &amp; Caribbean</v>
      </c>
      <c r="D50" s="13">
        <f t="shared" si="1"/>
        <v>5</v>
      </c>
      <c r="E50" s="14">
        <f t="shared" si="2"/>
        <v>2017.5</v>
      </c>
      <c r="F50" s="11" t="s">
        <v>124</v>
      </c>
      <c r="G50" s="11">
        <v>68.39299774</v>
      </c>
      <c r="H50" s="11">
        <v>90.46214101</v>
      </c>
      <c r="I50" s="15">
        <f t="shared" si="3"/>
        <v>90</v>
      </c>
      <c r="J50" s="16" t="str">
        <f t="shared" si="4"/>
        <v/>
      </c>
      <c r="K50" s="16" t="str">
        <f t="shared" si="5"/>
        <v/>
      </c>
      <c r="L50" s="16" t="str">
        <f t="shared" si="6"/>
        <v/>
      </c>
      <c r="M50" s="16" t="str">
        <f t="shared" si="7"/>
        <v>ARC&gt;0</v>
      </c>
      <c r="N50" s="13">
        <f t="shared" si="8"/>
        <v>0.585586124</v>
      </c>
      <c r="O50" s="11">
        <v>0.1728983981</v>
      </c>
      <c r="P50" s="11">
        <v>2.832457169</v>
      </c>
      <c r="Q50" s="11">
        <v>6.532503425</v>
      </c>
      <c r="R50" s="11">
        <v>73.7401802</v>
      </c>
      <c r="S50" s="15">
        <f t="shared" si="9"/>
        <v>74</v>
      </c>
      <c r="T50" s="17" t="str">
        <f t="shared" si="10"/>
        <v/>
      </c>
      <c r="U50" s="17" t="str">
        <f t="shared" si="11"/>
        <v/>
      </c>
      <c r="V50" s="17" t="str">
        <f t="shared" si="12"/>
        <v/>
      </c>
      <c r="W50" s="17" t="str">
        <f t="shared" si="13"/>
        <v>ARC&gt;0</v>
      </c>
      <c r="X50" s="13">
        <f t="shared" si="14"/>
        <v>1.239292526</v>
      </c>
      <c r="Y50" s="11">
        <v>0.3399687838</v>
      </c>
      <c r="Z50" s="11">
        <v>5.911800536</v>
      </c>
      <c r="AA50" s="11">
        <v>20.00805048</v>
      </c>
      <c r="AB50" s="11">
        <v>98.18999708</v>
      </c>
      <c r="AC50" s="15">
        <f t="shared" si="15"/>
        <v>98</v>
      </c>
      <c r="AD50" s="16" t="str">
        <f t="shared" si="16"/>
        <v/>
      </c>
      <c r="AE50" s="16" t="str">
        <f t="shared" si="17"/>
        <v/>
      </c>
      <c r="AF50" s="16" t="str">
        <f t="shared" si="18"/>
        <v/>
      </c>
      <c r="AG50" s="16" t="str">
        <f t="shared" si="19"/>
        <v>ARC&gt;0</v>
      </c>
      <c r="AH50" s="13">
        <f t="shared" si="20"/>
        <v>0.186424248</v>
      </c>
      <c r="AI50" s="11">
        <v>0.0956888341</v>
      </c>
      <c r="AJ50" s="11">
        <v>1.40937247</v>
      </c>
      <c r="AK50" s="11" t="s">
        <v>125</v>
      </c>
      <c r="AL50" s="18">
        <f t="shared" si="21"/>
        <v>1.052868278</v>
      </c>
    </row>
    <row r="51" ht="15.75" customHeight="1">
      <c r="A51" s="11" t="s">
        <v>123</v>
      </c>
      <c r="B51" s="11">
        <v>2020.0</v>
      </c>
      <c r="C51" s="12" t="str">
        <f>VLOOKUP(A51, Regions!A:B, 2, FALSE)
</f>
        <v>Latin America &amp; Caribbean</v>
      </c>
      <c r="D51" s="13" t="str">
        <f t="shared" si="1"/>
        <v/>
      </c>
      <c r="E51" s="14" t="str">
        <f t="shared" si="2"/>
        <v/>
      </c>
      <c r="F51" s="11" t="s">
        <v>126</v>
      </c>
      <c r="G51" s="11">
        <v>70.1230011</v>
      </c>
      <c r="H51" s="11">
        <v>93.39007163</v>
      </c>
      <c r="I51" s="15">
        <f t="shared" si="3"/>
        <v>93</v>
      </c>
      <c r="J51" s="16" t="str">
        <f t="shared" si="4"/>
        <v/>
      </c>
      <c r="K51" s="16" t="str">
        <f t="shared" si="5"/>
        <v/>
      </c>
      <c r="L51" s="16" t="str">
        <f t="shared" si="6"/>
        <v/>
      </c>
      <c r="M51" s="16" t="str">
        <f t="shared" si="7"/>
        <v>ARC&gt;0</v>
      </c>
      <c r="N51" s="13" t="str">
        <f t="shared" si="8"/>
        <v/>
      </c>
      <c r="O51" s="11">
        <v>0.1365905296</v>
      </c>
      <c r="P51" s="11">
        <v>1.575010843</v>
      </c>
      <c r="Q51" s="11">
        <v>4.898326997</v>
      </c>
      <c r="R51" s="11">
        <v>79.93664283</v>
      </c>
      <c r="S51" s="15">
        <f t="shared" si="9"/>
        <v>80</v>
      </c>
      <c r="T51" s="17" t="str">
        <f t="shared" si="10"/>
        <v/>
      </c>
      <c r="U51" s="17" t="str">
        <f t="shared" si="11"/>
        <v/>
      </c>
      <c r="V51" s="17" t="str">
        <f t="shared" si="12"/>
        <v/>
      </c>
      <c r="W51" s="17" t="str">
        <f t="shared" si="13"/>
        <v>ARC&gt;0</v>
      </c>
      <c r="X51" s="13" t="str">
        <f t="shared" si="14"/>
        <v/>
      </c>
      <c r="Y51" s="11">
        <v>0.2447364082</v>
      </c>
      <c r="Z51" s="11">
        <v>3.954133693</v>
      </c>
      <c r="AA51" s="11">
        <v>15.86448707</v>
      </c>
      <c r="AB51" s="11">
        <v>99.12211832</v>
      </c>
      <c r="AC51" s="15">
        <f t="shared" si="15"/>
        <v>99</v>
      </c>
      <c r="AD51" s="16" t="str">
        <f t="shared" si="16"/>
        <v/>
      </c>
      <c r="AE51" s="16" t="str">
        <f t="shared" si="17"/>
        <v/>
      </c>
      <c r="AF51" s="16" t="str">
        <f t="shared" si="18"/>
        <v/>
      </c>
      <c r="AG51" s="16" t="str">
        <f t="shared" si="19"/>
        <v>ARC&gt;0</v>
      </c>
      <c r="AH51" s="13" t="str">
        <f t="shared" si="20"/>
        <v/>
      </c>
      <c r="AI51" s="11">
        <v>0.09051328947</v>
      </c>
      <c r="AJ51" s="11">
        <v>0.5613453808</v>
      </c>
      <c r="AK51" s="11" t="s">
        <v>127</v>
      </c>
      <c r="AL51" s="18" t="str">
        <f t="shared" si="21"/>
        <v/>
      </c>
    </row>
    <row r="52" ht="15.75" customHeight="1">
      <c r="A52" s="11" t="s">
        <v>128</v>
      </c>
      <c r="B52" s="11">
        <v>2015.0</v>
      </c>
      <c r="C52" s="12" t="str">
        <f>VLOOKUP(A52, Regions!A:B, 2, FALSE)
</f>
        <v>Europe &amp; Central Asia</v>
      </c>
      <c r="D52" s="13">
        <f t="shared" si="1"/>
        <v>5</v>
      </c>
      <c r="E52" s="14">
        <f t="shared" si="2"/>
        <v>2017.5</v>
      </c>
      <c r="F52" s="11" t="s">
        <v>129</v>
      </c>
      <c r="G52" s="11">
        <v>47.17299652</v>
      </c>
      <c r="H52" s="11">
        <v>96.15984418</v>
      </c>
      <c r="I52" s="15">
        <f t="shared" si="3"/>
        <v>96</v>
      </c>
      <c r="J52" s="16" t="str">
        <f t="shared" si="4"/>
        <v/>
      </c>
      <c r="K52" s="16" t="str">
        <f t="shared" si="5"/>
        <v/>
      </c>
      <c r="L52" s="16" t="str">
        <f t="shared" si="6"/>
        <v/>
      </c>
      <c r="M52" s="16" t="str">
        <f t="shared" si="7"/>
        <v>ARC&gt;0</v>
      </c>
      <c r="N52" s="13">
        <f t="shared" si="8"/>
        <v>-0.009189312</v>
      </c>
      <c r="O52" s="11">
        <v>3.780069975</v>
      </c>
      <c r="P52" s="11">
        <v>0.06008584857</v>
      </c>
      <c r="Q52" s="11">
        <v>0.0</v>
      </c>
      <c r="R52" s="11">
        <v>97.33333333</v>
      </c>
      <c r="S52" s="15">
        <f t="shared" si="9"/>
        <v>97</v>
      </c>
      <c r="T52" s="17" t="str">
        <f t="shared" si="10"/>
        <v/>
      </c>
      <c r="U52" s="17" t="str">
        <f t="shared" si="11"/>
        <v/>
      </c>
      <c r="V52" s="17" t="str">
        <f t="shared" si="12"/>
        <v/>
      </c>
      <c r="W52" s="17" t="str">
        <f t="shared" si="13"/>
        <v>ARC&gt;0</v>
      </c>
      <c r="X52" s="13">
        <f t="shared" si="14"/>
        <v>0</v>
      </c>
      <c r="Y52" s="11">
        <v>2.666666667</v>
      </c>
      <c r="Z52" s="11">
        <v>0.0</v>
      </c>
      <c r="AA52" s="11">
        <v>0.0</v>
      </c>
      <c r="AB52" s="11">
        <v>94.8457044</v>
      </c>
      <c r="AC52" s="15">
        <f t="shared" si="15"/>
        <v>95</v>
      </c>
      <c r="AD52" s="16" t="str">
        <f t="shared" si="16"/>
        <v/>
      </c>
      <c r="AE52" s="16" t="str">
        <f t="shared" si="17"/>
        <v/>
      </c>
      <c r="AF52" s="16" t="str">
        <f t="shared" si="18"/>
        <v/>
      </c>
      <c r="AG52" s="16" t="str">
        <f t="shared" si="19"/>
        <v>ARC&gt;0</v>
      </c>
      <c r="AH52" s="13">
        <f t="shared" si="20"/>
        <v>0</v>
      </c>
      <c r="AI52" s="11">
        <v>5.026922206</v>
      </c>
      <c r="AJ52" s="11">
        <v>0.1273733928</v>
      </c>
      <c r="AK52" s="11" t="s">
        <v>43</v>
      </c>
      <c r="AL52" s="18">
        <f t="shared" si="21"/>
        <v>0</v>
      </c>
    </row>
    <row r="53" ht="15.75" customHeight="1">
      <c r="A53" s="11" t="s">
        <v>128</v>
      </c>
      <c r="B53" s="11">
        <v>2020.0</v>
      </c>
      <c r="C53" s="12" t="str">
        <f>VLOOKUP(A53, Regions!A:B, 2, FALSE)
</f>
        <v>Europe &amp; Central Asia</v>
      </c>
      <c r="D53" s="13" t="str">
        <f t="shared" si="1"/>
        <v/>
      </c>
      <c r="E53" s="14" t="str">
        <f t="shared" si="2"/>
        <v/>
      </c>
      <c r="F53" s="11" t="s">
        <v>130</v>
      </c>
      <c r="G53" s="11">
        <v>49.02000046</v>
      </c>
      <c r="H53" s="11">
        <v>96.11389762</v>
      </c>
      <c r="I53" s="15">
        <f t="shared" si="3"/>
        <v>96</v>
      </c>
      <c r="J53" s="16" t="str">
        <f t="shared" si="4"/>
        <v/>
      </c>
      <c r="K53" s="16" t="str">
        <f t="shared" si="5"/>
        <v/>
      </c>
      <c r="L53" s="16" t="str">
        <f t="shared" si="6"/>
        <v/>
      </c>
      <c r="M53" s="16" t="str">
        <f t="shared" si="7"/>
        <v>ARC&gt;0</v>
      </c>
      <c r="N53" s="13" t="str">
        <f t="shared" si="8"/>
        <v/>
      </c>
      <c r="O53" s="11">
        <v>3.823663938</v>
      </c>
      <c r="P53" s="11">
        <v>0.06243843752</v>
      </c>
      <c r="Q53" s="11">
        <v>0.0</v>
      </c>
      <c r="R53" s="11">
        <v>97.33333333</v>
      </c>
      <c r="S53" s="15">
        <f t="shared" si="9"/>
        <v>97</v>
      </c>
      <c r="T53" s="17" t="str">
        <f t="shared" si="10"/>
        <v/>
      </c>
      <c r="U53" s="17" t="str">
        <f t="shared" si="11"/>
        <v/>
      </c>
      <c r="V53" s="17" t="str">
        <f t="shared" si="12"/>
        <v/>
      </c>
      <c r="W53" s="17" t="str">
        <f t="shared" si="13"/>
        <v>ARC&gt;0</v>
      </c>
      <c r="X53" s="13" t="str">
        <f t="shared" si="14"/>
        <v/>
      </c>
      <c r="Y53" s="11">
        <v>2.666666667</v>
      </c>
      <c r="Z53" s="11">
        <v>0.0</v>
      </c>
      <c r="AA53" s="11">
        <v>0.0</v>
      </c>
      <c r="AB53" s="11">
        <v>94.8457044</v>
      </c>
      <c r="AC53" s="15">
        <f t="shared" si="15"/>
        <v>95</v>
      </c>
      <c r="AD53" s="16" t="str">
        <f t="shared" si="16"/>
        <v/>
      </c>
      <c r="AE53" s="16" t="str">
        <f t="shared" si="17"/>
        <v/>
      </c>
      <c r="AF53" s="16" t="str">
        <f t="shared" si="18"/>
        <v/>
      </c>
      <c r="AG53" s="16" t="str">
        <f t="shared" si="19"/>
        <v>ARC&gt;0</v>
      </c>
      <c r="AH53" s="13" t="str">
        <f t="shared" si="20"/>
        <v/>
      </c>
      <c r="AI53" s="11">
        <v>5.026922206</v>
      </c>
      <c r="AJ53" s="11">
        <v>0.1273733928</v>
      </c>
      <c r="AK53" s="11" t="s">
        <v>43</v>
      </c>
      <c r="AL53" s="18" t="str">
        <f t="shared" si="21"/>
        <v/>
      </c>
    </row>
    <row r="54" ht="15.75" customHeight="1">
      <c r="A54" s="11" t="s">
        <v>131</v>
      </c>
      <c r="B54" s="11">
        <v>2015.0</v>
      </c>
      <c r="C54" s="12" t="str">
        <f>VLOOKUP(A54, Regions!A:B, 2, FALSE)
</f>
        <v>Sub-Saharan Africa</v>
      </c>
      <c r="D54" s="13">
        <f t="shared" si="1"/>
        <v>5</v>
      </c>
      <c r="E54" s="14">
        <f t="shared" si="2"/>
        <v>2017.5</v>
      </c>
      <c r="F54" s="11" t="s">
        <v>132</v>
      </c>
      <c r="G54" s="11">
        <v>67.15499878</v>
      </c>
      <c r="H54" s="11">
        <v>88.44628953</v>
      </c>
      <c r="I54" s="15">
        <f t="shared" si="3"/>
        <v>88</v>
      </c>
      <c r="J54" s="16" t="str">
        <f t="shared" si="4"/>
        <v/>
      </c>
      <c r="K54" s="16" t="str">
        <f t="shared" si="5"/>
        <v/>
      </c>
      <c r="L54" s="16" t="str">
        <f t="shared" si="6"/>
        <v/>
      </c>
      <c r="M54" s="16" t="str">
        <f t="shared" si="7"/>
        <v>ARC&gt;0</v>
      </c>
      <c r="N54" s="13">
        <f t="shared" si="8"/>
        <v>0.753454708</v>
      </c>
      <c r="O54" s="11">
        <v>8.41061416</v>
      </c>
      <c r="P54" s="11">
        <v>1.578349601</v>
      </c>
      <c r="Q54" s="11">
        <v>1.564746708</v>
      </c>
      <c r="R54" s="11">
        <v>71.89253383</v>
      </c>
      <c r="S54" s="15">
        <f t="shared" si="9"/>
        <v>72</v>
      </c>
      <c r="T54" s="17" t="str">
        <f t="shared" si="10"/>
        <v/>
      </c>
      <c r="U54" s="17" t="str">
        <f t="shared" si="11"/>
        <v/>
      </c>
      <c r="V54" s="17" t="str">
        <f t="shared" si="12"/>
        <v/>
      </c>
      <c r="W54" s="17" t="str">
        <f t="shared" si="13"/>
        <v>ARC&gt;0</v>
      </c>
      <c r="X54" s="13">
        <f t="shared" si="14"/>
        <v>1.430238006</v>
      </c>
      <c r="Y54" s="11">
        <v>21.78932755</v>
      </c>
      <c r="Z54" s="11">
        <v>1.854197906</v>
      </c>
      <c r="AA54" s="11">
        <v>4.463940709</v>
      </c>
      <c r="AB54" s="11">
        <v>96.54260258</v>
      </c>
      <c r="AC54" s="15">
        <f t="shared" si="15"/>
        <v>97</v>
      </c>
      <c r="AD54" s="16" t="str">
        <f t="shared" si="16"/>
        <v/>
      </c>
      <c r="AE54" s="16" t="str">
        <f t="shared" si="17"/>
        <v/>
      </c>
      <c r="AF54" s="16" t="str">
        <f t="shared" si="18"/>
        <v/>
      </c>
      <c r="AG54" s="16" t="str">
        <f t="shared" si="19"/>
        <v>ARC&gt;0</v>
      </c>
      <c r="AH54" s="13">
        <f t="shared" si="20"/>
        <v>0.2164756</v>
      </c>
      <c r="AI54" s="11">
        <v>1.867186166</v>
      </c>
      <c r="AJ54" s="11">
        <v>1.443438497</v>
      </c>
      <c r="AK54" s="11" t="s">
        <v>133</v>
      </c>
      <c r="AL54" s="18">
        <f t="shared" si="21"/>
        <v>1.213762406</v>
      </c>
    </row>
    <row r="55" ht="15.75" customHeight="1">
      <c r="A55" s="11" t="s">
        <v>131</v>
      </c>
      <c r="B55" s="11">
        <v>2020.0</v>
      </c>
      <c r="C55" s="12" t="str">
        <f>VLOOKUP(A55, Regions!A:B, 2, FALSE)
</f>
        <v>Sub-Saharan Africa</v>
      </c>
      <c r="D55" s="13" t="str">
        <f t="shared" si="1"/>
        <v/>
      </c>
      <c r="E55" s="14" t="str">
        <f t="shared" si="2"/>
        <v/>
      </c>
      <c r="F55" s="11" t="s">
        <v>134</v>
      </c>
      <c r="G55" s="11">
        <v>70.8769989</v>
      </c>
      <c r="H55" s="11">
        <v>92.21356307</v>
      </c>
      <c r="I55" s="15">
        <f t="shared" si="3"/>
        <v>92</v>
      </c>
      <c r="J55" s="16" t="str">
        <f t="shared" si="4"/>
        <v/>
      </c>
      <c r="K55" s="16" t="str">
        <f t="shared" si="5"/>
        <v/>
      </c>
      <c r="L55" s="16" t="str">
        <f t="shared" si="6"/>
        <v/>
      </c>
      <c r="M55" s="16" t="str">
        <f t="shared" si="7"/>
        <v>ARC&gt;0</v>
      </c>
      <c r="N55" s="13" t="str">
        <f t="shared" si="8"/>
        <v/>
      </c>
      <c r="O55" s="11">
        <v>4.72303897</v>
      </c>
      <c r="P55" s="11">
        <v>1.732526476</v>
      </c>
      <c r="Q55" s="11">
        <v>1.330871481</v>
      </c>
      <c r="R55" s="11">
        <v>79.04372386</v>
      </c>
      <c r="S55" s="15">
        <f t="shared" si="9"/>
        <v>79</v>
      </c>
      <c r="T55" s="17" t="str">
        <f t="shared" si="10"/>
        <v/>
      </c>
      <c r="U55" s="17" t="str">
        <f t="shared" si="11"/>
        <v/>
      </c>
      <c r="V55" s="17" t="str">
        <f t="shared" si="12"/>
        <v/>
      </c>
      <c r="W55" s="17" t="str">
        <f t="shared" si="13"/>
        <v>ARC&gt;0</v>
      </c>
      <c r="X55" s="13" t="str">
        <f t="shared" si="14"/>
        <v/>
      </c>
      <c r="Y55" s="11">
        <v>15.15494718</v>
      </c>
      <c r="Z55" s="11">
        <v>1.596119156</v>
      </c>
      <c r="AA55" s="11">
        <v>4.20520981</v>
      </c>
      <c r="AB55" s="11">
        <v>97.62498058</v>
      </c>
      <c r="AC55" s="15">
        <f t="shared" si="15"/>
        <v>98</v>
      </c>
      <c r="AD55" s="16" t="str">
        <f t="shared" si="16"/>
        <v/>
      </c>
      <c r="AE55" s="16" t="str">
        <f t="shared" si="17"/>
        <v/>
      </c>
      <c r="AF55" s="16" t="str">
        <f t="shared" si="18"/>
        <v/>
      </c>
      <c r="AG55" s="16" t="str">
        <f t="shared" si="19"/>
        <v>ARC&gt;0</v>
      </c>
      <c r="AH55" s="13" t="str">
        <f t="shared" si="20"/>
        <v/>
      </c>
      <c r="AI55" s="11">
        <v>0.4366200322</v>
      </c>
      <c r="AJ55" s="11">
        <v>1.788579159</v>
      </c>
      <c r="AK55" s="11" t="s">
        <v>135</v>
      </c>
      <c r="AL55" s="18" t="str">
        <f t="shared" si="21"/>
        <v/>
      </c>
    </row>
    <row r="56" ht="15.75" customHeight="1">
      <c r="A56" s="11" t="s">
        <v>136</v>
      </c>
      <c r="B56" s="11">
        <v>2015.0</v>
      </c>
      <c r="C56" s="12" t="str">
        <f>VLOOKUP(A56, Regions!A:B, 2, FALSE)
</f>
        <v>Latin America &amp; Caribbean</v>
      </c>
      <c r="D56" s="13">
        <f t="shared" si="1"/>
        <v>5</v>
      </c>
      <c r="E56" s="14">
        <f t="shared" si="2"/>
        <v>2017.5</v>
      </c>
      <c r="F56" s="11" t="s">
        <v>137</v>
      </c>
      <c r="G56" s="11">
        <v>85.77000427</v>
      </c>
      <c r="H56" s="11">
        <v>97.80356759</v>
      </c>
      <c r="I56" s="15">
        <f t="shared" si="3"/>
        <v>98</v>
      </c>
      <c r="J56" s="16" t="str">
        <f t="shared" si="4"/>
        <v/>
      </c>
      <c r="K56" s="16" t="str">
        <f t="shared" si="5"/>
        <v/>
      </c>
      <c r="L56" s="16" t="str">
        <f t="shared" si="6"/>
        <v/>
      </c>
      <c r="M56" s="16" t="str">
        <f t="shared" si="7"/>
        <v>ARC&gt;0</v>
      </c>
      <c r="N56" s="13">
        <f t="shared" si="8"/>
        <v>0.30345708</v>
      </c>
      <c r="O56" s="11">
        <v>0.5795000229</v>
      </c>
      <c r="P56" s="11">
        <v>0.4749657091</v>
      </c>
      <c r="Q56" s="11">
        <v>1.141966676</v>
      </c>
      <c r="R56" s="11">
        <v>88.75602818</v>
      </c>
      <c r="S56" s="15">
        <f t="shared" si="9"/>
        <v>89</v>
      </c>
      <c r="T56" s="17" t="str">
        <f t="shared" si="10"/>
        <v/>
      </c>
      <c r="U56" s="17" t="str">
        <f t="shared" si="11"/>
        <v/>
      </c>
      <c r="V56" s="17" t="str">
        <f t="shared" si="12"/>
        <v/>
      </c>
      <c r="W56" s="17" t="str">
        <f t="shared" si="13"/>
        <v>ARC&gt;0</v>
      </c>
      <c r="X56" s="13">
        <f t="shared" si="14"/>
        <v>1.43784627</v>
      </c>
      <c r="Y56" s="11">
        <v>2.853773578</v>
      </c>
      <c r="Z56" s="11">
        <v>0.3651342381</v>
      </c>
      <c r="AA56" s="11">
        <v>8.025064008</v>
      </c>
      <c r="AB56" s="11">
        <v>99.30463102</v>
      </c>
      <c r="AC56" s="15">
        <f t="shared" si="15"/>
        <v>99</v>
      </c>
      <c r="AD56" s="16" t="str">
        <f t="shared" si="16"/>
        <v/>
      </c>
      <c r="AE56" s="16" t="str">
        <f t="shared" si="17"/>
        <v/>
      </c>
      <c r="AF56" s="16" t="str">
        <f t="shared" si="18"/>
        <v/>
      </c>
      <c r="AG56" s="16" t="str">
        <f t="shared" si="19"/>
        <v>ARC&gt;0</v>
      </c>
      <c r="AH56" s="13">
        <f t="shared" si="20"/>
        <v>0.103474058</v>
      </c>
      <c r="AI56" s="11">
        <v>0.2021779344</v>
      </c>
      <c r="AJ56" s="11">
        <v>0.4931910454</v>
      </c>
      <c r="AK56" s="11" t="s">
        <v>43</v>
      </c>
      <c r="AL56" s="18">
        <f t="shared" si="21"/>
        <v>1.334372212</v>
      </c>
    </row>
    <row r="57" ht="15.75" customHeight="1">
      <c r="A57" s="11" t="s">
        <v>136</v>
      </c>
      <c r="B57" s="11">
        <v>2020.0</v>
      </c>
      <c r="C57" s="12" t="str">
        <f>VLOOKUP(A57, Regions!A:B, 2, FALSE)
</f>
        <v>Latin America &amp; Caribbean</v>
      </c>
      <c r="D57" s="13" t="str">
        <f t="shared" si="1"/>
        <v/>
      </c>
      <c r="E57" s="14" t="str">
        <f t="shared" si="2"/>
        <v/>
      </c>
      <c r="F57" s="11" t="s">
        <v>138</v>
      </c>
      <c r="G57" s="11">
        <v>87.07299805</v>
      </c>
      <c r="H57" s="11">
        <v>99.32085299</v>
      </c>
      <c r="I57" s="15">
        <f t="shared" si="3"/>
        <v>99</v>
      </c>
      <c r="J57" s="16" t="str">
        <f t="shared" si="4"/>
        <v/>
      </c>
      <c r="K57" s="16" t="str">
        <f t="shared" si="5"/>
        <v/>
      </c>
      <c r="L57" s="16" t="str">
        <f t="shared" si="6"/>
        <v/>
      </c>
      <c r="M57" s="16" t="str">
        <f t="shared" si="7"/>
        <v>ARC&gt;0</v>
      </c>
      <c r="N57" s="13" t="str">
        <f t="shared" si="8"/>
        <v/>
      </c>
      <c r="O57" s="11">
        <v>0.1265490039</v>
      </c>
      <c r="P57" s="11">
        <v>0.5525980099</v>
      </c>
      <c r="R57" s="11">
        <v>95.94525953</v>
      </c>
      <c r="S57" s="15">
        <f t="shared" si="9"/>
        <v>96</v>
      </c>
      <c r="T57" s="17" t="str">
        <f t="shared" si="10"/>
        <v/>
      </c>
      <c r="U57" s="17" t="str">
        <f t="shared" si="11"/>
        <v/>
      </c>
      <c r="V57" s="17" t="str">
        <f t="shared" si="12"/>
        <v/>
      </c>
      <c r="W57" s="17" t="str">
        <f t="shared" si="13"/>
        <v>ARC&gt;0</v>
      </c>
      <c r="X57" s="13" t="str">
        <f t="shared" si="14"/>
        <v/>
      </c>
      <c r="Y57" s="11">
        <v>0.9789509154</v>
      </c>
      <c r="Z57" s="11">
        <v>3.075789551</v>
      </c>
      <c r="AB57" s="11">
        <v>99.82200131</v>
      </c>
      <c r="AC57" s="15">
        <f t="shared" si="15"/>
        <v>100</v>
      </c>
      <c r="AD57" s="16" t="str">
        <f t="shared" si="16"/>
        <v/>
      </c>
      <c r="AE57" s="16" t="str">
        <f t="shared" si="17"/>
        <v/>
      </c>
      <c r="AF57" s="16" t="str">
        <f t="shared" si="18"/>
        <v/>
      </c>
      <c r="AG57" s="16" t="str">
        <f t="shared" si="19"/>
        <v>ARC&gt;0</v>
      </c>
      <c r="AH57" s="13" t="str">
        <f t="shared" si="20"/>
        <v/>
      </c>
      <c r="AI57" s="11">
        <v>0.0</v>
      </c>
      <c r="AJ57" s="11">
        <v>0.1779986949</v>
      </c>
      <c r="AK57" s="11" t="s">
        <v>43</v>
      </c>
      <c r="AL57" s="18" t="str">
        <f t="shared" si="21"/>
        <v/>
      </c>
    </row>
    <row r="58" ht="15.75" customHeight="1">
      <c r="A58" s="11" t="s">
        <v>139</v>
      </c>
      <c r="B58" s="11">
        <v>2015.0</v>
      </c>
      <c r="C58" s="12" t="str">
        <f>VLOOKUP(A58, Regions!A:B, 2, FALSE)
</f>
        <v>Latin America &amp; Caribbean</v>
      </c>
      <c r="D58" s="13">
        <f t="shared" si="1"/>
        <v>5</v>
      </c>
      <c r="E58" s="14">
        <f t="shared" si="2"/>
        <v>2017.5</v>
      </c>
      <c r="F58" s="11" t="s">
        <v>140</v>
      </c>
      <c r="G58" s="11">
        <v>46.58300018</v>
      </c>
      <c r="H58" s="11">
        <v>99.86438356</v>
      </c>
      <c r="I58" s="15">
        <f t="shared" si="3"/>
        <v>100</v>
      </c>
      <c r="J58" s="16" t="str">
        <f t="shared" si="4"/>
        <v>full access</v>
      </c>
      <c r="K58" s="16" t="str">
        <f t="shared" si="5"/>
        <v/>
      </c>
      <c r="L58" s="16" t="str">
        <f t="shared" si="6"/>
        <v/>
      </c>
      <c r="M58" s="16" t="str">
        <f t="shared" si="7"/>
        <v/>
      </c>
      <c r="N58" s="13">
        <f t="shared" si="8"/>
        <v>0</v>
      </c>
      <c r="O58" s="11">
        <v>0.0</v>
      </c>
      <c r="P58" s="11">
        <v>0.1356164384</v>
      </c>
      <c r="Q58" s="11">
        <v>0.0</v>
      </c>
      <c r="S58" s="15">
        <f t="shared" si="9"/>
        <v>0</v>
      </c>
      <c r="T58" s="17" t="str">
        <f t="shared" si="10"/>
        <v/>
      </c>
      <c r="U58" s="17" t="str">
        <f t="shared" si="11"/>
        <v>ARC=0</v>
      </c>
      <c r="V58" s="17" t="str">
        <f t="shared" si="12"/>
        <v/>
      </c>
      <c r="W58" s="17" t="str">
        <f t="shared" si="13"/>
        <v/>
      </c>
      <c r="X58" s="13">
        <f t="shared" si="14"/>
        <v>0</v>
      </c>
      <c r="AC58" s="15">
        <f t="shared" si="15"/>
        <v>0</v>
      </c>
      <c r="AD58" s="16" t="str">
        <f t="shared" si="16"/>
        <v/>
      </c>
      <c r="AE58" s="16" t="str">
        <f t="shared" si="17"/>
        <v>ARC=0</v>
      </c>
      <c r="AF58" s="16" t="str">
        <f t="shared" si="18"/>
        <v/>
      </c>
      <c r="AG58" s="16" t="str">
        <f t="shared" si="19"/>
        <v/>
      </c>
      <c r="AH58" s="13">
        <f t="shared" si="20"/>
        <v>0</v>
      </c>
      <c r="AL58" s="18">
        <f t="shared" si="21"/>
        <v>0</v>
      </c>
    </row>
    <row r="59" ht="15.75" customHeight="1">
      <c r="A59" s="11" t="s">
        <v>139</v>
      </c>
      <c r="B59" s="11">
        <v>2020.0</v>
      </c>
      <c r="C59" s="12" t="str">
        <f>VLOOKUP(A59, Regions!A:B, 2, FALSE)
</f>
        <v>Latin America &amp; Caribbean</v>
      </c>
      <c r="D59" s="13" t="str">
        <f t="shared" si="1"/>
        <v/>
      </c>
      <c r="E59" s="14" t="str">
        <f t="shared" si="2"/>
        <v/>
      </c>
      <c r="F59" s="11" t="s">
        <v>141</v>
      </c>
      <c r="G59" s="11">
        <v>48.51499939</v>
      </c>
      <c r="H59" s="11">
        <v>99.86438356</v>
      </c>
      <c r="I59" s="15">
        <f t="shared" si="3"/>
        <v>100</v>
      </c>
      <c r="J59" s="16" t="str">
        <f t="shared" si="4"/>
        <v/>
      </c>
      <c r="K59" s="16" t="str">
        <f t="shared" si="5"/>
        <v/>
      </c>
      <c r="L59" s="16" t="str">
        <f t="shared" si="6"/>
        <v/>
      </c>
      <c r="M59" s="16" t="str">
        <f t="shared" si="7"/>
        <v>ARC&gt;0</v>
      </c>
      <c r="N59" s="13" t="str">
        <f t="shared" si="8"/>
        <v/>
      </c>
      <c r="O59" s="11">
        <v>0.0</v>
      </c>
      <c r="P59" s="11">
        <v>0.1356164384</v>
      </c>
      <c r="Q59" s="11">
        <v>0.0</v>
      </c>
      <c r="S59" s="15">
        <f t="shared" si="9"/>
        <v>0</v>
      </c>
      <c r="T59" s="17" t="str">
        <f t="shared" si="10"/>
        <v/>
      </c>
      <c r="U59" s="17" t="str">
        <f t="shared" si="11"/>
        <v>ARC=0</v>
      </c>
      <c r="V59" s="17" t="str">
        <f t="shared" si="12"/>
        <v/>
      </c>
      <c r="W59" s="17" t="str">
        <f t="shared" si="13"/>
        <v/>
      </c>
      <c r="X59" s="13" t="str">
        <f t="shared" si="14"/>
        <v/>
      </c>
      <c r="AC59" s="15">
        <f t="shared" si="15"/>
        <v>0</v>
      </c>
      <c r="AD59" s="16" t="str">
        <f t="shared" si="16"/>
        <v/>
      </c>
      <c r="AE59" s="16" t="str">
        <f t="shared" si="17"/>
        <v>ARC=0</v>
      </c>
      <c r="AF59" s="16" t="str">
        <f t="shared" si="18"/>
        <v/>
      </c>
      <c r="AG59" s="16" t="str">
        <f t="shared" si="19"/>
        <v/>
      </c>
      <c r="AH59" s="13" t="str">
        <f t="shared" si="20"/>
        <v/>
      </c>
      <c r="AL59" s="18" t="str">
        <f t="shared" si="21"/>
        <v/>
      </c>
    </row>
    <row r="60" ht="15.75" customHeight="1">
      <c r="A60" s="11" t="s">
        <v>142</v>
      </c>
      <c r="B60" s="11">
        <v>2015.0</v>
      </c>
      <c r="C60" s="12" t="str">
        <f>VLOOKUP(A60, Regions!A:B, 2, FALSE)
</f>
        <v>East Asia &amp; Pacific</v>
      </c>
      <c r="D60" s="13">
        <f t="shared" si="1"/>
        <v>5</v>
      </c>
      <c r="E60" s="14">
        <f t="shared" si="2"/>
        <v>2017.5</v>
      </c>
      <c r="F60" s="11" t="s">
        <v>143</v>
      </c>
      <c r="G60" s="11">
        <v>76.66299438</v>
      </c>
      <c r="H60" s="11">
        <v>99.50997616</v>
      </c>
      <c r="I60" s="15">
        <f t="shared" si="3"/>
        <v>100</v>
      </c>
      <c r="J60" s="16" t="str">
        <f t="shared" si="4"/>
        <v>full access</v>
      </c>
      <c r="K60" s="16" t="str">
        <f t="shared" si="5"/>
        <v/>
      </c>
      <c r="L60" s="16" t="str">
        <f t="shared" si="6"/>
        <v/>
      </c>
      <c r="M60" s="16" t="str">
        <f t="shared" si="7"/>
        <v/>
      </c>
      <c r="N60" s="13">
        <f t="shared" si="8"/>
        <v>0.078012128</v>
      </c>
      <c r="O60" s="11">
        <v>0.0</v>
      </c>
      <c r="P60" s="11">
        <v>0.3966758338</v>
      </c>
      <c r="Q60" s="11">
        <v>0.09334800295</v>
      </c>
      <c r="R60" s="11">
        <v>99.05</v>
      </c>
      <c r="S60" s="15">
        <f t="shared" si="9"/>
        <v>99</v>
      </c>
      <c r="T60" s="17" t="str">
        <f t="shared" si="10"/>
        <v/>
      </c>
      <c r="U60" s="17" t="str">
        <f t="shared" si="11"/>
        <v/>
      </c>
      <c r="V60" s="17" t="str">
        <f t="shared" si="12"/>
        <v/>
      </c>
      <c r="W60" s="17" t="str">
        <f t="shared" si="13"/>
        <v>ARC&gt;0</v>
      </c>
      <c r="X60" s="13">
        <f t="shared" si="14"/>
        <v>-19.81</v>
      </c>
      <c r="Y60" s="11">
        <v>0.0</v>
      </c>
      <c r="Z60" s="11">
        <v>0.55</v>
      </c>
      <c r="AA60" s="11">
        <v>0.4</v>
      </c>
      <c r="AB60" s="11">
        <v>99.65</v>
      </c>
      <c r="AC60" s="15">
        <f t="shared" si="15"/>
        <v>100</v>
      </c>
      <c r="AD60" s="16" t="str">
        <f t="shared" si="16"/>
        <v>full access</v>
      </c>
      <c r="AE60" s="16" t="str">
        <f t="shared" si="17"/>
        <v/>
      </c>
      <c r="AF60" s="16" t="str">
        <f t="shared" si="18"/>
        <v/>
      </c>
      <c r="AG60" s="16" t="str">
        <f t="shared" si="19"/>
        <v>ARC&gt;0</v>
      </c>
      <c r="AH60" s="13">
        <f t="shared" si="20"/>
        <v>0</v>
      </c>
      <c r="AI60" s="11">
        <v>0.0</v>
      </c>
      <c r="AJ60" s="11">
        <v>0.35</v>
      </c>
      <c r="AK60" s="11" t="s">
        <v>43</v>
      </c>
      <c r="AL60" s="18">
        <f t="shared" si="21"/>
        <v>-19.81</v>
      </c>
    </row>
    <row r="61" ht="15.75" customHeight="1">
      <c r="A61" s="11" t="s">
        <v>142</v>
      </c>
      <c r="B61" s="11">
        <v>2020.0</v>
      </c>
      <c r="C61" s="12" t="str">
        <f>VLOOKUP(A61, Regions!A:B, 2, FALSE)
</f>
        <v>East Asia &amp; Pacific</v>
      </c>
      <c r="D61" s="13" t="str">
        <f t="shared" si="1"/>
        <v/>
      </c>
      <c r="E61" s="14" t="str">
        <f t="shared" si="2"/>
        <v/>
      </c>
      <c r="F61" s="11" t="s">
        <v>144</v>
      </c>
      <c r="G61" s="11">
        <v>78.25000763</v>
      </c>
      <c r="H61" s="11">
        <v>99.9000368</v>
      </c>
      <c r="I61" s="15">
        <f t="shared" si="3"/>
        <v>100</v>
      </c>
      <c r="J61" s="16" t="str">
        <f t="shared" si="4"/>
        <v/>
      </c>
      <c r="K61" s="16" t="str">
        <f t="shared" si="5"/>
        <v/>
      </c>
      <c r="L61" s="16" t="str">
        <f t="shared" si="6"/>
        <v/>
      </c>
      <c r="M61" s="16" t="str">
        <f t="shared" si="7"/>
        <v>ARC&gt;0</v>
      </c>
      <c r="N61" s="13" t="str">
        <f t="shared" si="8"/>
        <v/>
      </c>
      <c r="O61" s="11">
        <v>0.0</v>
      </c>
      <c r="P61" s="11">
        <v>0.09996320036</v>
      </c>
      <c r="Q61" s="11">
        <v>0.0</v>
      </c>
      <c r="S61" s="15">
        <f t="shared" si="9"/>
        <v>0</v>
      </c>
      <c r="T61" s="17" t="str">
        <f t="shared" si="10"/>
        <v/>
      </c>
      <c r="U61" s="17" t="str">
        <f t="shared" si="11"/>
        <v>ARC=0</v>
      </c>
      <c r="V61" s="17" t="str">
        <f t="shared" si="12"/>
        <v/>
      </c>
      <c r="W61" s="17" t="str">
        <f t="shared" si="13"/>
        <v/>
      </c>
      <c r="X61" s="13" t="str">
        <f t="shared" si="14"/>
        <v/>
      </c>
      <c r="AB61" s="11">
        <v>99.65</v>
      </c>
      <c r="AC61" s="15">
        <f t="shared" si="15"/>
        <v>100</v>
      </c>
      <c r="AD61" s="16" t="str">
        <f t="shared" si="16"/>
        <v/>
      </c>
      <c r="AE61" s="16" t="str">
        <f t="shared" si="17"/>
        <v/>
      </c>
      <c r="AF61" s="16" t="str">
        <f t="shared" si="18"/>
        <v/>
      </c>
      <c r="AG61" s="16" t="str">
        <f t="shared" si="19"/>
        <v>ARC&gt;0</v>
      </c>
      <c r="AH61" s="13" t="str">
        <f t="shared" si="20"/>
        <v/>
      </c>
      <c r="AI61" s="11">
        <v>0.0</v>
      </c>
      <c r="AJ61" s="11">
        <v>0.35</v>
      </c>
      <c r="AK61" s="11" t="s">
        <v>43</v>
      </c>
      <c r="AL61" s="18" t="str">
        <f t="shared" si="21"/>
        <v/>
      </c>
    </row>
    <row r="62" ht="15.75" customHeight="1">
      <c r="A62" s="11" t="s">
        <v>145</v>
      </c>
      <c r="B62" s="11">
        <v>2015.0</v>
      </c>
      <c r="C62" s="12" t="str">
        <f>VLOOKUP(A62, Regions!A:B, 2, FALSE)
</f>
        <v>Europe &amp; Central Asia</v>
      </c>
      <c r="D62" s="13">
        <f t="shared" si="1"/>
        <v>5</v>
      </c>
      <c r="E62" s="14">
        <f t="shared" si="2"/>
        <v>2017.5</v>
      </c>
      <c r="F62" s="11" t="s">
        <v>146</v>
      </c>
      <c r="G62" s="11">
        <v>73.98999786</v>
      </c>
      <c r="H62" s="11">
        <v>99.19632731</v>
      </c>
      <c r="I62" s="15">
        <f t="shared" si="3"/>
        <v>99</v>
      </c>
      <c r="J62" s="16" t="str">
        <f t="shared" si="4"/>
        <v/>
      </c>
      <c r="K62" s="16" t="str">
        <f t="shared" si="5"/>
        <v/>
      </c>
      <c r="L62" s="16" t="str">
        <f t="shared" si="6"/>
        <v/>
      </c>
      <c r="M62" s="16" t="str">
        <f t="shared" si="7"/>
        <v>ARC&gt;0</v>
      </c>
      <c r="N62" s="13">
        <f t="shared" si="8"/>
        <v>-0.036982074</v>
      </c>
      <c r="O62" s="11">
        <v>0.0</v>
      </c>
      <c r="P62" s="11">
        <v>0.8036726905</v>
      </c>
      <c r="Q62" s="11">
        <v>0.0</v>
      </c>
      <c r="R62" s="11">
        <v>98.01614034</v>
      </c>
      <c r="S62" s="15">
        <f t="shared" si="9"/>
        <v>98</v>
      </c>
      <c r="T62" s="17" t="str">
        <f t="shared" si="10"/>
        <v/>
      </c>
      <c r="U62" s="17" t="str">
        <f t="shared" si="11"/>
        <v/>
      </c>
      <c r="V62" s="17" t="str">
        <f t="shared" si="12"/>
        <v/>
      </c>
      <c r="W62" s="17" t="str">
        <f t="shared" si="13"/>
        <v>ARC&gt;0</v>
      </c>
      <c r="X62" s="13">
        <f t="shared" si="14"/>
        <v>-0.122970474</v>
      </c>
      <c r="Y62" s="11">
        <v>0.0</v>
      </c>
      <c r="Z62" s="11">
        <v>1.98385966</v>
      </c>
      <c r="AA62" s="11">
        <v>0.0</v>
      </c>
      <c r="AB62" s="11">
        <v>99.61120772</v>
      </c>
      <c r="AC62" s="15">
        <f t="shared" si="15"/>
        <v>100</v>
      </c>
      <c r="AD62" s="16" t="str">
        <f t="shared" si="16"/>
        <v>full access</v>
      </c>
      <c r="AE62" s="16" t="str">
        <f t="shared" si="17"/>
        <v/>
      </c>
      <c r="AF62" s="16" t="str">
        <f t="shared" si="18"/>
        <v/>
      </c>
      <c r="AG62" s="16" t="str">
        <f t="shared" si="19"/>
        <v>ARC&gt;0</v>
      </c>
      <c r="AH62" s="13">
        <f t="shared" si="20"/>
        <v>-0.016507464</v>
      </c>
      <c r="AI62" s="11">
        <v>0.0</v>
      </c>
      <c r="AJ62" s="11">
        <v>0.3887922761</v>
      </c>
      <c r="AK62" s="11" t="s">
        <v>43</v>
      </c>
      <c r="AL62" s="18">
        <f t="shared" si="21"/>
        <v>-0.10646301</v>
      </c>
    </row>
    <row r="63" ht="15.75" customHeight="1">
      <c r="A63" s="11" t="s">
        <v>145</v>
      </c>
      <c r="B63" s="11">
        <v>2020.0</v>
      </c>
      <c r="C63" s="12" t="str">
        <f>VLOOKUP(A63, Regions!A:B, 2, FALSE)
</f>
        <v>Europe &amp; Central Asia</v>
      </c>
      <c r="D63" s="13" t="str">
        <f t="shared" si="1"/>
        <v/>
      </c>
      <c r="E63" s="14" t="str">
        <f t="shared" si="2"/>
        <v/>
      </c>
      <c r="F63" s="11" t="s">
        <v>147</v>
      </c>
      <c r="G63" s="11">
        <v>75.68599701</v>
      </c>
      <c r="H63" s="11">
        <v>99.01141694</v>
      </c>
      <c r="I63" s="15">
        <f t="shared" si="3"/>
        <v>99</v>
      </c>
      <c r="J63" s="16" t="str">
        <f t="shared" si="4"/>
        <v/>
      </c>
      <c r="K63" s="16" t="str">
        <f t="shared" si="5"/>
        <v/>
      </c>
      <c r="L63" s="16" t="str">
        <f t="shared" si="6"/>
        <v/>
      </c>
      <c r="M63" s="16" t="str">
        <f t="shared" si="7"/>
        <v>ARC&gt;0</v>
      </c>
      <c r="N63" s="13" t="str">
        <f t="shared" si="8"/>
        <v/>
      </c>
      <c r="O63" s="11">
        <v>0.0</v>
      </c>
      <c r="P63" s="11">
        <v>0.9885830607</v>
      </c>
      <c r="Q63" s="11">
        <v>0.0</v>
      </c>
      <c r="R63" s="11">
        <v>97.40128797</v>
      </c>
      <c r="S63" s="15">
        <f t="shared" si="9"/>
        <v>97</v>
      </c>
      <c r="T63" s="17" t="str">
        <f t="shared" si="10"/>
        <v/>
      </c>
      <c r="U63" s="17" t="str">
        <f t="shared" si="11"/>
        <v/>
      </c>
      <c r="V63" s="17" t="str">
        <f t="shared" si="12"/>
        <v/>
      </c>
      <c r="W63" s="17" t="str">
        <f t="shared" si="13"/>
        <v>ARC&gt;0</v>
      </c>
      <c r="X63" s="13" t="str">
        <f t="shared" si="14"/>
        <v/>
      </c>
      <c r="Y63" s="11">
        <v>0.0</v>
      </c>
      <c r="Z63" s="11">
        <v>2.598712031</v>
      </c>
      <c r="AA63" s="11">
        <v>0.0</v>
      </c>
      <c r="AB63" s="11">
        <v>99.5286704</v>
      </c>
      <c r="AC63" s="15">
        <f t="shared" si="15"/>
        <v>100</v>
      </c>
      <c r="AD63" s="16" t="str">
        <f t="shared" si="16"/>
        <v/>
      </c>
      <c r="AE63" s="16" t="str">
        <f t="shared" si="17"/>
        <v/>
      </c>
      <c r="AF63" s="16" t="str">
        <f t="shared" si="18"/>
        <v/>
      </c>
      <c r="AG63" s="16" t="str">
        <f t="shared" si="19"/>
        <v>ARC&gt;0</v>
      </c>
      <c r="AH63" s="13" t="str">
        <f t="shared" si="20"/>
        <v/>
      </c>
      <c r="AI63" s="11">
        <v>0.0</v>
      </c>
      <c r="AJ63" s="11">
        <v>0.4713296007</v>
      </c>
      <c r="AK63" s="11" t="s">
        <v>43</v>
      </c>
      <c r="AL63" s="18" t="str">
        <f t="shared" si="21"/>
        <v/>
      </c>
    </row>
    <row r="64" ht="15.75" customHeight="1">
      <c r="A64" s="11" t="s">
        <v>148</v>
      </c>
      <c r="B64" s="11">
        <v>2015.0</v>
      </c>
      <c r="C64" s="12" t="str">
        <f>VLOOKUP(A64, Regions!A:B, 2, FALSE)
</f>
        <v>Sub-Saharan Africa</v>
      </c>
      <c r="D64" s="13">
        <f t="shared" si="1"/>
        <v>5</v>
      </c>
      <c r="E64" s="14">
        <f t="shared" si="2"/>
        <v>2017.5</v>
      </c>
      <c r="F64" s="11" t="s">
        <v>149</v>
      </c>
      <c r="G64" s="11">
        <v>27.53000069</v>
      </c>
      <c r="H64" s="11">
        <v>50.13713109</v>
      </c>
      <c r="I64" s="15">
        <f t="shared" si="3"/>
        <v>50</v>
      </c>
      <c r="J64" s="16" t="str">
        <f t="shared" si="4"/>
        <v/>
      </c>
      <c r="K64" s="16" t="str">
        <f t="shared" si="5"/>
        <v/>
      </c>
      <c r="L64" s="16" t="str">
        <f t="shared" si="6"/>
        <v/>
      </c>
      <c r="M64" s="16" t="str">
        <f t="shared" si="7"/>
        <v>ARC&gt;0</v>
      </c>
      <c r="N64" s="13">
        <f t="shared" si="8"/>
        <v>-0.584455326</v>
      </c>
      <c r="O64" s="11">
        <v>25.67354095</v>
      </c>
      <c r="P64" s="11">
        <v>22.43017891</v>
      </c>
      <c r="Q64" s="11">
        <v>1.759149043</v>
      </c>
      <c r="R64" s="11">
        <v>38.8551637</v>
      </c>
      <c r="S64" s="15">
        <f t="shared" si="9"/>
        <v>39</v>
      </c>
      <c r="T64" s="17" t="str">
        <f t="shared" si="10"/>
        <v/>
      </c>
      <c r="U64" s="17" t="str">
        <f t="shared" si="11"/>
        <v/>
      </c>
      <c r="V64" s="17" t="str">
        <f t="shared" si="12"/>
        <v/>
      </c>
      <c r="W64" s="17" t="str">
        <f t="shared" si="13"/>
        <v>ARC&gt;0</v>
      </c>
      <c r="X64" s="13">
        <f t="shared" si="14"/>
        <v>-1.22738096</v>
      </c>
      <c r="Y64" s="11">
        <v>30.20218489</v>
      </c>
      <c r="Z64" s="11">
        <v>28.6486943</v>
      </c>
      <c r="AA64" s="11">
        <v>2.293957106</v>
      </c>
      <c r="AB64" s="11">
        <v>79.83579216</v>
      </c>
      <c r="AC64" s="15">
        <f t="shared" si="15"/>
        <v>80</v>
      </c>
      <c r="AD64" s="16" t="str">
        <f t="shared" si="16"/>
        <v/>
      </c>
      <c r="AE64" s="16" t="str">
        <f t="shared" si="17"/>
        <v/>
      </c>
      <c r="AF64" s="16" t="str">
        <f t="shared" si="18"/>
        <v/>
      </c>
      <c r="AG64" s="16" t="str">
        <f t="shared" si="19"/>
        <v>ARC&gt;0</v>
      </c>
      <c r="AH64" s="13">
        <f t="shared" si="20"/>
        <v>0.049225276</v>
      </c>
      <c r="AI64" s="11">
        <v>13.75233459</v>
      </c>
      <c r="AJ64" s="11">
        <v>6.060553432</v>
      </c>
      <c r="AK64" s="11" t="s">
        <v>150</v>
      </c>
      <c r="AL64" s="18">
        <f t="shared" si="21"/>
        <v>-1.276606236</v>
      </c>
    </row>
    <row r="65" ht="15.75" customHeight="1">
      <c r="A65" s="11" t="s">
        <v>148</v>
      </c>
      <c r="B65" s="11">
        <v>2020.0</v>
      </c>
      <c r="C65" s="12" t="str">
        <f>VLOOKUP(A65, Regions!A:B, 2, FALSE)
</f>
        <v>Sub-Saharan Africa</v>
      </c>
      <c r="D65" s="13" t="str">
        <f t="shared" si="1"/>
        <v/>
      </c>
      <c r="E65" s="14" t="str">
        <f t="shared" si="2"/>
        <v/>
      </c>
      <c r="F65" s="11" t="s">
        <v>151</v>
      </c>
      <c r="G65" s="11">
        <v>30.60700035</v>
      </c>
      <c r="H65" s="11">
        <v>47.21485446</v>
      </c>
      <c r="I65" s="15">
        <f t="shared" si="3"/>
        <v>47</v>
      </c>
      <c r="J65" s="16" t="str">
        <f t="shared" si="4"/>
        <v/>
      </c>
      <c r="K65" s="16" t="str">
        <f t="shared" si="5"/>
        <v/>
      </c>
      <c r="L65" s="16" t="str">
        <f t="shared" si="6"/>
        <v/>
      </c>
      <c r="M65" s="16" t="str">
        <f t="shared" si="7"/>
        <v>ARC&gt;0</v>
      </c>
      <c r="N65" s="13" t="str">
        <f t="shared" si="8"/>
        <v/>
      </c>
      <c r="O65" s="11">
        <v>31.2730034</v>
      </c>
      <c r="P65" s="11">
        <v>21.15863263</v>
      </c>
      <c r="Q65" s="11">
        <v>0.3535095024</v>
      </c>
      <c r="R65" s="11">
        <v>32.7182589</v>
      </c>
      <c r="S65" s="15">
        <f t="shared" si="9"/>
        <v>33</v>
      </c>
      <c r="T65" s="17" t="str">
        <f t="shared" si="10"/>
        <v/>
      </c>
      <c r="U65" s="17" t="str">
        <f t="shared" si="11"/>
        <v/>
      </c>
      <c r="V65" s="17" t="str">
        <f t="shared" si="12"/>
        <v/>
      </c>
      <c r="W65" s="17" t="str">
        <f t="shared" si="13"/>
        <v>ARC&gt;0</v>
      </c>
      <c r="X65" s="13" t="str">
        <f t="shared" si="14"/>
        <v/>
      </c>
      <c r="Y65" s="11">
        <v>38.62690254</v>
      </c>
      <c r="Z65" s="11">
        <v>28.3404457</v>
      </c>
      <c r="AA65" s="11">
        <v>0.3143928626</v>
      </c>
      <c r="AB65" s="11">
        <v>80.08191854</v>
      </c>
      <c r="AC65" s="15">
        <f t="shared" si="15"/>
        <v>80</v>
      </c>
      <c r="AD65" s="16" t="str">
        <f t="shared" si="16"/>
        <v/>
      </c>
      <c r="AE65" s="16" t="str">
        <f t="shared" si="17"/>
        <v/>
      </c>
      <c r="AF65" s="16" t="str">
        <f t="shared" si="18"/>
        <v/>
      </c>
      <c r="AG65" s="16" t="str">
        <f t="shared" si="19"/>
        <v>ARC&gt;0</v>
      </c>
      <c r="AH65" s="13" t="str">
        <f t="shared" si="20"/>
        <v/>
      </c>
      <c r="AI65" s="11">
        <v>14.60004919</v>
      </c>
      <c r="AJ65" s="11">
        <v>4.875836487</v>
      </c>
      <c r="AK65" s="11" t="s">
        <v>152</v>
      </c>
      <c r="AL65" s="18" t="str">
        <f t="shared" si="21"/>
        <v/>
      </c>
    </row>
    <row r="66" ht="15.75" customHeight="1">
      <c r="A66" s="11" t="s">
        <v>153</v>
      </c>
      <c r="B66" s="11">
        <v>2015.0</v>
      </c>
      <c r="C66" s="12" t="str">
        <f>VLOOKUP(A66, Regions!A:B, 2, FALSE)
</f>
        <v>Sub-Saharan Africa</v>
      </c>
      <c r="D66" s="13">
        <f t="shared" si="1"/>
        <v>5</v>
      </c>
      <c r="E66" s="14">
        <f t="shared" si="2"/>
        <v>2017.5</v>
      </c>
      <c r="F66" s="11" t="s">
        <v>154</v>
      </c>
      <c r="G66" s="11">
        <v>12.07800007</v>
      </c>
      <c r="H66" s="11">
        <v>59.58146925</v>
      </c>
      <c r="I66" s="15">
        <f t="shared" si="3"/>
        <v>60</v>
      </c>
      <c r="J66" s="16" t="str">
        <f t="shared" si="4"/>
        <v/>
      </c>
      <c r="K66" s="16" t="str">
        <f t="shared" si="5"/>
        <v/>
      </c>
      <c r="L66" s="16" t="str">
        <f t="shared" si="6"/>
        <v/>
      </c>
      <c r="M66" s="16" t="str">
        <f t="shared" si="7"/>
        <v>ARC&gt;0</v>
      </c>
      <c r="N66" s="13">
        <f t="shared" si="8"/>
        <v>0.5251306</v>
      </c>
      <c r="O66" s="11">
        <v>19.53889184</v>
      </c>
      <c r="P66" s="11">
        <v>14.86499258</v>
      </c>
      <c r="Q66" s="11">
        <v>6.01464634</v>
      </c>
      <c r="R66" s="11">
        <v>55.55826691</v>
      </c>
      <c r="S66" s="15">
        <f t="shared" si="9"/>
        <v>56</v>
      </c>
      <c r="T66" s="17" t="str">
        <f t="shared" si="10"/>
        <v/>
      </c>
      <c r="U66" s="17" t="str">
        <f t="shared" si="11"/>
        <v/>
      </c>
      <c r="V66" s="17" t="str">
        <f t="shared" si="12"/>
        <v/>
      </c>
      <c r="W66" s="17" t="str">
        <f t="shared" si="13"/>
        <v>ARC&gt;0</v>
      </c>
      <c r="X66" s="13">
        <f t="shared" si="14"/>
        <v>0.425499672</v>
      </c>
      <c r="Y66" s="11">
        <v>21.16679557</v>
      </c>
      <c r="Z66" s="11">
        <v>16.59414457</v>
      </c>
      <c r="AA66" s="11">
        <v>6.680792951</v>
      </c>
      <c r="AB66" s="11">
        <v>88.86843759</v>
      </c>
      <c r="AC66" s="15">
        <f t="shared" si="15"/>
        <v>89</v>
      </c>
      <c r="AD66" s="16" t="str">
        <f t="shared" si="16"/>
        <v/>
      </c>
      <c r="AE66" s="16" t="str">
        <f t="shared" si="17"/>
        <v/>
      </c>
      <c r="AF66" s="16" t="str">
        <f t="shared" si="18"/>
        <v/>
      </c>
      <c r="AG66" s="16" t="str">
        <f t="shared" si="19"/>
        <v>ARC&gt;0</v>
      </c>
      <c r="AH66" s="13">
        <f t="shared" si="20"/>
        <v>0.360134654</v>
      </c>
      <c r="AI66" s="11">
        <v>7.688539534</v>
      </c>
      <c r="AJ66" s="11">
        <v>2.277601866</v>
      </c>
      <c r="AK66" s="11" t="s">
        <v>155</v>
      </c>
      <c r="AL66" s="18">
        <f t="shared" si="21"/>
        <v>0.065365018</v>
      </c>
    </row>
    <row r="67" ht="15.75" customHeight="1">
      <c r="A67" s="11" t="s">
        <v>153</v>
      </c>
      <c r="B67" s="11">
        <v>2020.0</v>
      </c>
      <c r="C67" s="12" t="str">
        <f>VLOOKUP(A67, Regions!A:B, 2, FALSE)
</f>
        <v>Sub-Saharan Africa</v>
      </c>
      <c r="D67" s="13" t="str">
        <f t="shared" si="1"/>
        <v/>
      </c>
      <c r="E67" s="14" t="str">
        <f t="shared" si="2"/>
        <v/>
      </c>
      <c r="F67" s="11" t="s">
        <v>156</v>
      </c>
      <c r="G67" s="11">
        <v>13.70800018</v>
      </c>
      <c r="H67" s="11">
        <v>62.20712225</v>
      </c>
      <c r="I67" s="15">
        <f t="shared" si="3"/>
        <v>62</v>
      </c>
      <c r="J67" s="16" t="str">
        <f t="shared" si="4"/>
        <v/>
      </c>
      <c r="K67" s="16" t="str">
        <f t="shared" si="5"/>
        <v/>
      </c>
      <c r="L67" s="16" t="str">
        <f t="shared" si="6"/>
        <v/>
      </c>
      <c r="M67" s="16" t="str">
        <f t="shared" si="7"/>
        <v>ARC&gt;0</v>
      </c>
      <c r="N67" s="13" t="str">
        <f t="shared" si="8"/>
        <v/>
      </c>
      <c r="O67" s="11">
        <v>19.43969314</v>
      </c>
      <c r="P67" s="11">
        <v>14.75825969</v>
      </c>
      <c r="Q67" s="11">
        <v>3.594924913</v>
      </c>
      <c r="R67" s="11">
        <v>57.68576527</v>
      </c>
      <c r="S67" s="15">
        <f t="shared" si="9"/>
        <v>58</v>
      </c>
      <c r="T67" s="17" t="str">
        <f t="shared" si="10"/>
        <v/>
      </c>
      <c r="U67" s="17" t="str">
        <f t="shared" si="11"/>
        <v/>
      </c>
      <c r="V67" s="17" t="str">
        <f t="shared" si="12"/>
        <v/>
      </c>
      <c r="W67" s="17" t="str">
        <f t="shared" si="13"/>
        <v>ARC&gt;0</v>
      </c>
      <c r="X67" s="13" t="str">
        <f t="shared" si="14"/>
        <v/>
      </c>
      <c r="Y67" s="11">
        <v>21.25148213</v>
      </c>
      <c r="Z67" s="11">
        <v>16.89675238</v>
      </c>
      <c r="AA67" s="11">
        <v>4.166000219</v>
      </c>
      <c r="AB67" s="11">
        <v>90.66911086</v>
      </c>
      <c r="AC67" s="15">
        <f t="shared" si="15"/>
        <v>91</v>
      </c>
      <c r="AD67" s="16" t="str">
        <f t="shared" si="16"/>
        <v/>
      </c>
      <c r="AE67" s="16" t="str">
        <f t="shared" si="17"/>
        <v/>
      </c>
      <c r="AF67" s="16" t="str">
        <f t="shared" si="18"/>
        <v/>
      </c>
      <c r="AG67" s="16" t="str">
        <f t="shared" si="19"/>
        <v>ARC&gt;0</v>
      </c>
      <c r="AH67" s="13" t="str">
        <f t="shared" si="20"/>
        <v/>
      </c>
      <c r="AI67" s="11">
        <v>8.034462869</v>
      </c>
      <c r="AJ67" s="11">
        <v>1.296426269</v>
      </c>
      <c r="AK67" s="11" t="s">
        <v>43</v>
      </c>
      <c r="AL67" s="18" t="str">
        <f t="shared" si="21"/>
        <v/>
      </c>
    </row>
    <row r="68" ht="15.75" customHeight="1">
      <c r="A68" s="11" t="s">
        <v>157</v>
      </c>
      <c r="B68" s="11">
        <v>2015.0</v>
      </c>
      <c r="C68" s="12" t="str">
        <f>VLOOKUP(A68, Regions!A:B, 2, FALSE)
</f>
        <v>Sub-Saharan Africa</v>
      </c>
      <c r="D68" s="13">
        <f t="shared" si="1"/>
        <v>5</v>
      </c>
      <c r="E68" s="14">
        <f t="shared" si="2"/>
        <v>2017.5</v>
      </c>
      <c r="F68" s="11" t="s">
        <v>158</v>
      </c>
      <c r="G68" s="11">
        <v>64.29999542</v>
      </c>
      <c r="H68" s="11">
        <v>85.44334237</v>
      </c>
      <c r="I68" s="15">
        <f t="shared" si="3"/>
        <v>85</v>
      </c>
      <c r="J68" s="16" t="str">
        <f t="shared" si="4"/>
        <v/>
      </c>
      <c r="K68" s="16" t="str">
        <f t="shared" si="5"/>
        <v/>
      </c>
      <c r="L68" s="16" t="str">
        <f t="shared" si="6"/>
        <v/>
      </c>
      <c r="M68" s="16" t="str">
        <f t="shared" si="7"/>
        <v>ARC&gt;0</v>
      </c>
      <c r="N68" s="13">
        <f t="shared" si="8"/>
        <v>0.66525281</v>
      </c>
      <c r="O68" s="11">
        <v>10.25307762</v>
      </c>
      <c r="P68" s="11">
        <v>4.151948319</v>
      </c>
      <c r="Q68" s="11">
        <v>0.1516316911</v>
      </c>
      <c r="R68" s="11">
        <v>72.83231411</v>
      </c>
      <c r="S68" s="15">
        <f t="shared" si="9"/>
        <v>73</v>
      </c>
      <c r="T68" s="17" t="str">
        <f t="shared" si="10"/>
        <v/>
      </c>
      <c r="U68" s="17" t="str">
        <f t="shared" si="11"/>
        <v/>
      </c>
      <c r="V68" s="17" t="str">
        <f t="shared" si="12"/>
        <v/>
      </c>
      <c r="W68" s="17" t="str">
        <f t="shared" si="13"/>
        <v>ARC&gt;0</v>
      </c>
      <c r="X68" s="13">
        <f t="shared" si="14"/>
        <v>1.456442266</v>
      </c>
      <c r="Y68" s="11">
        <v>16.37979458</v>
      </c>
      <c r="Z68" s="11">
        <v>10.43676077</v>
      </c>
      <c r="AA68" s="11">
        <v>0.3511305397</v>
      </c>
      <c r="AB68" s="11">
        <v>92.44511451</v>
      </c>
      <c r="AC68" s="15">
        <f t="shared" si="15"/>
        <v>92</v>
      </c>
      <c r="AD68" s="16" t="str">
        <f t="shared" si="16"/>
        <v/>
      </c>
      <c r="AE68" s="16" t="str">
        <f t="shared" si="17"/>
        <v/>
      </c>
      <c r="AF68" s="16" t="str">
        <f t="shared" si="18"/>
        <v/>
      </c>
      <c r="AG68" s="16" t="str">
        <f t="shared" si="19"/>
        <v>ARC&gt;0</v>
      </c>
      <c r="AH68" s="13">
        <f t="shared" si="20"/>
        <v>0.130977098</v>
      </c>
      <c r="AI68" s="11">
        <v>6.851463911</v>
      </c>
      <c r="AJ68" s="11">
        <v>0.6625536281</v>
      </c>
      <c r="AK68" s="11" t="s">
        <v>159</v>
      </c>
      <c r="AL68" s="18">
        <f t="shared" si="21"/>
        <v>1.325465168</v>
      </c>
    </row>
    <row r="69" ht="15.75" customHeight="1">
      <c r="A69" s="11" t="s">
        <v>157</v>
      </c>
      <c r="B69" s="11">
        <v>2020.0</v>
      </c>
      <c r="C69" s="12" t="str">
        <f>VLOOKUP(A69, Regions!A:B, 2, FALSE)
</f>
        <v>Sub-Saharan Africa</v>
      </c>
      <c r="D69" s="13" t="str">
        <f t="shared" si="1"/>
        <v/>
      </c>
      <c r="E69" s="14" t="str">
        <f t="shared" si="2"/>
        <v/>
      </c>
      <c r="F69" s="11" t="s">
        <v>160</v>
      </c>
      <c r="G69" s="11">
        <v>66.65200043</v>
      </c>
      <c r="H69" s="11">
        <v>88.76960642</v>
      </c>
      <c r="I69" s="15">
        <f t="shared" si="3"/>
        <v>89</v>
      </c>
      <c r="J69" s="16" t="str">
        <f t="shared" si="4"/>
        <v/>
      </c>
      <c r="K69" s="16" t="str">
        <f t="shared" si="5"/>
        <v/>
      </c>
      <c r="L69" s="16" t="str">
        <f t="shared" si="6"/>
        <v/>
      </c>
      <c r="M69" s="16" t="str">
        <f t="shared" si="7"/>
        <v>ARC&gt;0</v>
      </c>
      <c r="N69" s="13" t="str">
        <f t="shared" si="8"/>
        <v/>
      </c>
      <c r="O69" s="11">
        <v>7.904150846</v>
      </c>
      <c r="P69" s="11">
        <v>3.209147716</v>
      </c>
      <c r="Q69" s="11">
        <v>0.1170950144</v>
      </c>
      <c r="R69" s="11">
        <v>80.11452544</v>
      </c>
      <c r="S69" s="15">
        <f t="shared" si="9"/>
        <v>80</v>
      </c>
      <c r="T69" s="17" t="str">
        <f t="shared" si="10"/>
        <v/>
      </c>
      <c r="U69" s="17" t="str">
        <f t="shared" si="11"/>
        <v/>
      </c>
      <c r="V69" s="17" t="str">
        <f t="shared" si="12"/>
        <v/>
      </c>
      <c r="W69" s="17" t="str">
        <f t="shared" si="13"/>
        <v>ARC&gt;0</v>
      </c>
      <c r="X69" s="13" t="str">
        <f t="shared" si="14"/>
        <v/>
      </c>
      <c r="Y69" s="11">
        <v>9.911127022</v>
      </c>
      <c r="Z69" s="11">
        <v>9.623217003</v>
      </c>
      <c r="AA69" s="11">
        <v>0.3511305397</v>
      </c>
      <c r="AB69" s="11">
        <v>93.1</v>
      </c>
      <c r="AC69" s="15">
        <f t="shared" si="15"/>
        <v>93</v>
      </c>
      <c r="AD69" s="16" t="str">
        <f t="shared" si="16"/>
        <v/>
      </c>
      <c r="AE69" s="16" t="str">
        <f t="shared" si="17"/>
        <v/>
      </c>
      <c r="AF69" s="16" t="str">
        <f t="shared" si="18"/>
        <v/>
      </c>
      <c r="AG69" s="16" t="str">
        <f t="shared" si="19"/>
        <v>ARC&gt;0</v>
      </c>
      <c r="AH69" s="13" t="str">
        <f t="shared" si="20"/>
        <v/>
      </c>
      <c r="AI69" s="11">
        <v>6.9</v>
      </c>
      <c r="AJ69" s="11">
        <v>0.0</v>
      </c>
      <c r="AK69" s="11" t="s">
        <v>43</v>
      </c>
      <c r="AL69" s="18" t="str">
        <f t="shared" si="21"/>
        <v/>
      </c>
    </row>
    <row r="70" ht="15.75" customHeight="1">
      <c r="A70" s="11" t="s">
        <v>161</v>
      </c>
      <c r="B70" s="11">
        <v>2015.0</v>
      </c>
      <c r="C70" s="12" t="str">
        <f>VLOOKUP(A70, Regions!A:B, 2, FALSE)
</f>
        <v>East Asia &amp; Pacific</v>
      </c>
      <c r="D70" s="13">
        <f t="shared" si="1"/>
        <v>5</v>
      </c>
      <c r="E70" s="14">
        <f t="shared" si="2"/>
        <v>2017.5</v>
      </c>
      <c r="F70" s="11" t="s">
        <v>162</v>
      </c>
      <c r="G70" s="11">
        <v>22.18799973</v>
      </c>
      <c r="H70" s="11">
        <v>68.44384896</v>
      </c>
      <c r="I70" s="15">
        <f t="shared" si="3"/>
        <v>68</v>
      </c>
      <c r="J70" s="16" t="str">
        <f t="shared" si="4"/>
        <v/>
      </c>
      <c r="K70" s="16" t="str">
        <f t="shared" si="5"/>
        <v/>
      </c>
      <c r="L70" s="16" t="str">
        <f t="shared" si="6"/>
        <v/>
      </c>
      <c r="M70" s="16" t="str">
        <f t="shared" si="7"/>
        <v>ARC&gt;0</v>
      </c>
      <c r="N70" s="13">
        <f t="shared" si="8"/>
        <v>0.555207202</v>
      </c>
      <c r="O70" s="11">
        <v>8.603248193</v>
      </c>
      <c r="P70" s="11">
        <v>9.602994817</v>
      </c>
      <c r="Q70" s="11">
        <v>13.34990803</v>
      </c>
      <c r="R70" s="11">
        <v>62.71111668</v>
      </c>
      <c r="S70" s="15">
        <f t="shared" si="9"/>
        <v>63</v>
      </c>
      <c r="T70" s="17" t="str">
        <f t="shared" si="10"/>
        <v/>
      </c>
      <c r="U70" s="17" t="str">
        <f t="shared" si="11"/>
        <v/>
      </c>
      <c r="V70" s="17" t="str">
        <f t="shared" si="12"/>
        <v/>
      </c>
      <c r="W70" s="17" t="str">
        <f t="shared" si="13"/>
        <v>ARC&gt;0</v>
      </c>
      <c r="X70" s="13">
        <f t="shared" si="14"/>
        <v>0.47120783</v>
      </c>
      <c r="Y70" s="11">
        <v>9.432045638</v>
      </c>
      <c r="Z70" s="11">
        <v>11.75089596</v>
      </c>
      <c r="AA70" s="11">
        <v>16.10594172</v>
      </c>
      <c r="AB70" s="11">
        <v>88.54819144</v>
      </c>
      <c r="AC70" s="15">
        <f t="shared" si="15"/>
        <v>89</v>
      </c>
      <c r="AD70" s="16" t="str">
        <f t="shared" si="16"/>
        <v/>
      </c>
      <c r="AE70" s="16" t="str">
        <f t="shared" si="17"/>
        <v/>
      </c>
      <c r="AF70" s="16" t="str">
        <f t="shared" si="18"/>
        <v/>
      </c>
      <c r="AG70" s="16" t="str">
        <f t="shared" si="19"/>
        <v>ARC&gt;0</v>
      </c>
      <c r="AH70" s="13">
        <f t="shared" si="20"/>
        <v>0.381977146</v>
      </c>
      <c r="AI70" s="11">
        <v>5.696703472</v>
      </c>
      <c r="AJ70" s="11">
        <v>2.070445687</v>
      </c>
      <c r="AK70" s="11" t="s">
        <v>163</v>
      </c>
      <c r="AL70" s="18">
        <f t="shared" si="21"/>
        <v>0.089230684</v>
      </c>
    </row>
    <row r="71" ht="15.75" customHeight="1">
      <c r="A71" s="11" t="s">
        <v>161</v>
      </c>
      <c r="B71" s="11">
        <v>2020.0</v>
      </c>
      <c r="C71" s="12" t="str">
        <f>VLOOKUP(A71, Regions!A:B, 2, FALSE)
</f>
        <v>East Asia &amp; Pacific</v>
      </c>
      <c r="D71" s="13" t="str">
        <f t="shared" si="1"/>
        <v/>
      </c>
      <c r="E71" s="14" t="str">
        <f t="shared" si="2"/>
        <v/>
      </c>
      <c r="F71" s="11" t="s">
        <v>164</v>
      </c>
      <c r="G71" s="11">
        <v>24.23200035</v>
      </c>
      <c r="H71" s="11">
        <v>71.21988497</v>
      </c>
      <c r="I71" s="15">
        <f t="shared" si="3"/>
        <v>71</v>
      </c>
      <c r="J71" s="16" t="str">
        <f t="shared" si="4"/>
        <v/>
      </c>
      <c r="K71" s="16" t="str">
        <f t="shared" si="5"/>
        <v/>
      </c>
      <c r="L71" s="16" t="str">
        <f t="shared" si="6"/>
        <v/>
      </c>
      <c r="M71" s="16" t="str">
        <f t="shared" si="7"/>
        <v>ARC&gt;0</v>
      </c>
      <c r="N71" s="13" t="str">
        <f t="shared" si="8"/>
        <v/>
      </c>
      <c r="O71" s="11">
        <v>13.90222204</v>
      </c>
      <c r="P71" s="11">
        <v>5.677218558</v>
      </c>
      <c r="Q71" s="11">
        <v>9.200674434</v>
      </c>
      <c r="R71" s="11">
        <v>65.06715583</v>
      </c>
      <c r="S71" s="15">
        <f t="shared" si="9"/>
        <v>65</v>
      </c>
      <c r="T71" s="17" t="str">
        <f t="shared" si="10"/>
        <v/>
      </c>
      <c r="U71" s="17" t="str">
        <f t="shared" si="11"/>
        <v/>
      </c>
      <c r="V71" s="17" t="str">
        <f t="shared" si="12"/>
        <v/>
      </c>
      <c r="W71" s="17" t="str">
        <f t="shared" si="13"/>
        <v>ARC&gt;0</v>
      </c>
      <c r="X71" s="13" t="str">
        <f t="shared" si="14"/>
        <v/>
      </c>
      <c r="Y71" s="11">
        <v>15.51772278</v>
      </c>
      <c r="Z71" s="11">
        <v>7.492899307</v>
      </c>
      <c r="AA71" s="11">
        <v>11.92222209</v>
      </c>
      <c r="AB71" s="11">
        <v>90.45807717</v>
      </c>
      <c r="AC71" s="15">
        <f t="shared" si="15"/>
        <v>90</v>
      </c>
      <c r="AD71" s="16" t="str">
        <f t="shared" si="16"/>
        <v/>
      </c>
      <c r="AE71" s="16" t="str">
        <f t="shared" si="17"/>
        <v/>
      </c>
      <c r="AF71" s="16" t="str">
        <f t="shared" si="18"/>
        <v/>
      </c>
      <c r="AG71" s="16" t="str">
        <f t="shared" si="19"/>
        <v>ARC&gt;0</v>
      </c>
      <c r="AH71" s="13" t="str">
        <f t="shared" si="20"/>
        <v/>
      </c>
      <c r="AI71" s="11">
        <v>8.85091472</v>
      </c>
      <c r="AJ71" s="11">
        <v>0.0</v>
      </c>
      <c r="AK71" s="11" t="s">
        <v>165</v>
      </c>
      <c r="AL71" s="18" t="str">
        <f t="shared" si="21"/>
        <v/>
      </c>
    </row>
    <row r="72" ht="15.75" customHeight="1">
      <c r="A72" s="11" t="s">
        <v>166</v>
      </c>
      <c r="B72" s="11">
        <v>2015.0</v>
      </c>
      <c r="C72" s="12" t="str">
        <f>VLOOKUP(A72, Regions!A:B, 2, FALSE)
</f>
        <v>Sub-Saharan Africa</v>
      </c>
      <c r="D72" s="13">
        <f t="shared" si="1"/>
        <v>5</v>
      </c>
      <c r="E72" s="14">
        <f t="shared" si="2"/>
        <v>2017.5</v>
      </c>
      <c r="F72" s="11" t="s">
        <v>167</v>
      </c>
      <c r="G72" s="11">
        <v>54.57799911</v>
      </c>
      <c r="H72" s="11">
        <v>63.97399012</v>
      </c>
      <c r="I72" s="15">
        <f t="shared" si="3"/>
        <v>64</v>
      </c>
      <c r="J72" s="16" t="str">
        <f t="shared" si="4"/>
        <v/>
      </c>
      <c r="K72" s="16" t="str">
        <f t="shared" si="5"/>
        <v/>
      </c>
      <c r="L72" s="16" t="str">
        <f t="shared" si="6"/>
        <v/>
      </c>
      <c r="M72" s="16" t="str">
        <f t="shared" si="7"/>
        <v>ARC&gt;0</v>
      </c>
      <c r="N72" s="13">
        <f t="shared" si="8"/>
        <v>0.349285612</v>
      </c>
      <c r="O72" s="11">
        <v>11.23827056</v>
      </c>
      <c r="P72" s="11">
        <v>17.65135833</v>
      </c>
      <c r="Q72" s="11">
        <v>7.136380984</v>
      </c>
      <c r="R72" s="11">
        <v>42.00566921</v>
      </c>
      <c r="S72" s="15">
        <f t="shared" si="9"/>
        <v>42</v>
      </c>
      <c r="T72" s="17" t="str">
        <f t="shared" si="10"/>
        <v/>
      </c>
      <c r="U72" s="17" t="str">
        <f t="shared" si="11"/>
        <v/>
      </c>
      <c r="V72" s="17" t="str">
        <f t="shared" si="12"/>
        <v/>
      </c>
      <c r="W72" s="17" t="str">
        <f t="shared" si="13"/>
        <v>ARC&gt;0</v>
      </c>
      <c r="X72" s="13">
        <f t="shared" si="14"/>
        <v>0.304382382</v>
      </c>
      <c r="Y72" s="11">
        <v>11.07338641</v>
      </c>
      <c r="Z72" s="11">
        <v>32.39404459</v>
      </c>
      <c r="AA72" s="11">
        <v>14.52689979</v>
      </c>
      <c r="AB72" s="11">
        <v>82.25690791</v>
      </c>
      <c r="AC72" s="15">
        <f t="shared" si="15"/>
        <v>82</v>
      </c>
      <c r="AD72" s="16" t="str">
        <f t="shared" si="16"/>
        <v/>
      </c>
      <c r="AE72" s="16" t="str">
        <f t="shared" si="17"/>
        <v/>
      </c>
      <c r="AF72" s="16" t="str">
        <f t="shared" si="18"/>
        <v/>
      </c>
      <c r="AG72" s="16" t="str">
        <f t="shared" si="19"/>
        <v>ARC&gt;0</v>
      </c>
      <c r="AH72" s="13">
        <f t="shared" si="20"/>
        <v>-0.03466461</v>
      </c>
      <c r="AI72" s="11">
        <v>11.37549377</v>
      </c>
      <c r="AJ72" s="11">
        <v>5.381903513</v>
      </c>
      <c r="AK72" s="11" t="s">
        <v>168</v>
      </c>
      <c r="AL72" s="18">
        <f t="shared" si="21"/>
        <v>0.339046992</v>
      </c>
    </row>
    <row r="73" ht="15.75" customHeight="1">
      <c r="A73" s="11" t="s">
        <v>166</v>
      </c>
      <c r="B73" s="11">
        <v>2020.0</v>
      </c>
      <c r="C73" s="12" t="str">
        <f>VLOOKUP(A73, Regions!A:B, 2, FALSE)
</f>
        <v>Sub-Saharan Africa</v>
      </c>
      <c r="D73" s="13" t="str">
        <f t="shared" si="1"/>
        <v/>
      </c>
      <c r="E73" s="14" t="str">
        <f t="shared" si="2"/>
        <v/>
      </c>
      <c r="F73" s="11" t="s">
        <v>169</v>
      </c>
      <c r="G73" s="11">
        <v>57.56000519</v>
      </c>
      <c r="H73" s="11">
        <v>65.72041818</v>
      </c>
      <c r="I73" s="15">
        <f t="shared" si="3"/>
        <v>66</v>
      </c>
      <c r="J73" s="16" t="str">
        <f t="shared" si="4"/>
        <v/>
      </c>
      <c r="K73" s="16" t="str">
        <f t="shared" si="5"/>
        <v/>
      </c>
      <c r="L73" s="16" t="str">
        <f t="shared" si="6"/>
        <v/>
      </c>
      <c r="M73" s="16" t="str">
        <f t="shared" si="7"/>
        <v>ARC&gt;0</v>
      </c>
      <c r="N73" s="13" t="str">
        <f t="shared" si="8"/>
        <v/>
      </c>
      <c r="O73" s="11">
        <v>12.87474863</v>
      </c>
      <c r="P73" s="11">
        <v>15.00100626</v>
      </c>
      <c r="Q73" s="11">
        <v>6.403826927</v>
      </c>
      <c r="R73" s="11">
        <v>43.52758112</v>
      </c>
      <c r="S73" s="15">
        <f t="shared" si="9"/>
        <v>44</v>
      </c>
      <c r="T73" s="17" t="str">
        <f t="shared" si="10"/>
        <v/>
      </c>
      <c r="U73" s="17" t="str">
        <f t="shared" si="11"/>
        <v/>
      </c>
      <c r="V73" s="17" t="str">
        <f t="shared" si="12"/>
        <v/>
      </c>
      <c r="W73" s="17" t="str">
        <f t="shared" si="13"/>
        <v>ARC&gt;0</v>
      </c>
      <c r="X73" s="13" t="str">
        <f t="shared" si="14"/>
        <v/>
      </c>
      <c r="Y73" s="11">
        <v>12.67259943</v>
      </c>
      <c r="Z73" s="11">
        <v>30.12380645</v>
      </c>
      <c r="AA73" s="11">
        <v>13.676013</v>
      </c>
      <c r="AB73" s="11">
        <v>82.08358486</v>
      </c>
      <c r="AC73" s="15">
        <f t="shared" si="15"/>
        <v>82</v>
      </c>
      <c r="AD73" s="16" t="str">
        <f t="shared" si="16"/>
        <v/>
      </c>
      <c r="AE73" s="16" t="str">
        <f t="shared" si="17"/>
        <v/>
      </c>
      <c r="AF73" s="16" t="str">
        <f t="shared" si="18"/>
        <v/>
      </c>
      <c r="AG73" s="16" t="str">
        <f t="shared" si="19"/>
        <v>ARC&gt;0</v>
      </c>
      <c r="AH73" s="13" t="str">
        <f t="shared" si="20"/>
        <v/>
      </c>
      <c r="AI73" s="11">
        <v>13.02379677</v>
      </c>
      <c r="AJ73" s="11">
        <v>3.850701351</v>
      </c>
      <c r="AK73" s="11" t="s">
        <v>170</v>
      </c>
      <c r="AL73" s="18" t="str">
        <f t="shared" si="21"/>
        <v/>
      </c>
    </row>
    <row r="74" ht="15.75" customHeight="1">
      <c r="A74" s="11" t="s">
        <v>171</v>
      </c>
      <c r="B74" s="11">
        <v>2015.0</v>
      </c>
      <c r="C74" s="12" t="str">
        <f>VLOOKUP(A74, Regions!A:B, 2, FALSE)
</f>
        <v>North America</v>
      </c>
      <c r="D74" s="13">
        <f t="shared" si="1"/>
        <v>5</v>
      </c>
      <c r="E74" s="14">
        <f t="shared" si="2"/>
        <v>2017.5</v>
      </c>
      <c r="F74" s="11" t="s">
        <v>172</v>
      </c>
      <c r="G74" s="11">
        <v>81.25900269</v>
      </c>
      <c r="H74" s="11">
        <v>99.22922139</v>
      </c>
      <c r="I74" s="15">
        <f t="shared" si="3"/>
        <v>99</v>
      </c>
      <c r="J74" s="16" t="str">
        <f t="shared" si="4"/>
        <v/>
      </c>
      <c r="K74" s="16" t="str">
        <f t="shared" si="5"/>
        <v/>
      </c>
      <c r="L74" s="16" t="str">
        <f t="shared" si="6"/>
        <v/>
      </c>
      <c r="M74" s="16" t="str">
        <f t="shared" si="7"/>
        <v>ARC&gt;0</v>
      </c>
      <c r="N74" s="13">
        <f t="shared" si="8"/>
        <v>-0.001482146</v>
      </c>
      <c r="O74" s="11">
        <v>0.0</v>
      </c>
      <c r="P74" s="11">
        <v>0.7707786091</v>
      </c>
      <c r="Q74" s="11">
        <v>0.0</v>
      </c>
      <c r="R74" s="11">
        <v>98.81619508</v>
      </c>
      <c r="S74" s="15">
        <f t="shared" si="9"/>
        <v>99</v>
      </c>
      <c r="T74" s="17" t="str">
        <f t="shared" si="10"/>
        <v/>
      </c>
      <c r="U74" s="17" t="str">
        <f t="shared" si="11"/>
        <v/>
      </c>
      <c r="V74" s="17" t="str">
        <f t="shared" si="12"/>
        <v/>
      </c>
      <c r="W74" s="17" t="str">
        <f t="shared" si="13"/>
        <v>ARC&gt;0</v>
      </c>
      <c r="X74" s="13">
        <f t="shared" si="14"/>
        <v>0.048860164</v>
      </c>
      <c r="Y74" s="11">
        <v>0.0</v>
      </c>
      <c r="Z74" s="11">
        <v>1.183804922</v>
      </c>
      <c r="AA74" s="11">
        <v>0.0</v>
      </c>
      <c r="AB74" s="11">
        <v>99.32447885</v>
      </c>
      <c r="AC74" s="15">
        <f t="shared" si="15"/>
        <v>99</v>
      </c>
      <c r="AD74" s="16" t="str">
        <f t="shared" si="16"/>
        <v/>
      </c>
      <c r="AE74" s="16" t="str">
        <f t="shared" si="17"/>
        <v/>
      </c>
      <c r="AF74" s="16" t="str">
        <f t="shared" si="18"/>
        <v/>
      </c>
      <c r="AG74" s="16" t="str">
        <f t="shared" si="19"/>
        <v>ARC&gt;0</v>
      </c>
      <c r="AH74" s="13">
        <f t="shared" si="20"/>
        <v>-0.013240238</v>
      </c>
      <c r="AI74" s="11">
        <v>0.0</v>
      </c>
      <c r="AJ74" s="11">
        <v>0.6755211473</v>
      </c>
      <c r="AK74" s="11" t="s">
        <v>43</v>
      </c>
      <c r="AL74" s="18">
        <f t="shared" si="21"/>
        <v>0.062100402</v>
      </c>
    </row>
    <row r="75" ht="15.75" customHeight="1">
      <c r="A75" s="11" t="s">
        <v>171</v>
      </c>
      <c r="B75" s="11">
        <v>2020.0</v>
      </c>
      <c r="C75" s="12" t="str">
        <f>VLOOKUP(A75, Regions!A:B, 2, FALSE)
</f>
        <v>North America</v>
      </c>
      <c r="D75" s="13" t="str">
        <f t="shared" si="1"/>
        <v/>
      </c>
      <c r="E75" s="14" t="str">
        <f t="shared" si="2"/>
        <v/>
      </c>
      <c r="F75" s="11" t="s">
        <v>173</v>
      </c>
      <c r="G75" s="11">
        <v>81.56200409</v>
      </c>
      <c r="H75" s="11">
        <v>99.22181066</v>
      </c>
      <c r="I75" s="15">
        <f t="shared" si="3"/>
        <v>99</v>
      </c>
      <c r="J75" s="16" t="str">
        <f t="shared" si="4"/>
        <v/>
      </c>
      <c r="K75" s="16" t="str">
        <f t="shared" si="5"/>
        <v/>
      </c>
      <c r="L75" s="16" t="str">
        <f t="shared" si="6"/>
        <v/>
      </c>
      <c r="M75" s="16" t="str">
        <f t="shared" si="7"/>
        <v>ARC&gt;0</v>
      </c>
      <c r="N75" s="13" t="str">
        <f t="shared" si="8"/>
        <v/>
      </c>
      <c r="O75" s="11">
        <v>0.0</v>
      </c>
      <c r="P75" s="11">
        <v>0.7781893369</v>
      </c>
      <c r="Q75" s="11">
        <v>0.0</v>
      </c>
      <c r="R75" s="11">
        <v>99.0604959</v>
      </c>
      <c r="S75" s="15">
        <f t="shared" si="9"/>
        <v>99</v>
      </c>
      <c r="T75" s="17" t="str">
        <f t="shared" si="10"/>
        <v/>
      </c>
      <c r="U75" s="17" t="str">
        <f t="shared" si="11"/>
        <v/>
      </c>
      <c r="V75" s="17" t="str">
        <f t="shared" si="12"/>
        <v/>
      </c>
      <c r="W75" s="17" t="str">
        <f t="shared" si="13"/>
        <v>ARC&gt;0</v>
      </c>
      <c r="X75" s="13" t="str">
        <f t="shared" si="14"/>
        <v/>
      </c>
      <c r="Y75" s="11">
        <v>0.0</v>
      </c>
      <c r="Z75" s="11">
        <v>0.9395041006</v>
      </c>
      <c r="AA75" s="11">
        <v>0.0</v>
      </c>
      <c r="AB75" s="11">
        <v>99.25827766</v>
      </c>
      <c r="AC75" s="15">
        <f t="shared" si="15"/>
        <v>99</v>
      </c>
      <c r="AD75" s="16" t="str">
        <f t="shared" si="16"/>
        <v/>
      </c>
      <c r="AE75" s="16" t="str">
        <f t="shared" si="17"/>
        <v/>
      </c>
      <c r="AF75" s="16" t="str">
        <f t="shared" si="18"/>
        <v/>
      </c>
      <c r="AG75" s="16" t="str">
        <f t="shared" si="19"/>
        <v>ARC&gt;0</v>
      </c>
      <c r="AH75" s="13" t="str">
        <f t="shared" si="20"/>
        <v/>
      </c>
      <c r="AI75" s="11">
        <v>0.0</v>
      </c>
      <c r="AJ75" s="11">
        <v>0.7417223371</v>
      </c>
      <c r="AK75" s="11" t="s">
        <v>43</v>
      </c>
      <c r="AL75" s="18" t="str">
        <f t="shared" si="21"/>
        <v/>
      </c>
    </row>
    <row r="76" ht="15.75" customHeight="1">
      <c r="A76" s="11" t="s">
        <v>174</v>
      </c>
      <c r="B76" s="11">
        <v>2015.0</v>
      </c>
      <c r="C76" s="12" t="str">
        <f>VLOOKUP(A76, Regions!A:B, 2, FALSE)
</f>
        <v>Latin America &amp; Caribbean</v>
      </c>
      <c r="D76" s="13">
        <f t="shared" si="1"/>
        <v>1</v>
      </c>
      <c r="E76" s="14">
        <f t="shared" si="2"/>
        <v>2015.5</v>
      </c>
      <c r="F76" s="11" t="s">
        <v>175</v>
      </c>
      <c r="G76" s="11">
        <v>100.0</v>
      </c>
      <c r="H76" s="11">
        <v>96.125</v>
      </c>
      <c r="I76" s="15">
        <f t="shared" si="3"/>
        <v>96</v>
      </c>
      <c r="J76" s="16" t="str">
        <f t="shared" si="4"/>
        <v/>
      </c>
      <c r="K76" s="16" t="str">
        <f t="shared" si="5"/>
        <v/>
      </c>
      <c r="L76" s="16" t="str">
        <f t="shared" si="6"/>
        <v/>
      </c>
      <c r="M76" s="16" t="str">
        <f t="shared" si="7"/>
        <v>ARC&gt;0</v>
      </c>
      <c r="N76" s="13">
        <f t="shared" si="8"/>
        <v>0</v>
      </c>
      <c r="O76" s="11">
        <v>0.0</v>
      </c>
      <c r="P76" s="11">
        <v>3.875</v>
      </c>
      <c r="Q76" s="11">
        <v>0.0</v>
      </c>
      <c r="S76" s="15">
        <f t="shared" si="9"/>
        <v>0</v>
      </c>
      <c r="T76" s="17" t="str">
        <f t="shared" si="10"/>
        <v/>
      </c>
      <c r="U76" s="17" t="str">
        <f t="shared" si="11"/>
        <v>ARC=0</v>
      </c>
      <c r="V76" s="17" t="str">
        <f t="shared" si="12"/>
        <v/>
      </c>
      <c r="W76" s="17" t="str">
        <f t="shared" si="13"/>
        <v/>
      </c>
      <c r="X76" s="13">
        <f t="shared" si="14"/>
        <v>0</v>
      </c>
      <c r="AB76" s="11">
        <v>96.125</v>
      </c>
      <c r="AC76" s="15">
        <f t="shared" si="15"/>
        <v>96</v>
      </c>
      <c r="AD76" s="16" t="str">
        <f t="shared" si="16"/>
        <v/>
      </c>
      <c r="AE76" s="16" t="str">
        <f t="shared" si="17"/>
        <v/>
      </c>
      <c r="AF76" s="16" t="str">
        <f t="shared" si="18"/>
        <v/>
      </c>
      <c r="AG76" s="16" t="str">
        <f t="shared" si="19"/>
        <v>ARC&gt;0</v>
      </c>
      <c r="AH76" s="13">
        <f t="shared" si="20"/>
        <v>0</v>
      </c>
      <c r="AI76" s="11">
        <v>0.0</v>
      </c>
      <c r="AJ76" s="11">
        <v>3.875</v>
      </c>
      <c r="AK76" s="11" t="s">
        <v>43</v>
      </c>
      <c r="AL76" s="18">
        <f t="shared" si="21"/>
        <v>0</v>
      </c>
    </row>
    <row r="77" ht="15.75" customHeight="1">
      <c r="A77" s="11" t="s">
        <v>174</v>
      </c>
      <c r="B77" s="11">
        <v>2016.0</v>
      </c>
      <c r="C77" s="12" t="str">
        <f>VLOOKUP(A77, Regions!A:B, 2, FALSE)
</f>
        <v>Latin America &amp; Caribbean</v>
      </c>
      <c r="D77" s="13" t="str">
        <f t="shared" si="1"/>
        <v/>
      </c>
      <c r="E77" s="14" t="str">
        <f t="shared" si="2"/>
        <v/>
      </c>
      <c r="F77" s="11" t="s">
        <v>176</v>
      </c>
      <c r="G77" s="11">
        <v>100.0</v>
      </c>
      <c r="H77" s="11">
        <v>96.125</v>
      </c>
      <c r="I77" s="15">
        <f t="shared" si="3"/>
        <v>96</v>
      </c>
      <c r="J77" s="16" t="str">
        <f t="shared" si="4"/>
        <v/>
      </c>
      <c r="K77" s="16" t="str">
        <f t="shared" si="5"/>
        <v/>
      </c>
      <c r="L77" s="16" t="str">
        <f t="shared" si="6"/>
        <v/>
      </c>
      <c r="M77" s="16" t="str">
        <f t="shared" si="7"/>
        <v>ARC&gt;0</v>
      </c>
      <c r="N77" s="13" t="str">
        <f t="shared" si="8"/>
        <v/>
      </c>
      <c r="O77" s="11">
        <v>0.0</v>
      </c>
      <c r="P77" s="11">
        <v>3.875</v>
      </c>
      <c r="Q77" s="11">
        <v>0.0</v>
      </c>
      <c r="S77" s="15">
        <f t="shared" si="9"/>
        <v>0</v>
      </c>
      <c r="T77" s="17" t="str">
        <f t="shared" si="10"/>
        <v/>
      </c>
      <c r="U77" s="17" t="str">
        <f t="shared" si="11"/>
        <v>ARC=0</v>
      </c>
      <c r="V77" s="17" t="str">
        <f t="shared" si="12"/>
        <v/>
      </c>
      <c r="W77" s="17" t="str">
        <f t="shared" si="13"/>
        <v/>
      </c>
      <c r="X77" s="13" t="str">
        <f t="shared" si="14"/>
        <v/>
      </c>
      <c r="AB77" s="11">
        <v>96.125</v>
      </c>
      <c r="AC77" s="15">
        <f t="shared" si="15"/>
        <v>96</v>
      </c>
      <c r="AD77" s="16" t="str">
        <f t="shared" si="16"/>
        <v/>
      </c>
      <c r="AE77" s="16" t="str">
        <f t="shared" si="17"/>
        <v/>
      </c>
      <c r="AF77" s="16" t="str">
        <f t="shared" si="18"/>
        <v/>
      </c>
      <c r="AG77" s="16" t="str">
        <f t="shared" si="19"/>
        <v>ARC&gt;0</v>
      </c>
      <c r="AH77" s="13" t="str">
        <f t="shared" si="20"/>
        <v/>
      </c>
      <c r="AI77" s="11">
        <v>0.0</v>
      </c>
      <c r="AJ77" s="11">
        <v>3.875</v>
      </c>
      <c r="AK77" s="11" t="s">
        <v>43</v>
      </c>
      <c r="AL77" s="18" t="str">
        <f t="shared" si="21"/>
        <v/>
      </c>
    </row>
    <row r="78" ht="15.75" customHeight="1">
      <c r="A78" s="11" t="s">
        <v>177</v>
      </c>
      <c r="B78" s="11">
        <v>2015.0</v>
      </c>
      <c r="C78" s="12" t="str">
        <f>VLOOKUP(A78, Regions!A:B, 2, FALSE)
</f>
        <v>Sub-Saharan Africa</v>
      </c>
      <c r="D78" s="13">
        <f t="shared" si="1"/>
        <v>5</v>
      </c>
      <c r="E78" s="14">
        <f t="shared" si="2"/>
        <v>2017.5</v>
      </c>
      <c r="F78" s="11" t="s">
        <v>178</v>
      </c>
      <c r="G78" s="11">
        <v>40.27700043</v>
      </c>
      <c r="H78" s="11">
        <v>42.31134542</v>
      </c>
      <c r="I78" s="15">
        <f t="shared" si="3"/>
        <v>42</v>
      </c>
      <c r="J78" s="16" t="str">
        <f t="shared" si="4"/>
        <v/>
      </c>
      <c r="K78" s="16" t="str">
        <f t="shared" si="5"/>
        <v/>
      </c>
      <c r="L78" s="16" t="str">
        <f t="shared" si="6"/>
        <v/>
      </c>
      <c r="M78" s="16" t="str">
        <f t="shared" si="7"/>
        <v>ARC&gt;0</v>
      </c>
      <c r="N78" s="13">
        <f t="shared" si="8"/>
        <v>-1.021788674</v>
      </c>
      <c r="O78" s="11">
        <v>21.34399718</v>
      </c>
      <c r="P78" s="11">
        <v>32.01017408</v>
      </c>
      <c r="Q78" s="11">
        <v>4.334483318</v>
      </c>
      <c r="R78" s="11">
        <v>31.89140779</v>
      </c>
      <c r="S78" s="15">
        <f t="shared" si="9"/>
        <v>32</v>
      </c>
      <c r="T78" s="17" t="str">
        <f t="shared" si="10"/>
        <v/>
      </c>
      <c r="U78" s="17" t="str">
        <f t="shared" si="11"/>
        <v/>
      </c>
      <c r="V78" s="17" t="str">
        <f t="shared" si="12"/>
        <v/>
      </c>
      <c r="W78" s="17" t="str">
        <f t="shared" si="13"/>
        <v>ARC&gt;0</v>
      </c>
      <c r="X78" s="13">
        <f t="shared" si="14"/>
        <v>-0.756962728</v>
      </c>
      <c r="Y78" s="11">
        <v>17.35785358</v>
      </c>
      <c r="Z78" s="11">
        <v>43.70260925</v>
      </c>
      <c r="AA78" s="11">
        <v>7.048129392</v>
      </c>
      <c r="AB78" s="11">
        <v>57.76209901</v>
      </c>
      <c r="AC78" s="15">
        <f t="shared" si="15"/>
        <v>58</v>
      </c>
      <c r="AD78" s="16" t="str">
        <f t="shared" si="16"/>
        <v/>
      </c>
      <c r="AE78" s="16" t="str">
        <f t="shared" si="17"/>
        <v/>
      </c>
      <c r="AF78" s="16" t="str">
        <f t="shared" si="18"/>
        <v/>
      </c>
      <c r="AG78" s="16" t="str">
        <f t="shared" si="19"/>
        <v>ARC&gt;0</v>
      </c>
      <c r="AH78" s="13">
        <f t="shared" si="20"/>
        <v>-1.620086812</v>
      </c>
      <c r="AI78" s="11">
        <v>27.25467806</v>
      </c>
      <c r="AJ78" s="11">
        <v>14.67255123</v>
      </c>
      <c r="AK78" s="11" t="s">
        <v>179</v>
      </c>
      <c r="AL78" s="18">
        <f t="shared" si="21"/>
        <v>0.863124084</v>
      </c>
    </row>
    <row r="79" ht="15.75" customHeight="1">
      <c r="A79" s="11" t="s">
        <v>177</v>
      </c>
      <c r="B79" s="11">
        <v>2020.0</v>
      </c>
      <c r="C79" s="12" t="str">
        <f>VLOOKUP(A79, Regions!A:B, 2, FALSE)
</f>
        <v>Sub-Saharan Africa</v>
      </c>
      <c r="D79" s="13" t="str">
        <f t="shared" si="1"/>
        <v/>
      </c>
      <c r="E79" s="14" t="str">
        <f t="shared" si="2"/>
        <v/>
      </c>
      <c r="F79" s="11" t="s">
        <v>180</v>
      </c>
      <c r="G79" s="11">
        <v>42.19799805</v>
      </c>
      <c r="H79" s="11">
        <v>37.20240205</v>
      </c>
      <c r="I79" s="15">
        <f t="shared" si="3"/>
        <v>37</v>
      </c>
      <c r="J79" s="16" t="str">
        <f t="shared" si="4"/>
        <v/>
      </c>
      <c r="K79" s="16" t="str">
        <f t="shared" si="5"/>
        <v/>
      </c>
      <c r="L79" s="16" t="str">
        <f t="shared" si="6"/>
        <v/>
      </c>
      <c r="M79" s="16" t="str">
        <f t="shared" si="7"/>
        <v>ARC&gt;0</v>
      </c>
      <c r="N79" s="13" t="str">
        <f t="shared" si="8"/>
        <v/>
      </c>
      <c r="O79" s="11">
        <v>25.68237348</v>
      </c>
      <c r="P79" s="11">
        <v>33.53911377</v>
      </c>
      <c r="Q79" s="11">
        <v>3.576110708</v>
      </c>
      <c r="R79" s="11">
        <v>28.10659415</v>
      </c>
      <c r="S79" s="15">
        <f t="shared" si="9"/>
        <v>28</v>
      </c>
      <c r="T79" s="17" t="str">
        <f t="shared" si="10"/>
        <v/>
      </c>
      <c r="U79" s="17" t="str">
        <f t="shared" si="11"/>
        <v/>
      </c>
      <c r="V79" s="17" t="str">
        <f t="shared" si="12"/>
        <v/>
      </c>
      <c r="W79" s="17" t="str">
        <f t="shared" si="13"/>
        <v>ARC&gt;0</v>
      </c>
      <c r="X79" s="13" t="str">
        <f t="shared" si="14"/>
        <v/>
      </c>
      <c r="Y79" s="11">
        <v>19.4058899</v>
      </c>
      <c r="Z79" s="11">
        <v>46.37307301</v>
      </c>
      <c r="AA79" s="11">
        <v>6.114442944</v>
      </c>
      <c r="AB79" s="11">
        <v>49.66166495</v>
      </c>
      <c r="AC79" s="15">
        <f t="shared" si="15"/>
        <v>50</v>
      </c>
      <c r="AD79" s="16" t="str">
        <f t="shared" si="16"/>
        <v/>
      </c>
      <c r="AE79" s="16" t="str">
        <f t="shared" si="17"/>
        <v/>
      </c>
      <c r="AF79" s="16" t="str">
        <f t="shared" si="18"/>
        <v/>
      </c>
      <c r="AG79" s="16" t="str">
        <f t="shared" si="19"/>
        <v>ARC&gt;0</v>
      </c>
      <c r="AH79" s="13" t="str">
        <f t="shared" si="20"/>
        <v/>
      </c>
      <c r="AI79" s="11">
        <v>34.27978009</v>
      </c>
      <c r="AJ79" s="11">
        <v>15.95940214</v>
      </c>
      <c r="AK79" s="11" t="s">
        <v>181</v>
      </c>
      <c r="AL79" s="18" t="str">
        <f t="shared" si="21"/>
        <v/>
      </c>
    </row>
    <row r="80" ht="15.75" customHeight="1">
      <c r="A80" s="11" t="s">
        <v>182</v>
      </c>
      <c r="B80" s="11">
        <v>2015.0</v>
      </c>
      <c r="C80" s="12" t="str">
        <f>VLOOKUP(A80, Regions!A:B, 2, FALSE)
</f>
        <v>Sub-Saharan Africa</v>
      </c>
      <c r="D80" s="13">
        <f t="shared" si="1"/>
        <v>5</v>
      </c>
      <c r="E80" s="14">
        <f t="shared" si="2"/>
        <v>2017.5</v>
      </c>
      <c r="F80" s="11" t="s">
        <v>183</v>
      </c>
      <c r="G80" s="11">
        <v>22.5150013</v>
      </c>
      <c r="H80" s="11">
        <v>44.39909697</v>
      </c>
      <c r="I80" s="15">
        <f t="shared" si="3"/>
        <v>44</v>
      </c>
      <c r="J80" s="16" t="str">
        <f t="shared" si="4"/>
        <v/>
      </c>
      <c r="K80" s="16" t="str">
        <f t="shared" si="5"/>
        <v/>
      </c>
      <c r="L80" s="16" t="str">
        <f t="shared" si="6"/>
        <v/>
      </c>
      <c r="M80" s="16" t="str">
        <f t="shared" si="7"/>
        <v>ARC&gt;0</v>
      </c>
      <c r="N80" s="13">
        <f t="shared" si="8"/>
        <v>0.357687564</v>
      </c>
      <c r="O80" s="11">
        <v>13.51638311</v>
      </c>
      <c r="P80" s="11">
        <v>34.70273994</v>
      </c>
      <c r="Q80" s="11">
        <v>7.381779982</v>
      </c>
      <c r="R80" s="11">
        <v>35.57890074</v>
      </c>
      <c r="S80" s="15">
        <f t="shared" si="9"/>
        <v>36</v>
      </c>
      <c r="T80" s="17" t="str">
        <f t="shared" si="10"/>
        <v/>
      </c>
      <c r="U80" s="17" t="str">
        <f t="shared" si="11"/>
        <v/>
      </c>
      <c r="V80" s="17" t="str">
        <f t="shared" si="12"/>
        <v/>
      </c>
      <c r="W80" s="17" t="str">
        <f t="shared" si="13"/>
        <v>ARC&gt;0</v>
      </c>
      <c r="X80" s="13">
        <f t="shared" si="14"/>
        <v>0.399262902</v>
      </c>
      <c r="Y80" s="11">
        <v>13.87641398</v>
      </c>
      <c r="Z80" s="11">
        <v>41.26615647</v>
      </c>
      <c r="AA80" s="11">
        <v>9.278528806</v>
      </c>
      <c r="AB80" s="11">
        <v>74.75365178</v>
      </c>
      <c r="AC80" s="15">
        <f t="shared" si="15"/>
        <v>75</v>
      </c>
      <c r="AD80" s="16" t="str">
        <f t="shared" si="16"/>
        <v/>
      </c>
      <c r="AE80" s="16" t="str">
        <f t="shared" si="17"/>
        <v/>
      </c>
      <c r="AF80" s="16" t="str">
        <f t="shared" si="18"/>
        <v/>
      </c>
      <c r="AG80" s="16" t="str">
        <f t="shared" si="19"/>
        <v>ARC&gt;0</v>
      </c>
      <c r="AH80" s="13">
        <f t="shared" si="20"/>
        <v>-0.112285738</v>
      </c>
      <c r="AI80" s="11">
        <v>12.27734182</v>
      </c>
      <c r="AJ80" s="11">
        <v>12.11485643</v>
      </c>
      <c r="AK80" s="11" t="s">
        <v>184</v>
      </c>
      <c r="AL80" s="18">
        <f t="shared" si="21"/>
        <v>0.51154864</v>
      </c>
    </row>
    <row r="81" ht="15.75" customHeight="1">
      <c r="A81" s="11" t="s">
        <v>182</v>
      </c>
      <c r="B81" s="11">
        <v>2020.0</v>
      </c>
      <c r="C81" s="12" t="str">
        <f>VLOOKUP(A81, Regions!A:B, 2, FALSE)
</f>
        <v>Sub-Saharan Africa</v>
      </c>
      <c r="D81" s="13" t="str">
        <f t="shared" si="1"/>
        <v/>
      </c>
      <c r="E81" s="14" t="str">
        <f t="shared" si="2"/>
        <v/>
      </c>
      <c r="F81" s="11" t="s">
        <v>185</v>
      </c>
      <c r="G81" s="11">
        <v>23.52000046</v>
      </c>
      <c r="H81" s="11">
        <v>46.18753479</v>
      </c>
      <c r="I81" s="15">
        <f t="shared" si="3"/>
        <v>46</v>
      </c>
      <c r="J81" s="16" t="str">
        <f t="shared" si="4"/>
        <v/>
      </c>
      <c r="K81" s="16" t="str">
        <f t="shared" si="5"/>
        <v/>
      </c>
      <c r="L81" s="16" t="str">
        <f t="shared" si="6"/>
        <v/>
      </c>
      <c r="M81" s="16" t="str">
        <f t="shared" si="7"/>
        <v>ARC&gt;0</v>
      </c>
      <c r="N81" s="13" t="str">
        <f t="shared" si="8"/>
        <v/>
      </c>
      <c r="O81" s="11">
        <v>14.74028929</v>
      </c>
      <c r="P81" s="11">
        <v>31.56245714</v>
      </c>
      <c r="Q81" s="11">
        <v>7.509718784</v>
      </c>
      <c r="R81" s="11">
        <v>37.57521525</v>
      </c>
      <c r="S81" s="15">
        <f t="shared" si="9"/>
        <v>38</v>
      </c>
      <c r="T81" s="17" t="str">
        <f t="shared" si="10"/>
        <v/>
      </c>
      <c r="U81" s="17" t="str">
        <f t="shared" si="11"/>
        <v/>
      </c>
      <c r="V81" s="17" t="str">
        <f t="shared" si="12"/>
        <v/>
      </c>
      <c r="W81" s="17" t="str">
        <f t="shared" si="13"/>
        <v>ARC&gt;0</v>
      </c>
      <c r="X81" s="13" t="str">
        <f t="shared" si="14"/>
        <v/>
      </c>
      <c r="Y81" s="11">
        <v>14.35396111</v>
      </c>
      <c r="Z81" s="11">
        <v>38.52496761</v>
      </c>
      <c r="AA81" s="11">
        <v>9.545856027</v>
      </c>
      <c r="AB81" s="11">
        <v>74.19222309</v>
      </c>
      <c r="AC81" s="15">
        <f t="shared" si="15"/>
        <v>74</v>
      </c>
      <c r="AD81" s="16" t="str">
        <f t="shared" si="16"/>
        <v/>
      </c>
      <c r="AE81" s="16" t="str">
        <f t="shared" si="17"/>
        <v/>
      </c>
      <c r="AF81" s="16" t="str">
        <f t="shared" si="18"/>
        <v/>
      </c>
      <c r="AG81" s="16" t="str">
        <f t="shared" si="19"/>
        <v>ARC&gt;0</v>
      </c>
      <c r="AH81" s="13" t="str">
        <f t="shared" si="20"/>
        <v/>
      </c>
      <c r="AI81" s="11">
        <v>15.99651381</v>
      </c>
      <c r="AJ81" s="11">
        <v>8.922452721</v>
      </c>
      <c r="AK81" s="11" t="s">
        <v>186</v>
      </c>
      <c r="AL81" s="18" t="str">
        <f t="shared" si="21"/>
        <v/>
      </c>
    </row>
    <row r="82" ht="15.75" customHeight="1">
      <c r="A82" s="11" t="s">
        <v>187</v>
      </c>
      <c r="B82" s="11">
        <v>2015.0</v>
      </c>
      <c r="C82" s="12" t="str">
        <f>VLOOKUP(A82, Regions!A:B, 2, FALSE)
</f>
        <v>Europe &amp; Central Asia</v>
      </c>
      <c r="D82" s="13">
        <f t="shared" si="1"/>
        <v>2</v>
      </c>
      <c r="E82" s="14">
        <f t="shared" si="2"/>
        <v>2016</v>
      </c>
      <c r="F82" s="11" t="s">
        <v>188</v>
      </c>
      <c r="G82" s="11">
        <v>30.96199799</v>
      </c>
      <c r="H82" s="11">
        <v>94.15</v>
      </c>
      <c r="I82" s="15">
        <f t="shared" si="3"/>
        <v>94</v>
      </c>
      <c r="J82" s="16" t="str">
        <f t="shared" si="4"/>
        <v/>
      </c>
      <c r="K82" s="16" t="str">
        <f t="shared" si="5"/>
        <v/>
      </c>
      <c r="L82" s="16" t="str">
        <f t="shared" si="6"/>
        <v/>
      </c>
      <c r="M82" s="16" t="str">
        <f t="shared" si="7"/>
        <v>ARC&gt;0</v>
      </c>
      <c r="N82" s="13">
        <f t="shared" si="8"/>
        <v>0</v>
      </c>
      <c r="O82" s="11">
        <v>0.0</v>
      </c>
      <c r="P82" s="11">
        <v>5.85</v>
      </c>
      <c r="Q82" s="11">
        <v>0.0</v>
      </c>
      <c r="S82" s="15">
        <f t="shared" si="9"/>
        <v>0</v>
      </c>
      <c r="T82" s="17" t="str">
        <f t="shared" si="10"/>
        <v/>
      </c>
      <c r="U82" s="17" t="str">
        <f t="shared" si="11"/>
        <v>ARC=0</v>
      </c>
      <c r="V82" s="17" t="str">
        <f t="shared" si="12"/>
        <v/>
      </c>
      <c r="W82" s="17" t="str">
        <f t="shared" si="13"/>
        <v/>
      </c>
      <c r="X82" s="13">
        <f t="shared" si="14"/>
        <v>0</v>
      </c>
      <c r="AC82" s="15">
        <f t="shared" si="15"/>
        <v>0</v>
      </c>
      <c r="AD82" s="16" t="str">
        <f t="shared" si="16"/>
        <v/>
      </c>
      <c r="AE82" s="16" t="str">
        <f t="shared" si="17"/>
        <v>ARC=0</v>
      </c>
      <c r="AF82" s="16" t="str">
        <f t="shared" si="18"/>
        <v/>
      </c>
      <c r="AG82" s="16" t="str">
        <f t="shared" si="19"/>
        <v/>
      </c>
      <c r="AH82" s="13">
        <f t="shared" si="20"/>
        <v>0</v>
      </c>
      <c r="AL82" s="18">
        <f t="shared" si="21"/>
        <v>0</v>
      </c>
    </row>
    <row r="83" ht="15.75" customHeight="1">
      <c r="A83" s="11" t="s">
        <v>187</v>
      </c>
      <c r="B83" s="11">
        <v>2017.0</v>
      </c>
      <c r="C83" s="12" t="str">
        <f>VLOOKUP(A83, Regions!A:B, 2, FALSE)
</f>
        <v>Europe &amp; Central Asia</v>
      </c>
      <c r="D83" s="13" t="str">
        <f t="shared" si="1"/>
        <v/>
      </c>
      <c r="E83" s="14" t="str">
        <f t="shared" si="2"/>
        <v/>
      </c>
      <c r="F83" s="11" t="s">
        <v>189</v>
      </c>
      <c r="G83" s="11">
        <v>30.91399956</v>
      </c>
      <c r="H83" s="11">
        <v>94.15</v>
      </c>
      <c r="I83" s="15">
        <f t="shared" si="3"/>
        <v>94</v>
      </c>
      <c r="J83" s="16" t="str">
        <f t="shared" si="4"/>
        <v/>
      </c>
      <c r="K83" s="16" t="str">
        <f t="shared" si="5"/>
        <v/>
      </c>
      <c r="L83" s="16" t="str">
        <f t="shared" si="6"/>
        <v/>
      </c>
      <c r="M83" s="16" t="str">
        <f t="shared" si="7"/>
        <v>ARC&gt;0</v>
      </c>
      <c r="N83" s="13" t="str">
        <f t="shared" si="8"/>
        <v/>
      </c>
      <c r="O83" s="11">
        <v>0.0</v>
      </c>
      <c r="P83" s="11">
        <v>5.85</v>
      </c>
      <c r="Q83" s="11">
        <v>0.0</v>
      </c>
      <c r="S83" s="15">
        <f t="shared" si="9"/>
        <v>0</v>
      </c>
      <c r="T83" s="17" t="str">
        <f t="shared" si="10"/>
        <v/>
      </c>
      <c r="U83" s="17" t="str">
        <f t="shared" si="11"/>
        <v>ARC=0</v>
      </c>
      <c r="V83" s="17" t="str">
        <f t="shared" si="12"/>
        <v/>
      </c>
      <c r="W83" s="17" t="str">
        <f t="shared" si="13"/>
        <v/>
      </c>
      <c r="X83" s="13" t="str">
        <f t="shared" si="14"/>
        <v/>
      </c>
      <c r="AC83" s="15">
        <f t="shared" si="15"/>
        <v>0</v>
      </c>
      <c r="AD83" s="16" t="str">
        <f t="shared" si="16"/>
        <v/>
      </c>
      <c r="AE83" s="16" t="str">
        <f t="shared" si="17"/>
        <v>ARC=0</v>
      </c>
      <c r="AF83" s="16" t="str">
        <f t="shared" si="18"/>
        <v/>
      </c>
      <c r="AG83" s="16" t="str">
        <f t="shared" si="19"/>
        <v/>
      </c>
      <c r="AH83" s="13" t="str">
        <f t="shared" si="20"/>
        <v/>
      </c>
      <c r="AL83" s="18" t="str">
        <f t="shared" si="21"/>
        <v/>
      </c>
    </row>
    <row r="84" ht="15.75" customHeight="1">
      <c r="A84" s="11" t="s">
        <v>190</v>
      </c>
      <c r="B84" s="11">
        <v>2015.0</v>
      </c>
      <c r="C84" s="12" t="str">
        <f>VLOOKUP(A84, Regions!A:B, 2, FALSE)
</f>
        <v>Latin America &amp; Caribbean</v>
      </c>
      <c r="D84" s="13">
        <f t="shared" si="1"/>
        <v>5</v>
      </c>
      <c r="E84" s="14">
        <f t="shared" si="2"/>
        <v>2017.5</v>
      </c>
      <c r="F84" s="11" t="s">
        <v>191</v>
      </c>
      <c r="G84" s="11">
        <v>87.36000061</v>
      </c>
      <c r="H84" s="11">
        <v>99.50649272</v>
      </c>
      <c r="I84" s="15">
        <f t="shared" si="3"/>
        <v>100</v>
      </c>
      <c r="J84" s="16" t="str">
        <f t="shared" si="4"/>
        <v>full access</v>
      </c>
      <c r="K84" s="16" t="str">
        <f t="shared" si="5"/>
        <v/>
      </c>
      <c r="L84" s="16" t="str">
        <f t="shared" si="6"/>
        <v/>
      </c>
      <c r="M84" s="16" t="str">
        <f t="shared" si="7"/>
        <v/>
      </c>
      <c r="N84" s="13">
        <f t="shared" si="8"/>
        <v>0.0987012</v>
      </c>
      <c r="O84" s="11">
        <v>0.0</v>
      </c>
      <c r="P84" s="11">
        <v>0.4935072758</v>
      </c>
      <c r="Q84" s="11">
        <v>0.0</v>
      </c>
      <c r="R84" s="11">
        <v>97.0676985</v>
      </c>
      <c r="S84" s="15">
        <f t="shared" si="9"/>
        <v>97</v>
      </c>
      <c r="T84" s="17" t="str">
        <f t="shared" si="10"/>
        <v/>
      </c>
      <c r="U84" s="17" t="str">
        <f t="shared" si="11"/>
        <v/>
      </c>
      <c r="V84" s="17" t="str">
        <f t="shared" si="12"/>
        <v/>
      </c>
      <c r="W84" s="17" t="str">
        <f t="shared" si="13"/>
        <v>ARC&gt;0</v>
      </c>
      <c r="X84" s="13">
        <f t="shared" si="14"/>
        <v>0.5864603</v>
      </c>
      <c r="Y84" s="11">
        <v>0.0</v>
      </c>
      <c r="Z84" s="11">
        <v>2.932301498</v>
      </c>
      <c r="AA84" s="11">
        <v>0.0</v>
      </c>
      <c r="AB84" s="11">
        <v>99.85935698</v>
      </c>
      <c r="AC84" s="15">
        <f t="shared" si="15"/>
        <v>100</v>
      </c>
      <c r="AD84" s="16" t="str">
        <f t="shared" si="16"/>
        <v>full access</v>
      </c>
      <c r="AE84" s="16" t="str">
        <f t="shared" si="17"/>
        <v/>
      </c>
      <c r="AF84" s="16" t="str">
        <f t="shared" si="18"/>
        <v/>
      </c>
      <c r="AG84" s="16" t="str">
        <f t="shared" si="19"/>
        <v>ARC&gt;0</v>
      </c>
      <c r="AH84" s="13">
        <f t="shared" si="20"/>
        <v>0.028128604</v>
      </c>
      <c r="AI84" s="11">
        <v>0.0</v>
      </c>
      <c r="AJ84" s="11">
        <v>0.1406430186</v>
      </c>
      <c r="AK84" s="11" t="s">
        <v>43</v>
      </c>
      <c r="AL84" s="18">
        <f t="shared" si="21"/>
        <v>0.558331696</v>
      </c>
    </row>
    <row r="85" ht="15.75" customHeight="1">
      <c r="A85" s="11" t="s">
        <v>190</v>
      </c>
      <c r="B85" s="11">
        <v>2020.0</v>
      </c>
      <c r="C85" s="12" t="str">
        <f>VLOOKUP(A85, Regions!A:B, 2, FALSE)
</f>
        <v>Latin America &amp; Caribbean</v>
      </c>
      <c r="D85" s="13" t="str">
        <f t="shared" si="1"/>
        <v/>
      </c>
      <c r="E85" s="14" t="str">
        <f t="shared" si="2"/>
        <v/>
      </c>
      <c r="F85" s="11" t="s">
        <v>192</v>
      </c>
      <c r="G85" s="11">
        <v>87.72699738</v>
      </c>
      <c r="H85" s="11">
        <v>99.99999872</v>
      </c>
      <c r="I85" s="15">
        <f t="shared" si="3"/>
        <v>100</v>
      </c>
      <c r="J85" s="16" t="str">
        <f t="shared" si="4"/>
        <v/>
      </c>
      <c r="K85" s="16" t="str">
        <f t="shared" si="5"/>
        <v/>
      </c>
      <c r="L85" s="16" t="str">
        <f t="shared" si="6"/>
        <v/>
      </c>
      <c r="M85" s="16" t="str">
        <f t="shared" si="7"/>
        <v>ARC&gt;0</v>
      </c>
      <c r="N85" s="13" t="str">
        <f t="shared" si="8"/>
        <v/>
      </c>
      <c r="O85" s="11">
        <v>0.0</v>
      </c>
      <c r="P85" s="11">
        <v>1.277139333E-6</v>
      </c>
      <c r="Q85" s="11">
        <v>0.0</v>
      </c>
      <c r="R85" s="11">
        <v>100.0</v>
      </c>
      <c r="S85" s="15">
        <f t="shared" si="9"/>
        <v>100</v>
      </c>
      <c r="T85" s="17" t="str">
        <f t="shared" si="10"/>
        <v/>
      </c>
      <c r="U85" s="17" t="str">
        <f t="shared" si="11"/>
        <v/>
      </c>
      <c r="V85" s="17" t="str">
        <f t="shared" si="12"/>
        <v/>
      </c>
      <c r="W85" s="17" t="str">
        <f t="shared" si="13"/>
        <v>ARC&gt;0</v>
      </c>
      <c r="X85" s="13" t="str">
        <f t="shared" si="14"/>
        <v/>
      </c>
      <c r="Y85" s="11">
        <v>0.0</v>
      </c>
      <c r="Z85" s="11">
        <v>0.0</v>
      </c>
      <c r="AA85" s="11">
        <v>0.0</v>
      </c>
      <c r="AB85" s="11">
        <v>100.0</v>
      </c>
      <c r="AC85" s="15">
        <f t="shared" si="15"/>
        <v>100</v>
      </c>
      <c r="AD85" s="16" t="str">
        <f t="shared" si="16"/>
        <v/>
      </c>
      <c r="AE85" s="16" t="str">
        <f t="shared" si="17"/>
        <v/>
      </c>
      <c r="AF85" s="16" t="str">
        <f t="shared" si="18"/>
        <v/>
      </c>
      <c r="AG85" s="16" t="str">
        <f t="shared" si="19"/>
        <v>ARC&gt;0</v>
      </c>
      <c r="AH85" s="13" t="str">
        <f t="shared" si="20"/>
        <v/>
      </c>
      <c r="AI85" s="11">
        <v>0.0</v>
      </c>
      <c r="AJ85" s="11">
        <v>0.0</v>
      </c>
      <c r="AK85" s="11" t="s">
        <v>43</v>
      </c>
      <c r="AL85" s="18" t="str">
        <f t="shared" si="21"/>
        <v/>
      </c>
    </row>
    <row r="86" ht="15.75" customHeight="1">
      <c r="A86" s="11" t="s">
        <v>193</v>
      </c>
      <c r="B86" s="11">
        <v>2015.0</v>
      </c>
      <c r="C86" s="12" t="str">
        <f>VLOOKUP(A86, Regions!A:B, 2, FALSE)
</f>
        <v>East Asia &amp; Pacific</v>
      </c>
      <c r="D86" s="13">
        <f t="shared" si="1"/>
        <v>5</v>
      </c>
      <c r="E86" s="14">
        <f t="shared" si="2"/>
        <v>2017.5</v>
      </c>
      <c r="F86" s="11" t="s">
        <v>194</v>
      </c>
      <c r="G86" s="11">
        <v>55.85270691</v>
      </c>
      <c r="H86" s="11">
        <v>91.76264123</v>
      </c>
      <c r="I86" s="15">
        <f t="shared" si="3"/>
        <v>92</v>
      </c>
      <c r="J86" s="16" t="str">
        <f t="shared" si="4"/>
        <v/>
      </c>
      <c r="K86" s="16" t="str">
        <f t="shared" si="5"/>
        <v/>
      </c>
      <c r="L86" s="16" t="str">
        <f t="shared" si="6"/>
        <v/>
      </c>
      <c r="M86" s="16" t="str">
        <f t="shared" si="7"/>
        <v>ARC&gt;0</v>
      </c>
      <c r="N86" s="13">
        <f t="shared" si="8"/>
        <v>0.499693872</v>
      </c>
      <c r="O86" s="11">
        <v>0.8187626618</v>
      </c>
      <c r="P86" s="11">
        <v>6.782077407</v>
      </c>
      <c r="Q86" s="11">
        <v>0.6365187008</v>
      </c>
      <c r="R86" s="11">
        <v>84.47918792</v>
      </c>
      <c r="S86" s="15">
        <f t="shared" si="9"/>
        <v>84</v>
      </c>
      <c r="T86" s="17" t="str">
        <f t="shared" si="10"/>
        <v/>
      </c>
      <c r="U86" s="17" t="str">
        <f t="shared" si="11"/>
        <v/>
      </c>
      <c r="V86" s="17" t="str">
        <f t="shared" si="12"/>
        <v/>
      </c>
      <c r="W86" s="17" t="str">
        <f t="shared" si="13"/>
        <v>ARC&gt;0</v>
      </c>
      <c r="X86" s="13">
        <f t="shared" si="14"/>
        <v>1.036409118</v>
      </c>
      <c r="Y86" s="11">
        <v>1.51186307</v>
      </c>
      <c r="Z86" s="11">
        <v>12.95294901</v>
      </c>
      <c r="AA86" s="11">
        <v>1.056</v>
      </c>
      <c r="AB86" s="11">
        <v>97.51965397</v>
      </c>
      <c r="AC86" s="15">
        <f t="shared" si="15"/>
        <v>98</v>
      </c>
      <c r="AD86" s="16" t="str">
        <f t="shared" si="16"/>
        <v/>
      </c>
      <c r="AE86" s="16" t="str">
        <f t="shared" si="17"/>
        <v/>
      </c>
      <c r="AF86" s="16" t="str">
        <f t="shared" si="18"/>
        <v/>
      </c>
      <c r="AG86" s="16" t="str">
        <f t="shared" si="19"/>
        <v>ARC&gt;0</v>
      </c>
      <c r="AH86" s="13">
        <f t="shared" si="20"/>
        <v>-0.08095426</v>
      </c>
      <c r="AI86" s="11">
        <v>0.2709198039</v>
      </c>
      <c r="AJ86" s="11">
        <v>1.90447541</v>
      </c>
      <c r="AK86" s="11" t="s">
        <v>195</v>
      </c>
      <c r="AL86" s="18">
        <f t="shared" si="21"/>
        <v>1.117363378</v>
      </c>
    </row>
    <row r="87" ht="15.75" customHeight="1">
      <c r="A87" s="11" t="s">
        <v>193</v>
      </c>
      <c r="B87" s="11">
        <v>2020.0</v>
      </c>
      <c r="C87" s="12" t="str">
        <f>VLOOKUP(A87, Regions!A:B, 2, FALSE)
</f>
        <v>East Asia &amp; Pacific</v>
      </c>
      <c r="D87" s="13" t="str">
        <f t="shared" si="1"/>
        <v/>
      </c>
      <c r="E87" s="14" t="str">
        <f t="shared" si="2"/>
        <v/>
      </c>
      <c r="F87" s="11" t="s">
        <v>196</v>
      </c>
      <c r="G87" s="11">
        <v>61.71308899</v>
      </c>
      <c r="H87" s="11">
        <v>94.26111059</v>
      </c>
      <c r="I87" s="15">
        <f t="shared" si="3"/>
        <v>94</v>
      </c>
      <c r="J87" s="16" t="str">
        <f t="shared" si="4"/>
        <v/>
      </c>
      <c r="K87" s="16" t="str">
        <f t="shared" si="5"/>
        <v/>
      </c>
      <c r="L87" s="16" t="str">
        <f t="shared" si="6"/>
        <v/>
      </c>
      <c r="M87" s="16" t="str">
        <f t="shared" si="7"/>
        <v>ARC&gt;0</v>
      </c>
      <c r="N87" s="13" t="str">
        <f t="shared" si="8"/>
        <v/>
      </c>
      <c r="O87" s="11">
        <v>0.8147213297</v>
      </c>
      <c r="P87" s="11">
        <v>4.725451938</v>
      </c>
      <c r="Q87" s="11">
        <v>0.1987161441</v>
      </c>
      <c r="R87" s="11">
        <v>89.66123351</v>
      </c>
      <c r="S87" s="15">
        <f t="shared" si="9"/>
        <v>90</v>
      </c>
      <c r="T87" s="17" t="str">
        <f t="shared" si="10"/>
        <v/>
      </c>
      <c r="U87" s="17" t="str">
        <f t="shared" si="11"/>
        <v/>
      </c>
      <c r="V87" s="17" t="str">
        <f t="shared" si="12"/>
        <v/>
      </c>
      <c r="W87" s="17" t="str">
        <f t="shared" si="13"/>
        <v>ARC&gt;0</v>
      </c>
      <c r="X87" s="13" t="str">
        <f t="shared" si="14"/>
        <v/>
      </c>
      <c r="Y87" s="11">
        <v>1.832679086</v>
      </c>
      <c r="Z87" s="11">
        <v>8.506087409</v>
      </c>
      <c r="AA87" s="11">
        <v>0.0</v>
      </c>
      <c r="AB87" s="11">
        <v>97.11488267</v>
      </c>
      <c r="AC87" s="15">
        <f t="shared" si="15"/>
        <v>97</v>
      </c>
      <c r="AD87" s="16" t="str">
        <f t="shared" si="16"/>
        <v/>
      </c>
      <c r="AE87" s="16" t="str">
        <f t="shared" si="17"/>
        <v/>
      </c>
      <c r="AF87" s="16" t="str">
        <f t="shared" si="18"/>
        <v/>
      </c>
      <c r="AG87" s="16" t="str">
        <f t="shared" si="19"/>
        <v>ARC&gt;0</v>
      </c>
      <c r="AH87" s="13" t="str">
        <f t="shared" si="20"/>
        <v/>
      </c>
      <c r="AI87" s="11">
        <v>0.1831784927</v>
      </c>
      <c r="AJ87" s="11">
        <v>2.37993884</v>
      </c>
      <c r="AK87" s="11" t="s">
        <v>197</v>
      </c>
      <c r="AL87" s="18" t="str">
        <f t="shared" si="21"/>
        <v/>
      </c>
    </row>
    <row r="88" ht="15.75" customHeight="1">
      <c r="A88" s="11" t="s">
        <v>198</v>
      </c>
      <c r="B88" s="11">
        <v>2015.0</v>
      </c>
      <c r="C88" s="12" t="str">
        <f>VLOOKUP(A88, Regions!A:B, 2, FALSE)
</f>
        <v>East Asia &amp; Pacific</v>
      </c>
      <c r="D88" s="13">
        <f t="shared" si="1"/>
        <v>5</v>
      </c>
      <c r="E88" s="14">
        <f t="shared" si="2"/>
        <v>2017.5</v>
      </c>
      <c r="F88" s="11" t="s">
        <v>199</v>
      </c>
      <c r="G88" s="11">
        <v>100.0</v>
      </c>
      <c r="H88" s="11">
        <v>100.0</v>
      </c>
      <c r="I88" s="15">
        <f t="shared" si="3"/>
        <v>100</v>
      </c>
      <c r="J88" s="16" t="str">
        <f t="shared" si="4"/>
        <v>full access</v>
      </c>
      <c r="K88" s="16" t="str">
        <f t="shared" si="5"/>
        <v/>
      </c>
      <c r="L88" s="16" t="str">
        <f t="shared" si="6"/>
        <v/>
      </c>
      <c r="M88" s="16" t="str">
        <f t="shared" si="7"/>
        <v/>
      </c>
      <c r="N88" s="13">
        <f t="shared" si="8"/>
        <v>0</v>
      </c>
      <c r="O88" s="11">
        <v>0.0</v>
      </c>
      <c r="P88" s="11">
        <v>0.0</v>
      </c>
      <c r="Q88" s="11">
        <v>0.0</v>
      </c>
      <c r="S88" s="15">
        <f t="shared" si="9"/>
        <v>0</v>
      </c>
      <c r="T88" s="17" t="str">
        <f t="shared" si="10"/>
        <v/>
      </c>
      <c r="U88" s="17" t="str">
        <f t="shared" si="11"/>
        <v>ARC=0</v>
      </c>
      <c r="V88" s="17" t="str">
        <f t="shared" si="12"/>
        <v/>
      </c>
      <c r="W88" s="17" t="str">
        <f t="shared" si="13"/>
        <v/>
      </c>
      <c r="X88" s="13">
        <f t="shared" si="14"/>
        <v>0</v>
      </c>
      <c r="AB88" s="11">
        <v>100.0</v>
      </c>
      <c r="AC88" s="15">
        <f t="shared" si="15"/>
        <v>100</v>
      </c>
      <c r="AD88" s="16" t="str">
        <f t="shared" si="16"/>
        <v>full access</v>
      </c>
      <c r="AE88" s="16" t="str">
        <f t="shared" si="17"/>
        <v/>
      </c>
      <c r="AF88" s="16" t="str">
        <f t="shared" si="18"/>
        <v/>
      </c>
      <c r="AG88" s="16" t="str">
        <f t="shared" si="19"/>
        <v>ARC&gt;0</v>
      </c>
      <c r="AH88" s="13">
        <f t="shared" si="20"/>
        <v>0</v>
      </c>
      <c r="AI88" s="11">
        <v>0.0</v>
      </c>
      <c r="AJ88" s="11">
        <v>0.0</v>
      </c>
      <c r="AK88" s="11" t="s">
        <v>43</v>
      </c>
      <c r="AL88" s="18">
        <f t="shared" si="21"/>
        <v>0</v>
      </c>
    </row>
    <row r="89" ht="15.75" customHeight="1">
      <c r="A89" s="11" t="s">
        <v>198</v>
      </c>
      <c r="B89" s="11">
        <v>2020.0</v>
      </c>
      <c r="C89" s="12" t="str">
        <f>VLOOKUP(A89, Regions!A:B, 2, FALSE)
</f>
        <v>East Asia &amp; Pacific</v>
      </c>
      <c r="D89" s="13" t="str">
        <f t="shared" si="1"/>
        <v/>
      </c>
      <c r="E89" s="14" t="str">
        <f t="shared" si="2"/>
        <v/>
      </c>
      <c r="F89" s="11" t="s">
        <v>200</v>
      </c>
      <c r="G89" s="11">
        <v>100.0</v>
      </c>
      <c r="H89" s="11">
        <v>100.0</v>
      </c>
      <c r="I89" s="15">
        <f t="shared" si="3"/>
        <v>100</v>
      </c>
      <c r="J89" s="16" t="str">
        <f t="shared" si="4"/>
        <v/>
      </c>
      <c r="K89" s="16" t="str">
        <f t="shared" si="5"/>
        <v/>
      </c>
      <c r="L89" s="16" t="str">
        <f t="shared" si="6"/>
        <v/>
      </c>
      <c r="M89" s="16" t="str">
        <f t="shared" si="7"/>
        <v>ARC&gt;0</v>
      </c>
      <c r="N89" s="13" t="str">
        <f t="shared" si="8"/>
        <v/>
      </c>
      <c r="O89" s="11">
        <v>0.0</v>
      </c>
      <c r="P89" s="11">
        <v>0.0</v>
      </c>
      <c r="Q89" s="11">
        <v>0.0</v>
      </c>
      <c r="S89" s="15">
        <f t="shared" si="9"/>
        <v>0</v>
      </c>
      <c r="T89" s="17" t="str">
        <f t="shared" si="10"/>
        <v/>
      </c>
      <c r="U89" s="17" t="str">
        <f t="shared" si="11"/>
        <v>ARC=0</v>
      </c>
      <c r="V89" s="17" t="str">
        <f t="shared" si="12"/>
        <v/>
      </c>
      <c r="W89" s="17" t="str">
        <f t="shared" si="13"/>
        <v/>
      </c>
      <c r="X89" s="13" t="str">
        <f t="shared" si="14"/>
        <v/>
      </c>
      <c r="AB89" s="11">
        <v>100.0</v>
      </c>
      <c r="AC89" s="15">
        <f t="shared" si="15"/>
        <v>100</v>
      </c>
      <c r="AD89" s="16" t="str">
        <f t="shared" si="16"/>
        <v/>
      </c>
      <c r="AE89" s="16" t="str">
        <f t="shared" si="17"/>
        <v/>
      </c>
      <c r="AF89" s="16" t="str">
        <f t="shared" si="18"/>
        <v/>
      </c>
      <c r="AG89" s="16" t="str">
        <f t="shared" si="19"/>
        <v>ARC&gt;0</v>
      </c>
      <c r="AH89" s="13" t="str">
        <f t="shared" si="20"/>
        <v/>
      </c>
      <c r="AI89" s="11">
        <v>0.0</v>
      </c>
      <c r="AJ89" s="11">
        <v>0.0</v>
      </c>
      <c r="AK89" s="11" t="s">
        <v>43</v>
      </c>
      <c r="AL89" s="18" t="str">
        <f t="shared" si="21"/>
        <v/>
      </c>
    </row>
    <row r="90" ht="15.75" customHeight="1">
      <c r="A90" s="11" t="s">
        <v>201</v>
      </c>
      <c r="B90" s="11">
        <v>2015.0</v>
      </c>
      <c r="C90" s="12" t="str">
        <f>VLOOKUP(A90, Regions!A:B, 2, FALSE)
</f>
        <v>East Asia &amp; Pacific</v>
      </c>
      <c r="D90" s="13">
        <f t="shared" si="1"/>
        <v>5</v>
      </c>
      <c r="E90" s="14">
        <f t="shared" si="2"/>
        <v>2017.5</v>
      </c>
      <c r="F90" s="11" t="s">
        <v>202</v>
      </c>
      <c r="G90" s="11">
        <v>100.0</v>
      </c>
      <c r="H90" s="11">
        <v>100.0</v>
      </c>
      <c r="I90" s="15">
        <f t="shared" si="3"/>
        <v>100</v>
      </c>
      <c r="J90" s="16" t="str">
        <f t="shared" si="4"/>
        <v>full access</v>
      </c>
      <c r="K90" s="16" t="str">
        <f t="shared" si="5"/>
        <v/>
      </c>
      <c r="L90" s="16" t="str">
        <f t="shared" si="6"/>
        <v/>
      </c>
      <c r="M90" s="16" t="str">
        <f t="shared" si="7"/>
        <v/>
      </c>
      <c r="N90" s="13">
        <f t="shared" si="8"/>
        <v>0</v>
      </c>
      <c r="O90" s="11">
        <v>0.0</v>
      </c>
      <c r="P90" s="11">
        <v>0.0</v>
      </c>
      <c r="Q90" s="11">
        <v>0.0</v>
      </c>
      <c r="S90" s="15">
        <f t="shared" si="9"/>
        <v>0</v>
      </c>
      <c r="T90" s="17" t="str">
        <f t="shared" si="10"/>
        <v/>
      </c>
      <c r="U90" s="17" t="str">
        <f t="shared" si="11"/>
        <v>ARC=0</v>
      </c>
      <c r="V90" s="17" t="str">
        <f t="shared" si="12"/>
        <v/>
      </c>
      <c r="W90" s="17" t="str">
        <f t="shared" si="13"/>
        <v/>
      </c>
      <c r="X90" s="13">
        <f t="shared" si="14"/>
        <v>0</v>
      </c>
      <c r="AB90" s="11">
        <v>100.0</v>
      </c>
      <c r="AC90" s="15">
        <f t="shared" si="15"/>
        <v>100</v>
      </c>
      <c r="AD90" s="16" t="str">
        <f t="shared" si="16"/>
        <v>full access</v>
      </c>
      <c r="AE90" s="16" t="str">
        <f t="shared" si="17"/>
        <v/>
      </c>
      <c r="AF90" s="16" t="str">
        <f t="shared" si="18"/>
        <v/>
      </c>
      <c r="AG90" s="16" t="str">
        <f t="shared" si="19"/>
        <v>ARC&gt;0</v>
      </c>
      <c r="AH90" s="13">
        <f t="shared" si="20"/>
        <v>0</v>
      </c>
      <c r="AI90" s="11">
        <v>0.0</v>
      </c>
      <c r="AJ90" s="11">
        <v>0.0</v>
      </c>
      <c r="AK90" s="11" t="s">
        <v>43</v>
      </c>
      <c r="AL90" s="18">
        <f t="shared" si="21"/>
        <v>0</v>
      </c>
    </row>
    <row r="91" ht="15.75" customHeight="1">
      <c r="A91" s="11" t="s">
        <v>201</v>
      </c>
      <c r="B91" s="11">
        <v>2020.0</v>
      </c>
      <c r="C91" s="12" t="str">
        <f>VLOOKUP(A91, Regions!A:B, 2, FALSE)
</f>
        <v>East Asia &amp; Pacific</v>
      </c>
      <c r="D91" s="13" t="str">
        <f t="shared" si="1"/>
        <v/>
      </c>
      <c r="E91" s="14" t="str">
        <f t="shared" si="2"/>
        <v/>
      </c>
      <c r="F91" s="11" t="s">
        <v>203</v>
      </c>
      <c r="G91" s="11">
        <v>100.0</v>
      </c>
      <c r="H91" s="11">
        <v>100.0</v>
      </c>
      <c r="I91" s="15">
        <f t="shared" si="3"/>
        <v>100</v>
      </c>
      <c r="J91" s="16" t="str">
        <f t="shared" si="4"/>
        <v/>
      </c>
      <c r="K91" s="16" t="str">
        <f t="shared" si="5"/>
        <v/>
      </c>
      <c r="L91" s="16" t="str">
        <f t="shared" si="6"/>
        <v/>
      </c>
      <c r="M91" s="16" t="str">
        <f t="shared" si="7"/>
        <v>ARC&gt;0</v>
      </c>
      <c r="N91" s="13" t="str">
        <f t="shared" si="8"/>
        <v/>
      </c>
      <c r="O91" s="11">
        <v>0.0</v>
      </c>
      <c r="P91" s="11">
        <v>0.0</v>
      </c>
      <c r="Q91" s="11">
        <v>0.0</v>
      </c>
      <c r="S91" s="15">
        <f t="shared" si="9"/>
        <v>0</v>
      </c>
      <c r="T91" s="17" t="str">
        <f t="shared" si="10"/>
        <v/>
      </c>
      <c r="U91" s="17" t="str">
        <f t="shared" si="11"/>
        <v>ARC=0</v>
      </c>
      <c r="V91" s="17" t="str">
        <f t="shared" si="12"/>
        <v/>
      </c>
      <c r="W91" s="17" t="str">
        <f t="shared" si="13"/>
        <v/>
      </c>
      <c r="X91" s="13" t="str">
        <f t="shared" si="14"/>
        <v/>
      </c>
      <c r="AB91" s="11">
        <v>100.0</v>
      </c>
      <c r="AC91" s="15">
        <f t="shared" si="15"/>
        <v>100</v>
      </c>
      <c r="AD91" s="16" t="str">
        <f t="shared" si="16"/>
        <v/>
      </c>
      <c r="AE91" s="16" t="str">
        <f t="shared" si="17"/>
        <v/>
      </c>
      <c r="AF91" s="16" t="str">
        <f t="shared" si="18"/>
        <v/>
      </c>
      <c r="AG91" s="16" t="str">
        <f t="shared" si="19"/>
        <v>ARC&gt;0</v>
      </c>
      <c r="AH91" s="13" t="str">
        <f t="shared" si="20"/>
        <v/>
      </c>
      <c r="AI91" s="11">
        <v>0.0</v>
      </c>
      <c r="AJ91" s="11">
        <v>0.0</v>
      </c>
      <c r="AK91" s="11" t="s">
        <v>43</v>
      </c>
      <c r="AL91" s="18" t="str">
        <f t="shared" si="21"/>
        <v/>
      </c>
    </row>
    <row r="92" ht="15.75" customHeight="1">
      <c r="A92" s="11" t="s">
        <v>204</v>
      </c>
      <c r="B92" s="11">
        <v>2015.0</v>
      </c>
      <c r="C92" s="12" t="str">
        <f>VLOOKUP(A92, Regions!A:B, 2, FALSE)
</f>
        <v>Latin America &amp; Caribbean</v>
      </c>
      <c r="D92" s="13">
        <f t="shared" si="1"/>
        <v>5</v>
      </c>
      <c r="E92" s="14">
        <f t="shared" si="2"/>
        <v>2017.5</v>
      </c>
      <c r="F92" s="11" t="s">
        <v>205</v>
      </c>
      <c r="G92" s="11">
        <v>79.76399994</v>
      </c>
      <c r="H92" s="11">
        <v>96.33586812</v>
      </c>
      <c r="I92" s="15">
        <f t="shared" si="3"/>
        <v>96</v>
      </c>
      <c r="J92" s="16" t="str">
        <f t="shared" si="4"/>
        <v/>
      </c>
      <c r="K92" s="16" t="str">
        <f t="shared" si="5"/>
        <v/>
      </c>
      <c r="L92" s="16" t="str">
        <f t="shared" si="6"/>
        <v/>
      </c>
      <c r="M92" s="16" t="str">
        <f t="shared" si="7"/>
        <v>ARC&gt;0</v>
      </c>
      <c r="N92" s="13">
        <f t="shared" si="8"/>
        <v>0.231157798</v>
      </c>
      <c r="O92" s="11">
        <v>0.1840519904</v>
      </c>
      <c r="P92" s="11">
        <v>1.703445062</v>
      </c>
      <c r="Q92" s="11">
        <v>1.776634827</v>
      </c>
      <c r="R92" s="11">
        <v>83.27372585</v>
      </c>
      <c r="S92" s="15">
        <f t="shared" si="9"/>
        <v>83</v>
      </c>
      <c r="T92" s="17" t="str">
        <f t="shared" si="10"/>
        <v/>
      </c>
      <c r="U92" s="17" t="str">
        <f t="shared" si="11"/>
        <v/>
      </c>
      <c r="V92" s="17" t="str">
        <f t="shared" si="12"/>
        <v/>
      </c>
      <c r="W92" s="17" t="str">
        <f t="shared" si="13"/>
        <v>ARC&gt;0</v>
      </c>
      <c r="X92" s="13">
        <f t="shared" si="14"/>
        <v>0.698669394</v>
      </c>
      <c r="Y92" s="11">
        <v>0.6876656261</v>
      </c>
      <c r="Z92" s="11">
        <v>7.259032355</v>
      </c>
      <c r="AA92" s="11">
        <v>8.779576172</v>
      </c>
      <c r="AB92" s="11">
        <v>99.64971237</v>
      </c>
      <c r="AC92" s="15">
        <f t="shared" si="15"/>
        <v>100</v>
      </c>
      <c r="AD92" s="16" t="str">
        <f t="shared" si="16"/>
        <v>full access</v>
      </c>
      <c r="AE92" s="16" t="str">
        <f t="shared" si="17"/>
        <v/>
      </c>
      <c r="AF92" s="16" t="str">
        <f t="shared" si="18"/>
        <v/>
      </c>
      <c r="AG92" s="16" t="str">
        <f t="shared" si="19"/>
        <v>ARC&gt;0</v>
      </c>
      <c r="AH92" s="13">
        <f t="shared" si="20"/>
        <v>0.057696086</v>
      </c>
      <c r="AI92" s="11">
        <v>0.05628603022</v>
      </c>
      <c r="AJ92" s="11">
        <v>0.2940016029</v>
      </c>
      <c r="AK92" s="11" t="s">
        <v>43</v>
      </c>
      <c r="AL92" s="18">
        <f t="shared" si="21"/>
        <v>0.640973308</v>
      </c>
    </row>
    <row r="93" ht="15.75" customHeight="1">
      <c r="A93" s="11" t="s">
        <v>204</v>
      </c>
      <c r="B93" s="11">
        <v>2020.0</v>
      </c>
      <c r="C93" s="12" t="str">
        <f>VLOOKUP(A93, Regions!A:B, 2, FALSE)
</f>
        <v>Latin America &amp; Caribbean</v>
      </c>
      <c r="D93" s="13" t="str">
        <f t="shared" si="1"/>
        <v/>
      </c>
      <c r="E93" s="14" t="str">
        <f t="shared" si="2"/>
        <v/>
      </c>
      <c r="F93" s="11" t="s">
        <v>206</v>
      </c>
      <c r="G93" s="11">
        <v>81.42499542</v>
      </c>
      <c r="H93" s="11">
        <v>97.49165711</v>
      </c>
      <c r="I93" s="15">
        <f t="shared" si="3"/>
        <v>97</v>
      </c>
      <c r="J93" s="16" t="str">
        <f t="shared" si="4"/>
        <v/>
      </c>
      <c r="K93" s="16" t="str">
        <f t="shared" si="5"/>
        <v/>
      </c>
      <c r="L93" s="16" t="str">
        <f t="shared" si="6"/>
        <v/>
      </c>
      <c r="M93" s="16" t="str">
        <f t="shared" si="7"/>
        <v>ARC&gt;0</v>
      </c>
      <c r="N93" s="13" t="str">
        <f t="shared" si="8"/>
        <v/>
      </c>
      <c r="O93" s="11">
        <v>0.1861521591</v>
      </c>
      <c r="P93" s="11">
        <v>0.9536162228</v>
      </c>
      <c r="Q93" s="11">
        <v>1.368574512</v>
      </c>
      <c r="R93" s="11">
        <v>86.76707282</v>
      </c>
      <c r="S93" s="15">
        <f t="shared" si="9"/>
        <v>87</v>
      </c>
      <c r="T93" s="17" t="str">
        <f t="shared" si="10"/>
        <v/>
      </c>
      <c r="U93" s="17" t="str">
        <f t="shared" si="11"/>
        <v/>
      </c>
      <c r="V93" s="17" t="str">
        <f t="shared" si="12"/>
        <v/>
      </c>
      <c r="W93" s="17" t="str">
        <f t="shared" si="13"/>
        <v>ARC&gt;0</v>
      </c>
      <c r="X93" s="13" t="str">
        <f t="shared" si="14"/>
        <v/>
      </c>
      <c r="Y93" s="11">
        <v>0.7312282016</v>
      </c>
      <c r="Z93" s="11">
        <v>5.13386897</v>
      </c>
      <c r="AA93" s="11">
        <v>7.367830005</v>
      </c>
      <c r="AB93" s="11">
        <v>99.9381928</v>
      </c>
      <c r="AC93" s="15">
        <f t="shared" si="15"/>
        <v>100</v>
      </c>
      <c r="AD93" s="16" t="str">
        <f t="shared" si="16"/>
        <v/>
      </c>
      <c r="AE93" s="16" t="str">
        <f t="shared" si="17"/>
        <v/>
      </c>
      <c r="AF93" s="16" t="str">
        <f t="shared" si="18"/>
        <v/>
      </c>
      <c r="AG93" s="16" t="str">
        <f t="shared" si="19"/>
        <v>ARC&gt;0</v>
      </c>
      <c r="AH93" s="13" t="str">
        <f t="shared" si="20"/>
        <v/>
      </c>
      <c r="AI93" s="11">
        <v>0.0618072</v>
      </c>
      <c r="AJ93" s="11">
        <v>0.0</v>
      </c>
      <c r="AK93" s="11" t="s">
        <v>43</v>
      </c>
      <c r="AL93" s="18" t="str">
        <f t="shared" si="21"/>
        <v/>
      </c>
    </row>
    <row r="94" ht="15.75" customHeight="1">
      <c r="A94" s="11" t="s">
        <v>207</v>
      </c>
      <c r="B94" s="11">
        <v>2015.0</v>
      </c>
      <c r="C94" s="12" t="str">
        <f>VLOOKUP(A94, Regions!A:B, 2, FALSE)
</f>
        <v>Sub-Saharan Africa</v>
      </c>
      <c r="D94" s="13">
        <f t="shared" si="1"/>
        <v>4</v>
      </c>
      <c r="E94" s="14">
        <f t="shared" si="2"/>
        <v>2017</v>
      </c>
      <c r="F94" s="11" t="s">
        <v>208</v>
      </c>
      <c r="G94" s="11">
        <v>28.47000122</v>
      </c>
      <c r="H94" s="11">
        <v>80.13200008</v>
      </c>
      <c r="I94" s="15">
        <f t="shared" si="3"/>
        <v>80</v>
      </c>
      <c r="J94" s="16" t="str">
        <f t="shared" si="4"/>
        <v/>
      </c>
      <c r="K94" s="16" t="str">
        <f t="shared" si="5"/>
        <v/>
      </c>
      <c r="L94" s="16" t="str">
        <f t="shared" si="6"/>
        <v/>
      </c>
      <c r="M94" s="16" t="str">
        <f t="shared" si="7"/>
        <v>ARC&gt;0</v>
      </c>
      <c r="N94" s="13">
        <f t="shared" si="8"/>
        <v>0.0196244325</v>
      </c>
      <c r="O94" s="11">
        <v>10.877265</v>
      </c>
      <c r="P94" s="11">
        <v>8.395193432</v>
      </c>
      <c r="Q94" s="11">
        <v>0.5955414912</v>
      </c>
      <c r="R94" s="11">
        <v>76.91172345</v>
      </c>
      <c r="S94" s="15">
        <f t="shared" si="9"/>
        <v>77</v>
      </c>
      <c r="T94" s="17" t="str">
        <f t="shared" si="10"/>
        <v/>
      </c>
      <c r="U94" s="17" t="str">
        <f t="shared" si="11"/>
        <v/>
      </c>
      <c r="V94" s="17" t="str">
        <f t="shared" si="12"/>
        <v/>
      </c>
      <c r="W94" s="17" t="str">
        <f t="shared" si="13"/>
        <v>ARC&gt;0</v>
      </c>
      <c r="X94" s="13">
        <f t="shared" si="14"/>
        <v>0</v>
      </c>
      <c r="Y94" s="11">
        <v>11.56864724</v>
      </c>
      <c r="Z94" s="11">
        <v>10.82245445</v>
      </c>
      <c r="AA94" s="11">
        <v>0.6971748583</v>
      </c>
      <c r="AB94" s="11">
        <v>88.22284558</v>
      </c>
      <c r="AC94" s="15">
        <f t="shared" si="15"/>
        <v>88</v>
      </c>
      <c r="AD94" s="16" t="str">
        <f t="shared" si="16"/>
        <v/>
      </c>
      <c r="AE94" s="16" t="str">
        <f t="shared" si="17"/>
        <v/>
      </c>
      <c r="AF94" s="16" t="str">
        <f t="shared" si="18"/>
        <v/>
      </c>
      <c r="AG94" s="16" t="str">
        <f t="shared" si="19"/>
        <v>ARC&gt;0</v>
      </c>
      <c r="AH94" s="13">
        <f t="shared" si="20"/>
        <v>0</v>
      </c>
      <c r="AI94" s="11">
        <v>9.140188495</v>
      </c>
      <c r="AJ94" s="11">
        <v>2.29677513</v>
      </c>
      <c r="AK94" s="11" t="s">
        <v>209</v>
      </c>
      <c r="AL94" s="18">
        <f t="shared" si="21"/>
        <v>0</v>
      </c>
    </row>
    <row r="95" ht="15.75" customHeight="1">
      <c r="A95" s="11" t="s">
        <v>207</v>
      </c>
      <c r="B95" s="11">
        <v>2019.0</v>
      </c>
      <c r="C95" s="12" t="str">
        <f>VLOOKUP(A95, Regions!A:B, 2, FALSE)
</f>
        <v>Sub-Saharan Africa</v>
      </c>
      <c r="D95" s="13" t="str">
        <f t="shared" si="1"/>
        <v/>
      </c>
      <c r="E95" s="14" t="str">
        <f t="shared" si="2"/>
        <v/>
      </c>
      <c r="F95" s="11" t="s">
        <v>210</v>
      </c>
      <c r="G95" s="11">
        <v>29.16400146</v>
      </c>
      <c r="H95" s="11">
        <v>80.21049781</v>
      </c>
      <c r="I95" s="15">
        <f t="shared" si="3"/>
        <v>80</v>
      </c>
      <c r="J95" s="16" t="str">
        <f t="shared" si="4"/>
        <v/>
      </c>
      <c r="K95" s="16" t="str">
        <f t="shared" si="5"/>
        <v/>
      </c>
      <c r="L95" s="16" t="str">
        <f t="shared" si="6"/>
        <v/>
      </c>
      <c r="M95" s="16" t="str">
        <f t="shared" si="7"/>
        <v>ARC&gt;0</v>
      </c>
      <c r="N95" s="13" t="str">
        <f t="shared" si="8"/>
        <v/>
      </c>
      <c r="O95" s="11">
        <v>10.86041131</v>
      </c>
      <c r="P95" s="11">
        <v>8.929090888</v>
      </c>
      <c r="R95" s="11">
        <v>76.91172345</v>
      </c>
      <c r="S95" s="15">
        <f t="shared" si="9"/>
        <v>77</v>
      </c>
      <c r="T95" s="17" t="str">
        <f t="shared" si="10"/>
        <v/>
      </c>
      <c r="U95" s="17" t="str">
        <f t="shared" si="11"/>
        <v/>
      </c>
      <c r="V95" s="17" t="str">
        <f t="shared" si="12"/>
        <v/>
      </c>
      <c r="W95" s="17" t="str">
        <f t="shared" si="13"/>
        <v>ARC&gt;0</v>
      </c>
      <c r="X95" s="13" t="str">
        <f t="shared" si="14"/>
        <v/>
      </c>
      <c r="Y95" s="11">
        <v>11.56864724</v>
      </c>
      <c r="Z95" s="11">
        <v>11.51962931</v>
      </c>
      <c r="AB95" s="11">
        <v>88.22284558</v>
      </c>
      <c r="AC95" s="15">
        <f t="shared" si="15"/>
        <v>88</v>
      </c>
      <c r="AD95" s="16" t="str">
        <f t="shared" si="16"/>
        <v/>
      </c>
      <c r="AE95" s="16" t="str">
        <f t="shared" si="17"/>
        <v/>
      </c>
      <c r="AF95" s="16" t="str">
        <f t="shared" si="18"/>
        <v/>
      </c>
      <c r="AG95" s="16" t="str">
        <f t="shared" si="19"/>
        <v>ARC&gt;0</v>
      </c>
      <c r="AH95" s="13" t="str">
        <f t="shared" si="20"/>
        <v/>
      </c>
      <c r="AI95" s="11">
        <v>9.140188495</v>
      </c>
      <c r="AJ95" s="11">
        <v>2.29677513</v>
      </c>
      <c r="AK95" s="11" t="s">
        <v>209</v>
      </c>
      <c r="AL95" s="18" t="str">
        <f t="shared" si="21"/>
        <v/>
      </c>
    </row>
    <row r="96" ht="15.75" customHeight="1">
      <c r="A96" s="11" t="s">
        <v>211</v>
      </c>
      <c r="B96" s="11">
        <v>2015.0</v>
      </c>
      <c r="C96" s="12" t="str">
        <f>VLOOKUP(A96, Regions!A:B, 2, FALSE)
</f>
        <v>Sub-Saharan Africa</v>
      </c>
      <c r="D96" s="13">
        <f t="shared" si="1"/>
        <v>5</v>
      </c>
      <c r="E96" s="14">
        <f t="shared" si="2"/>
        <v>2017.5</v>
      </c>
      <c r="F96" s="11" t="s">
        <v>212</v>
      </c>
      <c r="G96" s="11">
        <v>65.54299927</v>
      </c>
      <c r="H96" s="11">
        <v>71.14958177</v>
      </c>
      <c r="I96" s="15">
        <f t="shared" si="3"/>
        <v>71</v>
      </c>
      <c r="J96" s="16" t="str">
        <f t="shared" si="4"/>
        <v/>
      </c>
      <c r="K96" s="16" t="str">
        <f t="shared" si="5"/>
        <v/>
      </c>
      <c r="L96" s="16" t="str">
        <f t="shared" si="6"/>
        <v/>
      </c>
      <c r="M96" s="16" t="str">
        <f t="shared" si="7"/>
        <v>ARC&gt;0</v>
      </c>
      <c r="N96" s="13">
        <f t="shared" si="8"/>
        <v>0.526985962</v>
      </c>
      <c r="O96" s="11">
        <v>10.51052605</v>
      </c>
      <c r="P96" s="11">
        <v>11.66204631</v>
      </c>
      <c r="Q96" s="11">
        <v>6.677845876</v>
      </c>
      <c r="R96" s="11">
        <v>41.39183594</v>
      </c>
      <c r="S96" s="15">
        <f t="shared" si="9"/>
        <v>41</v>
      </c>
      <c r="T96" s="17" t="str">
        <f t="shared" si="10"/>
        <v/>
      </c>
      <c r="U96" s="17" t="str">
        <f t="shared" si="11"/>
        <v/>
      </c>
      <c r="V96" s="17" t="str">
        <f t="shared" si="12"/>
        <v/>
      </c>
      <c r="W96" s="17" t="str">
        <f t="shared" si="13"/>
        <v>ARC&gt;0</v>
      </c>
      <c r="X96" s="13">
        <f t="shared" si="14"/>
        <v>0.866515448</v>
      </c>
      <c r="Y96" s="11">
        <v>10.73957265</v>
      </c>
      <c r="Z96" s="11">
        <v>28.50184871</v>
      </c>
      <c r="AA96" s="11">
        <v>19.36674269</v>
      </c>
      <c r="AB96" s="11">
        <v>86.79370516</v>
      </c>
      <c r="AC96" s="15">
        <f t="shared" si="15"/>
        <v>87</v>
      </c>
      <c r="AD96" s="16" t="str">
        <f t="shared" si="16"/>
        <v/>
      </c>
      <c r="AE96" s="16" t="str">
        <f t="shared" si="17"/>
        <v/>
      </c>
      <c r="AF96" s="16" t="str">
        <f t="shared" si="18"/>
        <v/>
      </c>
      <c r="AG96" s="16" t="str">
        <f t="shared" si="19"/>
        <v>ARC&gt;0</v>
      </c>
      <c r="AH96" s="13">
        <f t="shared" si="20"/>
        <v>0.0599182</v>
      </c>
      <c r="AI96" s="11">
        <v>10.390113</v>
      </c>
      <c r="AJ96" s="11">
        <v>2.809090742</v>
      </c>
      <c r="AK96" s="11" t="s">
        <v>213</v>
      </c>
      <c r="AL96" s="18">
        <f t="shared" si="21"/>
        <v>0.806597248</v>
      </c>
    </row>
    <row r="97" ht="15.75" customHeight="1">
      <c r="A97" s="11" t="s">
        <v>211</v>
      </c>
      <c r="B97" s="11">
        <v>2020.0</v>
      </c>
      <c r="C97" s="12" t="str">
        <f>VLOOKUP(A97, Regions!A:B, 2, FALSE)
</f>
        <v>Sub-Saharan Africa</v>
      </c>
      <c r="D97" s="13" t="str">
        <f t="shared" si="1"/>
        <v/>
      </c>
      <c r="E97" s="14" t="str">
        <f t="shared" si="2"/>
        <v/>
      </c>
      <c r="F97" s="11" t="s">
        <v>214</v>
      </c>
      <c r="G97" s="11">
        <v>67.82900238</v>
      </c>
      <c r="H97" s="11">
        <v>73.78451158</v>
      </c>
      <c r="I97" s="15">
        <f t="shared" si="3"/>
        <v>74</v>
      </c>
      <c r="J97" s="16" t="str">
        <f t="shared" si="4"/>
        <v/>
      </c>
      <c r="K97" s="16" t="str">
        <f t="shared" si="5"/>
        <v/>
      </c>
      <c r="L97" s="16" t="str">
        <f t="shared" si="6"/>
        <v/>
      </c>
      <c r="M97" s="16" t="str">
        <f t="shared" si="7"/>
        <v>ARC&gt;0</v>
      </c>
      <c r="N97" s="13" t="str">
        <f t="shared" si="8"/>
        <v/>
      </c>
      <c r="O97" s="11">
        <v>10.46117203</v>
      </c>
      <c r="P97" s="11">
        <v>9.559180722</v>
      </c>
      <c r="Q97" s="11">
        <v>6.195135664</v>
      </c>
      <c r="R97" s="11">
        <v>45.72441318</v>
      </c>
      <c r="S97" s="15">
        <f t="shared" si="9"/>
        <v>46</v>
      </c>
      <c r="T97" s="17" t="str">
        <f t="shared" si="10"/>
        <v/>
      </c>
      <c r="U97" s="17" t="str">
        <f t="shared" si="11"/>
        <v/>
      </c>
      <c r="V97" s="17" t="str">
        <f t="shared" si="12"/>
        <v/>
      </c>
      <c r="W97" s="17" t="str">
        <f t="shared" si="13"/>
        <v>ARC&gt;0</v>
      </c>
      <c r="X97" s="13" t="str">
        <f t="shared" si="14"/>
        <v/>
      </c>
      <c r="Y97" s="11">
        <v>10.6323901</v>
      </c>
      <c r="Z97" s="11">
        <v>24.40516973</v>
      </c>
      <c r="AA97" s="11">
        <v>19.23802699</v>
      </c>
      <c r="AB97" s="11">
        <v>87.09329616</v>
      </c>
      <c r="AC97" s="15">
        <f t="shared" si="15"/>
        <v>87</v>
      </c>
      <c r="AD97" s="16" t="str">
        <f t="shared" si="16"/>
        <v/>
      </c>
      <c r="AE97" s="16" t="str">
        <f t="shared" si="17"/>
        <v/>
      </c>
      <c r="AF97" s="16" t="str">
        <f t="shared" si="18"/>
        <v/>
      </c>
      <c r="AG97" s="16" t="str">
        <f t="shared" si="19"/>
        <v>ARC&gt;0</v>
      </c>
      <c r="AH97" s="13" t="str">
        <f t="shared" si="20"/>
        <v/>
      </c>
      <c r="AI97" s="11">
        <v>10.37996439</v>
      </c>
      <c r="AJ97" s="11">
        <v>2.517789997</v>
      </c>
      <c r="AK97" s="11" t="s">
        <v>215</v>
      </c>
      <c r="AL97" s="18" t="str">
        <f t="shared" si="21"/>
        <v/>
      </c>
    </row>
    <row r="98" ht="15.75" customHeight="1">
      <c r="A98" s="11" t="s">
        <v>216</v>
      </c>
      <c r="B98" s="11">
        <v>2015.0</v>
      </c>
      <c r="C98" s="12" t="str">
        <f>VLOOKUP(A98, Regions!A:B, 2, FALSE)
</f>
        <v>East Asia &amp; Pacific</v>
      </c>
      <c r="D98" s="13">
        <f t="shared" si="1"/>
        <v>5</v>
      </c>
      <c r="E98" s="14">
        <f t="shared" si="2"/>
        <v>2017.5</v>
      </c>
      <c r="F98" s="11" t="s">
        <v>217</v>
      </c>
      <c r="G98" s="11">
        <v>74.40399933</v>
      </c>
      <c r="H98" s="11">
        <v>99.95367102</v>
      </c>
      <c r="I98" s="15">
        <f t="shared" si="3"/>
        <v>100</v>
      </c>
      <c r="J98" s="16" t="str">
        <f t="shared" si="4"/>
        <v>full access</v>
      </c>
      <c r="K98" s="16" t="str">
        <f t="shared" si="5"/>
        <v/>
      </c>
      <c r="L98" s="16" t="str">
        <f t="shared" si="6"/>
        <v/>
      </c>
      <c r="M98" s="16" t="str">
        <f t="shared" si="7"/>
        <v/>
      </c>
      <c r="N98" s="13">
        <f t="shared" si="8"/>
        <v>0.00358784</v>
      </c>
      <c r="O98" s="11">
        <v>0.0</v>
      </c>
      <c r="P98" s="11">
        <v>0.04632897629</v>
      </c>
      <c r="Q98" s="11">
        <v>0.0</v>
      </c>
      <c r="S98" s="15">
        <f t="shared" si="9"/>
        <v>0</v>
      </c>
      <c r="T98" s="17" t="str">
        <f t="shared" si="10"/>
        <v/>
      </c>
      <c r="U98" s="17" t="str">
        <f t="shared" si="11"/>
        <v>ARC=0</v>
      </c>
      <c r="V98" s="17" t="str">
        <f t="shared" si="12"/>
        <v/>
      </c>
      <c r="W98" s="17" t="str">
        <f t="shared" si="13"/>
        <v/>
      </c>
      <c r="X98" s="13">
        <f t="shared" si="14"/>
        <v>0</v>
      </c>
      <c r="AC98" s="15">
        <f t="shared" si="15"/>
        <v>0</v>
      </c>
      <c r="AD98" s="16" t="str">
        <f t="shared" si="16"/>
        <v/>
      </c>
      <c r="AE98" s="16" t="str">
        <f t="shared" si="17"/>
        <v>ARC=0</v>
      </c>
      <c r="AF98" s="16" t="str">
        <f t="shared" si="18"/>
        <v/>
      </c>
      <c r="AG98" s="16" t="str">
        <f t="shared" si="19"/>
        <v/>
      </c>
      <c r="AH98" s="13">
        <f t="shared" si="20"/>
        <v>0</v>
      </c>
      <c r="AL98" s="18">
        <f t="shared" si="21"/>
        <v>0</v>
      </c>
    </row>
    <row r="99" ht="15.75" customHeight="1">
      <c r="A99" s="11" t="s">
        <v>216</v>
      </c>
      <c r="B99" s="11">
        <v>2020.0</v>
      </c>
      <c r="C99" s="12" t="str">
        <f>VLOOKUP(A99, Regions!A:B, 2, FALSE)
</f>
        <v>East Asia &amp; Pacific</v>
      </c>
      <c r="D99" s="13" t="str">
        <f t="shared" si="1"/>
        <v/>
      </c>
      <c r="E99" s="14" t="str">
        <f t="shared" si="2"/>
        <v/>
      </c>
      <c r="F99" s="11" t="s">
        <v>218</v>
      </c>
      <c r="G99" s="11">
        <v>75.49500275</v>
      </c>
      <c r="H99" s="11">
        <v>99.97161022</v>
      </c>
      <c r="I99" s="15">
        <f t="shared" si="3"/>
        <v>100</v>
      </c>
      <c r="J99" s="16" t="str">
        <f t="shared" si="4"/>
        <v/>
      </c>
      <c r="K99" s="16" t="str">
        <f t="shared" si="5"/>
        <v/>
      </c>
      <c r="L99" s="16" t="str">
        <f t="shared" si="6"/>
        <v/>
      </c>
      <c r="M99" s="16" t="str">
        <f t="shared" si="7"/>
        <v>ARC&gt;0</v>
      </c>
      <c r="N99" s="13" t="str">
        <f t="shared" si="8"/>
        <v/>
      </c>
      <c r="O99" s="11">
        <v>0.0</v>
      </c>
      <c r="P99" s="11">
        <v>0.0283897827</v>
      </c>
      <c r="Q99" s="11">
        <v>0.0</v>
      </c>
      <c r="S99" s="15">
        <f t="shared" si="9"/>
        <v>0</v>
      </c>
      <c r="T99" s="17" t="str">
        <f t="shared" si="10"/>
        <v/>
      </c>
      <c r="U99" s="17" t="str">
        <f t="shared" si="11"/>
        <v>ARC=0</v>
      </c>
      <c r="V99" s="17" t="str">
        <f t="shared" si="12"/>
        <v/>
      </c>
      <c r="W99" s="17" t="str">
        <f t="shared" si="13"/>
        <v/>
      </c>
      <c r="X99" s="13" t="str">
        <f t="shared" si="14"/>
        <v/>
      </c>
      <c r="AC99" s="15">
        <f t="shared" si="15"/>
        <v>0</v>
      </c>
      <c r="AD99" s="16" t="str">
        <f t="shared" si="16"/>
        <v/>
      </c>
      <c r="AE99" s="16" t="str">
        <f t="shared" si="17"/>
        <v>ARC=0</v>
      </c>
      <c r="AF99" s="16" t="str">
        <f t="shared" si="18"/>
        <v/>
      </c>
      <c r="AG99" s="16" t="str">
        <f t="shared" si="19"/>
        <v/>
      </c>
      <c r="AH99" s="13" t="str">
        <f t="shared" si="20"/>
        <v/>
      </c>
      <c r="AL99" s="18" t="str">
        <f t="shared" si="21"/>
        <v/>
      </c>
    </row>
    <row r="100" ht="15.75" customHeight="1">
      <c r="A100" s="11" t="s">
        <v>219</v>
      </c>
      <c r="B100" s="11">
        <v>2015.0</v>
      </c>
      <c r="C100" s="12" t="str">
        <f>VLOOKUP(A100, Regions!A:B, 2, FALSE)
</f>
        <v>Latin America &amp; Caribbean</v>
      </c>
      <c r="D100" s="13">
        <f t="shared" si="1"/>
        <v>5</v>
      </c>
      <c r="E100" s="14">
        <f t="shared" si="2"/>
        <v>2017.5</v>
      </c>
      <c r="F100" s="11" t="s">
        <v>220</v>
      </c>
      <c r="G100" s="11">
        <v>76.86199951</v>
      </c>
      <c r="H100" s="11">
        <v>99.37868682</v>
      </c>
      <c r="I100" s="15">
        <f t="shared" si="3"/>
        <v>99</v>
      </c>
      <c r="J100" s="16" t="str">
        <f t="shared" si="4"/>
        <v/>
      </c>
      <c r="K100" s="16" t="str">
        <f t="shared" si="5"/>
        <v/>
      </c>
      <c r="L100" s="16" t="str">
        <f t="shared" si="6"/>
        <v/>
      </c>
      <c r="M100" s="16" t="str">
        <f t="shared" si="7"/>
        <v>ARC&gt;0</v>
      </c>
      <c r="N100" s="13">
        <f t="shared" si="8"/>
        <v>0.086370022</v>
      </c>
      <c r="O100" s="11">
        <v>0.2541303784</v>
      </c>
      <c r="P100" s="11">
        <v>0.2113350186</v>
      </c>
      <c r="Q100" s="11">
        <v>0.1558477843</v>
      </c>
      <c r="R100" s="11">
        <v>98.18603249</v>
      </c>
      <c r="S100" s="15">
        <f t="shared" si="9"/>
        <v>98</v>
      </c>
      <c r="T100" s="17" t="str">
        <f t="shared" si="10"/>
        <v/>
      </c>
      <c r="U100" s="17" t="str">
        <f t="shared" si="11"/>
        <v/>
      </c>
      <c r="V100" s="17" t="str">
        <f t="shared" si="12"/>
        <v/>
      </c>
      <c r="W100" s="17" t="str">
        <f t="shared" si="13"/>
        <v>ARC&gt;0</v>
      </c>
      <c r="X100" s="13">
        <f t="shared" si="14"/>
        <v>0.292043502</v>
      </c>
      <c r="Y100" s="11">
        <v>0.4100611535</v>
      </c>
      <c r="Z100" s="11">
        <v>0.7303485768</v>
      </c>
      <c r="AA100" s="11">
        <v>0.6735577778</v>
      </c>
      <c r="AB100" s="11">
        <v>99.73771511</v>
      </c>
      <c r="AC100" s="15">
        <f t="shared" si="15"/>
        <v>100</v>
      </c>
      <c r="AD100" s="16" t="str">
        <f t="shared" si="16"/>
        <v>full access</v>
      </c>
      <c r="AE100" s="16" t="str">
        <f t="shared" si="17"/>
        <v/>
      </c>
      <c r="AF100" s="16" t="str">
        <f t="shared" si="18"/>
        <v/>
      </c>
      <c r="AG100" s="16" t="str">
        <f t="shared" si="19"/>
        <v>ARC&gt;0</v>
      </c>
      <c r="AH100" s="13">
        <f t="shared" si="20"/>
        <v>0.02238755</v>
      </c>
      <c r="AI100" s="11">
        <v>0.2071900718</v>
      </c>
      <c r="AJ100" s="11">
        <v>0.0550948183</v>
      </c>
      <c r="AK100" s="11" t="s">
        <v>43</v>
      </c>
      <c r="AL100" s="18">
        <f t="shared" si="21"/>
        <v>0.269655952</v>
      </c>
    </row>
    <row r="101" ht="15.75" customHeight="1">
      <c r="A101" s="11" t="s">
        <v>219</v>
      </c>
      <c r="B101" s="11">
        <v>2020.0</v>
      </c>
      <c r="C101" s="12" t="str">
        <f>VLOOKUP(A101, Regions!A:B, 2, FALSE)
</f>
        <v>Latin America &amp; Caribbean</v>
      </c>
      <c r="D101" s="13" t="str">
        <f t="shared" si="1"/>
        <v/>
      </c>
      <c r="E101" s="14" t="str">
        <f t="shared" si="2"/>
        <v/>
      </c>
      <c r="F101" s="11" t="s">
        <v>221</v>
      </c>
      <c r="G101" s="11">
        <v>80.77099609</v>
      </c>
      <c r="H101" s="11">
        <v>99.81053693</v>
      </c>
      <c r="I101" s="15">
        <f t="shared" si="3"/>
        <v>100</v>
      </c>
      <c r="J101" s="16" t="str">
        <f t="shared" si="4"/>
        <v/>
      </c>
      <c r="K101" s="16" t="str">
        <f t="shared" si="5"/>
        <v/>
      </c>
      <c r="L101" s="16" t="str">
        <f t="shared" si="6"/>
        <v/>
      </c>
      <c r="M101" s="16" t="str">
        <f t="shared" si="7"/>
        <v>ARC&gt;0</v>
      </c>
      <c r="N101" s="13" t="str">
        <f t="shared" si="8"/>
        <v/>
      </c>
      <c r="O101" s="11">
        <v>0.1894594746</v>
      </c>
      <c r="P101" s="11">
        <v>3.594451897E-6</v>
      </c>
      <c r="Q101" s="11">
        <v>0.0</v>
      </c>
      <c r="R101" s="11">
        <v>99.64625</v>
      </c>
      <c r="S101" s="15">
        <f t="shared" si="9"/>
        <v>100</v>
      </c>
      <c r="T101" s="17" t="str">
        <f t="shared" si="10"/>
        <v/>
      </c>
      <c r="U101" s="17" t="str">
        <f t="shared" si="11"/>
        <v/>
      </c>
      <c r="V101" s="17" t="str">
        <f t="shared" si="12"/>
        <v/>
      </c>
      <c r="W101" s="17" t="str">
        <f t="shared" si="13"/>
        <v>ARC&gt;0</v>
      </c>
      <c r="X101" s="13" t="str">
        <f t="shared" si="14"/>
        <v/>
      </c>
      <c r="Y101" s="11">
        <v>0.35375</v>
      </c>
      <c r="Z101" s="11">
        <v>0.0</v>
      </c>
      <c r="AA101" s="11">
        <v>0.0</v>
      </c>
      <c r="AB101" s="11">
        <v>99.84965286</v>
      </c>
      <c r="AC101" s="15">
        <f t="shared" si="15"/>
        <v>100</v>
      </c>
      <c r="AD101" s="16" t="str">
        <f t="shared" si="16"/>
        <v/>
      </c>
      <c r="AE101" s="16" t="str">
        <f t="shared" si="17"/>
        <v/>
      </c>
      <c r="AF101" s="16" t="str">
        <f t="shared" si="18"/>
        <v/>
      </c>
      <c r="AG101" s="16" t="str">
        <f t="shared" si="19"/>
        <v>ARC&gt;0</v>
      </c>
      <c r="AH101" s="13" t="str">
        <f t="shared" si="20"/>
        <v/>
      </c>
      <c r="AI101" s="11">
        <v>0.1503471429</v>
      </c>
      <c r="AJ101" s="11">
        <v>0.0</v>
      </c>
      <c r="AK101" s="11" t="s">
        <v>43</v>
      </c>
      <c r="AL101" s="18" t="str">
        <f t="shared" si="21"/>
        <v/>
      </c>
    </row>
    <row r="102" ht="15.75" customHeight="1">
      <c r="A102" s="11" t="s">
        <v>222</v>
      </c>
      <c r="B102" s="11">
        <v>2015.0</v>
      </c>
      <c r="C102" s="12" t="str">
        <f>VLOOKUP(A102, Regions!A:B, 2, FALSE)
</f>
        <v>Sub-Saharan Africa</v>
      </c>
      <c r="D102" s="13">
        <f t="shared" si="1"/>
        <v>5</v>
      </c>
      <c r="E102" s="14">
        <f t="shared" si="2"/>
        <v>2017.5</v>
      </c>
      <c r="F102" s="11" t="s">
        <v>223</v>
      </c>
      <c r="G102" s="11">
        <v>49.44400024</v>
      </c>
      <c r="H102" s="11">
        <v>71.0757669</v>
      </c>
      <c r="I102" s="15">
        <f t="shared" si="3"/>
        <v>71</v>
      </c>
      <c r="J102" s="16" t="str">
        <f t="shared" si="4"/>
        <v/>
      </c>
      <c r="K102" s="16" t="str">
        <f t="shared" si="5"/>
        <v/>
      </c>
      <c r="L102" s="16" t="str">
        <f t="shared" si="6"/>
        <v/>
      </c>
      <c r="M102" s="16" t="str">
        <f t="shared" si="7"/>
        <v>ARC&gt;0</v>
      </c>
      <c r="N102" s="13">
        <f t="shared" si="8"/>
        <v>-0.033339302</v>
      </c>
      <c r="O102" s="11">
        <v>8.767136459</v>
      </c>
      <c r="P102" s="11">
        <v>14.41768054</v>
      </c>
      <c r="Q102" s="11">
        <v>5.739416095</v>
      </c>
      <c r="R102" s="11">
        <v>55.84317172</v>
      </c>
      <c r="S102" s="15">
        <f t="shared" si="9"/>
        <v>56</v>
      </c>
      <c r="T102" s="17" t="str">
        <f t="shared" si="10"/>
        <v/>
      </c>
      <c r="U102" s="17" t="str">
        <f t="shared" si="11"/>
        <v/>
      </c>
      <c r="V102" s="17" t="str">
        <f t="shared" si="12"/>
        <v/>
      </c>
      <c r="W102" s="17" t="str">
        <f t="shared" si="13"/>
        <v>ARC&gt;0</v>
      </c>
      <c r="X102" s="13">
        <f t="shared" si="14"/>
        <v>-0.024144972</v>
      </c>
      <c r="Y102" s="11">
        <v>13.1884673</v>
      </c>
      <c r="Z102" s="11">
        <v>22.63128471</v>
      </c>
      <c r="AA102" s="11">
        <v>8.337076273</v>
      </c>
      <c r="AB102" s="11">
        <v>86.65094535</v>
      </c>
      <c r="AC102" s="15">
        <f t="shared" si="15"/>
        <v>87</v>
      </c>
      <c r="AD102" s="16" t="str">
        <f t="shared" si="16"/>
        <v/>
      </c>
      <c r="AE102" s="16" t="str">
        <f t="shared" si="17"/>
        <v/>
      </c>
      <c r="AF102" s="16" t="str">
        <f t="shared" si="18"/>
        <v/>
      </c>
      <c r="AG102" s="16" t="str">
        <f t="shared" si="19"/>
        <v>ARC&gt;0</v>
      </c>
      <c r="AH102" s="13">
        <f t="shared" si="20"/>
        <v>-0.311478412</v>
      </c>
      <c r="AI102" s="11">
        <v>4.246369254</v>
      </c>
      <c r="AJ102" s="11">
        <v>6.019351236</v>
      </c>
      <c r="AK102" s="11" t="s">
        <v>224</v>
      </c>
      <c r="AL102" s="18">
        <f t="shared" si="21"/>
        <v>0.28733344</v>
      </c>
    </row>
    <row r="103" ht="15.75" customHeight="1">
      <c r="A103" s="11" t="s">
        <v>222</v>
      </c>
      <c r="B103" s="11">
        <v>2020.0</v>
      </c>
      <c r="C103" s="12" t="str">
        <f>VLOOKUP(A103, Regions!A:B, 2, FALSE)
</f>
        <v>Sub-Saharan Africa</v>
      </c>
      <c r="D103" s="13" t="str">
        <f t="shared" si="1"/>
        <v/>
      </c>
      <c r="E103" s="14" t="str">
        <f t="shared" si="2"/>
        <v/>
      </c>
      <c r="F103" s="11" t="s">
        <v>225</v>
      </c>
      <c r="G103" s="11">
        <v>51.70599747</v>
      </c>
      <c r="H103" s="11">
        <v>70.90907039</v>
      </c>
      <c r="I103" s="15">
        <f t="shared" si="3"/>
        <v>71</v>
      </c>
      <c r="J103" s="16" t="str">
        <f t="shared" si="4"/>
        <v/>
      </c>
      <c r="K103" s="16" t="str">
        <f t="shared" si="5"/>
        <v/>
      </c>
      <c r="L103" s="16" t="str">
        <f t="shared" si="6"/>
        <v/>
      </c>
      <c r="M103" s="16" t="str">
        <f t="shared" si="7"/>
        <v>ARC&gt;0</v>
      </c>
      <c r="N103" s="13" t="str">
        <f t="shared" si="8"/>
        <v/>
      </c>
      <c r="O103" s="11">
        <v>8.935421702</v>
      </c>
      <c r="P103" s="11">
        <v>14.19244161</v>
      </c>
      <c r="Q103" s="11">
        <v>5.963066293</v>
      </c>
      <c r="R103" s="11">
        <v>55.72244686</v>
      </c>
      <c r="S103" s="15">
        <f t="shared" si="9"/>
        <v>56</v>
      </c>
      <c r="T103" s="17" t="str">
        <f t="shared" si="10"/>
        <v/>
      </c>
      <c r="U103" s="17" t="str">
        <f t="shared" si="11"/>
        <v/>
      </c>
      <c r="V103" s="17" t="str">
        <f t="shared" si="12"/>
        <v/>
      </c>
      <c r="W103" s="17" t="str">
        <f t="shared" si="13"/>
        <v>ARC&gt;0</v>
      </c>
      <c r="X103" s="13" t="str">
        <f t="shared" si="14"/>
        <v/>
      </c>
      <c r="Y103" s="11">
        <v>13.34316829</v>
      </c>
      <c r="Z103" s="11">
        <v>23.17527956</v>
      </c>
      <c r="AA103" s="11">
        <v>7.759105289</v>
      </c>
      <c r="AB103" s="11">
        <v>85.09355329</v>
      </c>
      <c r="AC103" s="15">
        <f t="shared" si="15"/>
        <v>85</v>
      </c>
      <c r="AD103" s="16" t="str">
        <f t="shared" si="16"/>
        <v/>
      </c>
      <c r="AE103" s="16" t="str">
        <f t="shared" si="17"/>
        <v/>
      </c>
      <c r="AF103" s="16" t="str">
        <f t="shared" si="18"/>
        <v/>
      </c>
      <c r="AG103" s="16" t="str">
        <f t="shared" si="19"/>
        <v>ARC&gt;0</v>
      </c>
      <c r="AH103" s="13" t="str">
        <f t="shared" si="20"/>
        <v/>
      </c>
      <c r="AI103" s="11">
        <v>4.818535156</v>
      </c>
      <c r="AJ103" s="11">
        <v>5.80236656</v>
      </c>
      <c r="AK103" s="11" t="s">
        <v>226</v>
      </c>
      <c r="AL103" s="18" t="str">
        <f t="shared" si="21"/>
        <v/>
      </c>
    </row>
    <row r="104" ht="15.75" customHeight="1">
      <c r="A104" s="11" t="s">
        <v>227</v>
      </c>
      <c r="B104" s="11">
        <v>2015.0</v>
      </c>
      <c r="C104" s="12" t="str">
        <f>VLOOKUP(A104, Regions!A:B, 2, FALSE)
</f>
        <v>Europe &amp; Central Asia</v>
      </c>
      <c r="D104" s="13">
        <f t="shared" si="1"/>
        <v>5</v>
      </c>
      <c r="E104" s="14">
        <f t="shared" si="2"/>
        <v>2017.5</v>
      </c>
      <c r="F104" s="11" t="s">
        <v>228</v>
      </c>
      <c r="G104" s="11">
        <v>56.15500259</v>
      </c>
      <c r="I104" s="15">
        <f t="shared" si="3"/>
        <v>0</v>
      </c>
      <c r="J104" s="16" t="str">
        <f t="shared" si="4"/>
        <v/>
      </c>
      <c r="K104" s="16" t="str">
        <f t="shared" si="5"/>
        <v>ARC=0</v>
      </c>
      <c r="L104" s="16" t="str">
        <f t="shared" si="6"/>
        <v/>
      </c>
      <c r="M104" s="16" t="str">
        <f t="shared" si="7"/>
        <v/>
      </c>
      <c r="N104" s="13">
        <f t="shared" si="8"/>
        <v>0</v>
      </c>
      <c r="S104" s="15">
        <f t="shared" si="9"/>
        <v>0</v>
      </c>
      <c r="T104" s="17" t="str">
        <f t="shared" si="10"/>
        <v/>
      </c>
      <c r="U104" s="17" t="str">
        <f t="shared" si="11"/>
        <v>ARC=0</v>
      </c>
      <c r="V104" s="17" t="str">
        <f t="shared" si="12"/>
        <v/>
      </c>
      <c r="W104" s="17" t="str">
        <f t="shared" si="13"/>
        <v/>
      </c>
      <c r="X104" s="13">
        <f t="shared" si="14"/>
        <v>0</v>
      </c>
      <c r="AB104" s="11">
        <v>100.0</v>
      </c>
      <c r="AC104" s="15">
        <f t="shared" si="15"/>
        <v>100</v>
      </c>
      <c r="AD104" s="16" t="str">
        <f t="shared" si="16"/>
        <v>full access</v>
      </c>
      <c r="AE104" s="16" t="str">
        <f t="shared" si="17"/>
        <v/>
      </c>
      <c r="AF104" s="16" t="str">
        <f t="shared" si="18"/>
        <v/>
      </c>
      <c r="AG104" s="16" t="str">
        <f t="shared" si="19"/>
        <v>ARC&gt;0</v>
      </c>
      <c r="AH104" s="13">
        <f t="shared" si="20"/>
        <v>0</v>
      </c>
      <c r="AI104" s="11">
        <v>0.0</v>
      </c>
      <c r="AJ104" s="11">
        <v>0.0</v>
      </c>
      <c r="AK104" s="11" t="s">
        <v>43</v>
      </c>
      <c r="AL104" s="18">
        <f t="shared" si="21"/>
        <v>0</v>
      </c>
    </row>
    <row r="105" ht="15.75" customHeight="1">
      <c r="A105" s="11" t="s">
        <v>227</v>
      </c>
      <c r="B105" s="11">
        <v>2020.0</v>
      </c>
      <c r="C105" s="12" t="str">
        <f>VLOOKUP(A105, Regions!A:B, 2, FALSE)
</f>
        <v>Europe &amp; Central Asia</v>
      </c>
      <c r="D105" s="13" t="str">
        <f t="shared" si="1"/>
        <v/>
      </c>
      <c r="E105" s="14" t="str">
        <f t="shared" si="2"/>
        <v/>
      </c>
      <c r="F105" s="11" t="s">
        <v>229</v>
      </c>
      <c r="G105" s="11">
        <v>57.55299759</v>
      </c>
      <c r="I105" s="15">
        <f t="shared" si="3"/>
        <v>0</v>
      </c>
      <c r="J105" s="16" t="str">
        <f t="shared" si="4"/>
        <v/>
      </c>
      <c r="K105" s="16" t="str">
        <f t="shared" si="5"/>
        <v>ARC=0</v>
      </c>
      <c r="L105" s="16" t="str">
        <f t="shared" si="6"/>
        <v/>
      </c>
      <c r="M105" s="16" t="str">
        <f t="shared" si="7"/>
        <v/>
      </c>
      <c r="N105" s="13" t="str">
        <f t="shared" si="8"/>
        <v/>
      </c>
      <c r="S105" s="15">
        <f t="shared" si="9"/>
        <v>0</v>
      </c>
      <c r="T105" s="17" t="str">
        <f t="shared" si="10"/>
        <v/>
      </c>
      <c r="U105" s="17" t="str">
        <f t="shared" si="11"/>
        <v>ARC=0</v>
      </c>
      <c r="V105" s="17" t="str">
        <f t="shared" si="12"/>
        <v/>
      </c>
      <c r="W105" s="17" t="str">
        <f t="shared" si="13"/>
        <v/>
      </c>
      <c r="X105" s="13" t="str">
        <f t="shared" si="14"/>
        <v/>
      </c>
      <c r="AB105" s="11">
        <v>100.0</v>
      </c>
      <c r="AC105" s="15">
        <f t="shared" si="15"/>
        <v>100</v>
      </c>
      <c r="AD105" s="16" t="str">
        <f t="shared" si="16"/>
        <v/>
      </c>
      <c r="AE105" s="16" t="str">
        <f t="shared" si="17"/>
        <v/>
      </c>
      <c r="AF105" s="16" t="str">
        <f t="shared" si="18"/>
        <v/>
      </c>
      <c r="AG105" s="16" t="str">
        <f t="shared" si="19"/>
        <v>ARC&gt;0</v>
      </c>
      <c r="AH105" s="13" t="str">
        <f t="shared" si="20"/>
        <v/>
      </c>
      <c r="AI105" s="11">
        <v>0.0</v>
      </c>
      <c r="AJ105" s="11">
        <v>0.0</v>
      </c>
      <c r="AK105" s="11" t="s">
        <v>43</v>
      </c>
      <c r="AL105" s="18" t="str">
        <f t="shared" si="21"/>
        <v/>
      </c>
    </row>
    <row r="106" ht="15.75" customHeight="1">
      <c r="A106" s="11" t="s">
        <v>230</v>
      </c>
      <c r="B106" s="11">
        <v>2015.0</v>
      </c>
      <c r="C106" s="12" t="str">
        <f>VLOOKUP(A106, Regions!A:B, 2, FALSE)
</f>
        <v>Latin America &amp; Caribbean</v>
      </c>
      <c r="D106" s="13">
        <f t="shared" si="1"/>
        <v>5</v>
      </c>
      <c r="E106" s="14">
        <f t="shared" si="2"/>
        <v>2017.5</v>
      </c>
      <c r="F106" s="11" t="s">
        <v>231</v>
      </c>
      <c r="G106" s="11">
        <v>76.89600372</v>
      </c>
      <c r="H106" s="11">
        <v>95.87179647</v>
      </c>
      <c r="I106" s="15">
        <f t="shared" si="3"/>
        <v>96</v>
      </c>
      <c r="J106" s="16" t="str">
        <f t="shared" si="4"/>
        <v/>
      </c>
      <c r="K106" s="16" t="str">
        <f t="shared" si="5"/>
        <v/>
      </c>
      <c r="L106" s="16" t="str">
        <f t="shared" si="6"/>
        <v/>
      </c>
      <c r="M106" s="16" t="str">
        <f t="shared" si="7"/>
        <v>ARC&gt;0</v>
      </c>
      <c r="N106" s="13">
        <f t="shared" si="8"/>
        <v>0.226179938</v>
      </c>
      <c r="O106" s="11">
        <v>1.750253789</v>
      </c>
      <c r="P106" s="11">
        <v>1.99464</v>
      </c>
      <c r="Q106" s="11">
        <v>0.3833097362</v>
      </c>
      <c r="R106" s="11">
        <v>90.44506066</v>
      </c>
      <c r="S106" s="15">
        <f t="shared" si="9"/>
        <v>90</v>
      </c>
      <c r="T106" s="17" t="str">
        <f t="shared" si="10"/>
        <v/>
      </c>
      <c r="U106" s="17" t="str">
        <f t="shared" si="11"/>
        <v/>
      </c>
      <c r="V106" s="17" t="str">
        <f t="shared" si="12"/>
        <v/>
      </c>
      <c r="W106" s="17" t="str">
        <f t="shared" si="13"/>
        <v>ARC&gt;0</v>
      </c>
      <c r="X106" s="13">
        <f t="shared" si="14"/>
        <v>0.788318096</v>
      </c>
      <c r="Y106" s="11">
        <v>3.362197131</v>
      </c>
      <c r="Z106" s="11">
        <v>4.747322467</v>
      </c>
      <c r="AA106" s="11">
        <v>1.445419738</v>
      </c>
      <c r="AB106" s="11">
        <v>97.50230137</v>
      </c>
      <c r="AC106" s="15">
        <f t="shared" si="15"/>
        <v>98</v>
      </c>
      <c r="AD106" s="16" t="str">
        <f t="shared" si="16"/>
        <v/>
      </c>
      <c r="AE106" s="16" t="str">
        <f t="shared" si="17"/>
        <v/>
      </c>
      <c r="AF106" s="16" t="str">
        <f t="shared" si="18"/>
        <v/>
      </c>
      <c r="AG106" s="16" t="str">
        <f t="shared" si="19"/>
        <v>ARC&gt;0</v>
      </c>
      <c r="AH106" s="13">
        <f t="shared" si="20"/>
        <v>0.054655054</v>
      </c>
      <c r="AI106" s="11">
        <v>1.2659329</v>
      </c>
      <c r="AJ106" s="11">
        <v>1.167575187</v>
      </c>
      <c r="AK106" s="11" t="s">
        <v>232</v>
      </c>
      <c r="AL106" s="18">
        <f t="shared" si="21"/>
        <v>0.733663042</v>
      </c>
    </row>
    <row r="107" ht="15.75" customHeight="1">
      <c r="A107" s="11" t="s">
        <v>230</v>
      </c>
      <c r="B107" s="11">
        <v>2020.0</v>
      </c>
      <c r="C107" s="12" t="str">
        <f>VLOOKUP(A107, Regions!A:B, 2, FALSE)
</f>
        <v>Latin America &amp; Caribbean</v>
      </c>
      <c r="D107" s="13" t="str">
        <f t="shared" si="1"/>
        <v/>
      </c>
      <c r="E107" s="14" t="str">
        <f t="shared" si="2"/>
        <v/>
      </c>
      <c r="F107" s="11" t="s">
        <v>233</v>
      </c>
      <c r="G107" s="11">
        <v>77.19400024</v>
      </c>
      <c r="H107" s="11">
        <v>97.00269616</v>
      </c>
      <c r="I107" s="15">
        <f t="shared" si="3"/>
        <v>97</v>
      </c>
      <c r="J107" s="16" t="str">
        <f t="shared" si="4"/>
        <v/>
      </c>
      <c r="K107" s="16" t="str">
        <f t="shared" si="5"/>
        <v/>
      </c>
      <c r="L107" s="16" t="str">
        <f t="shared" si="6"/>
        <v/>
      </c>
      <c r="M107" s="16" t="str">
        <f t="shared" si="7"/>
        <v>ARC&gt;0</v>
      </c>
      <c r="N107" s="13" t="str">
        <f t="shared" si="8"/>
        <v/>
      </c>
      <c r="O107" s="11">
        <v>1.471384542</v>
      </c>
      <c r="P107" s="11">
        <v>1.252811506</v>
      </c>
      <c r="Q107" s="11">
        <v>0.2731077963</v>
      </c>
      <c r="R107" s="11">
        <v>94.38665114</v>
      </c>
      <c r="S107" s="15">
        <f t="shared" si="9"/>
        <v>94</v>
      </c>
      <c r="T107" s="17" t="str">
        <f t="shared" si="10"/>
        <v/>
      </c>
      <c r="U107" s="17" t="str">
        <f t="shared" si="11"/>
        <v/>
      </c>
      <c r="V107" s="17" t="str">
        <f t="shared" si="12"/>
        <v/>
      </c>
      <c r="W107" s="17" t="str">
        <f t="shared" si="13"/>
        <v>ARC&gt;0</v>
      </c>
      <c r="X107" s="13" t="str">
        <f t="shared" si="14"/>
        <v/>
      </c>
      <c r="Y107" s="11">
        <v>2.591752445</v>
      </c>
      <c r="Z107" s="11">
        <v>1.905972935</v>
      </c>
      <c r="AA107" s="11">
        <v>1.115623477</v>
      </c>
      <c r="AB107" s="11">
        <v>97.77557664</v>
      </c>
      <c r="AC107" s="15">
        <f t="shared" si="15"/>
        <v>98</v>
      </c>
      <c r="AD107" s="16" t="str">
        <f t="shared" si="16"/>
        <v/>
      </c>
      <c r="AE107" s="16" t="str">
        <f t="shared" si="17"/>
        <v/>
      </c>
      <c r="AF107" s="16" t="str">
        <f t="shared" si="18"/>
        <v/>
      </c>
      <c r="AG107" s="16" t="str">
        <f t="shared" si="19"/>
        <v>ARC&gt;0</v>
      </c>
      <c r="AH107" s="13" t="str">
        <f t="shared" si="20"/>
        <v/>
      </c>
      <c r="AI107" s="11">
        <v>1.1403859</v>
      </c>
      <c r="AJ107" s="11">
        <v>1.059840374</v>
      </c>
      <c r="AK107" s="11" t="s">
        <v>234</v>
      </c>
      <c r="AL107" s="18" t="str">
        <f t="shared" si="21"/>
        <v/>
      </c>
    </row>
    <row r="108" ht="15.75" customHeight="1">
      <c r="A108" s="11" t="s">
        <v>235</v>
      </c>
      <c r="B108" s="11">
        <v>2015.0</v>
      </c>
      <c r="C108" s="12" t="str">
        <f>VLOOKUP(A108, Regions!A:B, 2, FALSE)
</f>
        <v>Latin America &amp; Caribbean</v>
      </c>
      <c r="D108" s="13">
        <f t="shared" si="1"/>
        <v>2</v>
      </c>
      <c r="E108" s="14">
        <f t="shared" si="2"/>
        <v>2016</v>
      </c>
      <c r="F108" s="11" t="s">
        <v>236</v>
      </c>
      <c r="G108" s="11">
        <v>89.35199738</v>
      </c>
      <c r="H108" s="11">
        <v>99.49775185</v>
      </c>
      <c r="I108" s="15">
        <f t="shared" si="3"/>
        <v>99</v>
      </c>
      <c r="J108" s="16" t="str">
        <f t="shared" si="4"/>
        <v/>
      </c>
      <c r="K108" s="16" t="str">
        <f t="shared" si="5"/>
        <v/>
      </c>
      <c r="L108" s="16" t="str">
        <f t="shared" si="6"/>
        <v/>
      </c>
      <c r="M108" s="16" t="str">
        <f t="shared" si="7"/>
        <v>ARC&gt;0</v>
      </c>
      <c r="N108" s="13">
        <f t="shared" si="8"/>
        <v>0</v>
      </c>
      <c r="O108" s="11">
        <v>0.0</v>
      </c>
      <c r="P108" s="11">
        <v>0.5022481525</v>
      </c>
      <c r="Q108" s="11">
        <v>0.0</v>
      </c>
      <c r="S108" s="15">
        <f t="shared" si="9"/>
        <v>0</v>
      </c>
      <c r="T108" s="17" t="str">
        <f t="shared" si="10"/>
        <v/>
      </c>
      <c r="U108" s="17" t="str">
        <f t="shared" si="11"/>
        <v>ARC=0</v>
      </c>
      <c r="V108" s="17" t="str">
        <f t="shared" si="12"/>
        <v/>
      </c>
      <c r="W108" s="17" t="str">
        <f t="shared" si="13"/>
        <v/>
      </c>
      <c r="X108" s="13">
        <f t="shared" si="14"/>
        <v>0</v>
      </c>
      <c r="AC108" s="15">
        <f t="shared" si="15"/>
        <v>0</v>
      </c>
      <c r="AD108" s="16" t="str">
        <f t="shared" si="16"/>
        <v/>
      </c>
      <c r="AE108" s="16" t="str">
        <f t="shared" si="17"/>
        <v>ARC=0</v>
      </c>
      <c r="AF108" s="16" t="str">
        <f t="shared" si="18"/>
        <v/>
      </c>
      <c r="AG108" s="16" t="str">
        <f t="shared" si="19"/>
        <v/>
      </c>
      <c r="AH108" s="13">
        <f t="shared" si="20"/>
        <v>0</v>
      </c>
      <c r="AL108" s="18">
        <f t="shared" si="21"/>
        <v>0</v>
      </c>
    </row>
    <row r="109" ht="15.75" customHeight="1">
      <c r="A109" s="11" t="s">
        <v>235</v>
      </c>
      <c r="B109" s="11">
        <v>2017.0</v>
      </c>
      <c r="C109" s="12" t="str">
        <f>VLOOKUP(A109, Regions!A:B, 2, FALSE)
</f>
        <v>Latin America &amp; Caribbean</v>
      </c>
      <c r="D109" s="13" t="str">
        <f t="shared" si="1"/>
        <v/>
      </c>
      <c r="E109" s="14" t="str">
        <f t="shared" si="2"/>
        <v/>
      </c>
      <c r="F109" s="11" t="s">
        <v>237</v>
      </c>
      <c r="G109" s="11">
        <v>89.20300293</v>
      </c>
      <c r="H109" s="11">
        <v>99.49775185</v>
      </c>
      <c r="I109" s="15">
        <f t="shared" si="3"/>
        <v>99</v>
      </c>
      <c r="J109" s="16" t="str">
        <f t="shared" si="4"/>
        <v/>
      </c>
      <c r="K109" s="16" t="str">
        <f t="shared" si="5"/>
        <v/>
      </c>
      <c r="L109" s="16" t="str">
        <f t="shared" si="6"/>
        <v/>
      </c>
      <c r="M109" s="16" t="str">
        <f t="shared" si="7"/>
        <v>ARC&gt;0</v>
      </c>
      <c r="N109" s="13" t="str">
        <f t="shared" si="8"/>
        <v/>
      </c>
      <c r="O109" s="11">
        <v>0.0</v>
      </c>
      <c r="P109" s="11">
        <v>0.5022481525</v>
      </c>
      <c r="Q109" s="11">
        <v>0.0</v>
      </c>
      <c r="S109" s="15">
        <f t="shared" si="9"/>
        <v>0</v>
      </c>
      <c r="T109" s="17" t="str">
        <f t="shared" si="10"/>
        <v/>
      </c>
      <c r="U109" s="17" t="str">
        <f t="shared" si="11"/>
        <v>ARC=0</v>
      </c>
      <c r="V109" s="17" t="str">
        <f t="shared" si="12"/>
        <v/>
      </c>
      <c r="W109" s="17" t="str">
        <f t="shared" si="13"/>
        <v/>
      </c>
      <c r="X109" s="13" t="str">
        <f t="shared" si="14"/>
        <v/>
      </c>
      <c r="AC109" s="15">
        <f t="shared" si="15"/>
        <v>0</v>
      </c>
      <c r="AD109" s="16" t="str">
        <f t="shared" si="16"/>
        <v/>
      </c>
      <c r="AE109" s="16" t="str">
        <f t="shared" si="17"/>
        <v>ARC=0</v>
      </c>
      <c r="AF109" s="16" t="str">
        <f t="shared" si="18"/>
        <v/>
      </c>
      <c r="AG109" s="16" t="str">
        <f t="shared" si="19"/>
        <v/>
      </c>
      <c r="AH109" s="13" t="str">
        <f t="shared" si="20"/>
        <v/>
      </c>
      <c r="AL109" s="18" t="str">
        <f t="shared" si="21"/>
        <v/>
      </c>
    </row>
    <row r="110" ht="15.75" customHeight="1">
      <c r="A110" s="11" t="s">
        <v>238</v>
      </c>
      <c r="B110" s="11">
        <v>2015.0</v>
      </c>
      <c r="C110" s="12" t="str">
        <f>VLOOKUP(A110, Regions!A:B, 2, FALSE)
</f>
        <v>Europe &amp; Central Asia</v>
      </c>
      <c r="D110" s="13">
        <f t="shared" si="1"/>
        <v>5</v>
      </c>
      <c r="E110" s="14">
        <f t="shared" si="2"/>
        <v>2017.5</v>
      </c>
      <c r="F110" s="11" t="s">
        <v>239</v>
      </c>
      <c r="G110" s="11">
        <v>66.94599915</v>
      </c>
      <c r="H110" s="11">
        <v>99.78851757</v>
      </c>
      <c r="I110" s="15">
        <f t="shared" si="3"/>
        <v>100</v>
      </c>
      <c r="J110" s="16" t="str">
        <f t="shared" si="4"/>
        <v>full access</v>
      </c>
      <c r="K110" s="16" t="str">
        <f t="shared" si="5"/>
        <v/>
      </c>
      <c r="L110" s="16" t="str">
        <f t="shared" si="6"/>
        <v/>
      </c>
      <c r="M110" s="16" t="str">
        <f t="shared" si="7"/>
        <v/>
      </c>
      <c r="N110" s="13">
        <f t="shared" si="8"/>
        <v>-0.004668878</v>
      </c>
      <c r="O110" s="11">
        <v>0.0</v>
      </c>
      <c r="P110" s="11">
        <v>0.2114824349</v>
      </c>
      <c r="Q110" s="11">
        <v>0.0</v>
      </c>
      <c r="R110" s="11">
        <v>99.86118554</v>
      </c>
      <c r="S110" s="15">
        <f t="shared" si="9"/>
        <v>100</v>
      </c>
      <c r="T110" s="17" t="str">
        <f t="shared" si="10"/>
        <v>full access</v>
      </c>
      <c r="U110" s="17" t="str">
        <f t="shared" si="11"/>
        <v/>
      </c>
      <c r="V110" s="17" t="str">
        <f t="shared" si="12"/>
        <v/>
      </c>
      <c r="W110" s="17" t="str">
        <f t="shared" si="13"/>
        <v>ARC&gt;0</v>
      </c>
      <c r="X110" s="13">
        <f t="shared" si="14"/>
        <v>-0.003084764</v>
      </c>
      <c r="Y110" s="11">
        <v>0.0</v>
      </c>
      <c r="Z110" s="11">
        <v>0.1388144553</v>
      </c>
      <c r="AA110" s="11">
        <v>0.0</v>
      </c>
      <c r="AB110" s="11">
        <v>99.75264231</v>
      </c>
      <c r="AC110" s="15">
        <f t="shared" si="15"/>
        <v>100</v>
      </c>
      <c r="AD110" s="16" t="str">
        <f t="shared" si="16"/>
        <v>full access</v>
      </c>
      <c r="AE110" s="16" t="str">
        <f t="shared" si="17"/>
        <v/>
      </c>
      <c r="AF110" s="16" t="str">
        <f t="shared" si="18"/>
        <v/>
      </c>
      <c r="AG110" s="16" t="str">
        <f t="shared" si="19"/>
        <v>ARC&gt;0</v>
      </c>
      <c r="AH110" s="13">
        <f t="shared" si="20"/>
        <v>-0.005496838</v>
      </c>
      <c r="AI110" s="11">
        <v>0.0</v>
      </c>
      <c r="AJ110" s="11">
        <v>0.2473576943</v>
      </c>
      <c r="AK110" s="11" t="s">
        <v>43</v>
      </c>
      <c r="AL110" s="18">
        <f t="shared" si="21"/>
        <v>0.002412074</v>
      </c>
    </row>
    <row r="111" ht="15.75" customHeight="1">
      <c r="A111" s="11" t="s">
        <v>238</v>
      </c>
      <c r="B111" s="11">
        <v>2020.0</v>
      </c>
      <c r="C111" s="12" t="str">
        <f>VLOOKUP(A111, Regions!A:B, 2, FALSE)
</f>
        <v>Europe &amp; Central Asia</v>
      </c>
      <c r="D111" s="13" t="str">
        <f t="shared" si="1"/>
        <v/>
      </c>
      <c r="E111" s="14" t="str">
        <f t="shared" si="2"/>
        <v/>
      </c>
      <c r="F111" s="11" t="s">
        <v>240</v>
      </c>
      <c r="G111" s="11">
        <v>66.82099915</v>
      </c>
      <c r="H111" s="11">
        <v>99.76517318</v>
      </c>
      <c r="I111" s="15">
        <f t="shared" si="3"/>
        <v>100</v>
      </c>
      <c r="J111" s="16" t="str">
        <f t="shared" si="4"/>
        <v/>
      </c>
      <c r="K111" s="16" t="str">
        <f t="shared" si="5"/>
        <v/>
      </c>
      <c r="L111" s="16" t="str">
        <f t="shared" si="6"/>
        <v/>
      </c>
      <c r="M111" s="16" t="str">
        <f t="shared" si="7"/>
        <v>ARC&gt;0</v>
      </c>
      <c r="N111" s="13" t="str">
        <f t="shared" si="8"/>
        <v/>
      </c>
      <c r="O111" s="11">
        <v>0.0</v>
      </c>
      <c r="P111" s="11">
        <v>0.2348268167</v>
      </c>
      <c r="Q111" s="11">
        <v>0.0</v>
      </c>
      <c r="R111" s="11">
        <v>99.84576172</v>
      </c>
      <c r="S111" s="15">
        <f t="shared" si="9"/>
        <v>100</v>
      </c>
      <c r="T111" s="17" t="str">
        <f t="shared" si="10"/>
        <v/>
      </c>
      <c r="U111" s="17" t="str">
        <f t="shared" si="11"/>
        <v/>
      </c>
      <c r="V111" s="17" t="str">
        <f t="shared" si="12"/>
        <v/>
      </c>
      <c r="W111" s="17" t="str">
        <f t="shared" si="13"/>
        <v>ARC&gt;0</v>
      </c>
      <c r="X111" s="13" t="str">
        <f t="shared" si="14"/>
        <v/>
      </c>
      <c r="Y111" s="11">
        <v>0.0</v>
      </c>
      <c r="Z111" s="11">
        <v>0.1542382836</v>
      </c>
      <c r="AA111" s="11">
        <v>0.0</v>
      </c>
      <c r="AB111" s="11">
        <v>99.72515812</v>
      </c>
      <c r="AC111" s="15">
        <f t="shared" si="15"/>
        <v>100</v>
      </c>
      <c r="AD111" s="16" t="str">
        <f t="shared" si="16"/>
        <v/>
      </c>
      <c r="AE111" s="16" t="str">
        <f t="shared" si="17"/>
        <v/>
      </c>
      <c r="AF111" s="16" t="str">
        <f t="shared" si="18"/>
        <v/>
      </c>
      <c r="AG111" s="16" t="str">
        <f t="shared" si="19"/>
        <v>ARC&gt;0</v>
      </c>
      <c r="AH111" s="13" t="str">
        <f t="shared" si="20"/>
        <v/>
      </c>
      <c r="AI111" s="11">
        <v>0.0</v>
      </c>
      <c r="AJ111" s="11">
        <v>0.2748418825</v>
      </c>
      <c r="AK111" s="11" t="s">
        <v>43</v>
      </c>
      <c r="AL111" s="18" t="str">
        <f t="shared" si="21"/>
        <v/>
      </c>
    </row>
    <row r="112" ht="15.75" customHeight="1">
      <c r="A112" s="11" t="s">
        <v>241</v>
      </c>
      <c r="B112" s="11">
        <v>2015.0</v>
      </c>
      <c r="C112" s="12" t="str">
        <f>VLOOKUP(A112, Regions!A:B, 2, FALSE)
</f>
        <v>Europe &amp; Central Asia</v>
      </c>
      <c r="D112" s="13">
        <f t="shared" si="1"/>
        <v>5</v>
      </c>
      <c r="E112" s="14">
        <f t="shared" si="2"/>
        <v>2017.5</v>
      </c>
      <c r="F112" s="11" t="s">
        <v>242</v>
      </c>
      <c r="G112" s="11">
        <v>73.47699738</v>
      </c>
      <c r="H112" s="11">
        <v>99.88009269</v>
      </c>
      <c r="I112" s="15">
        <f t="shared" si="3"/>
        <v>100</v>
      </c>
      <c r="J112" s="16" t="str">
        <f t="shared" si="4"/>
        <v>full access</v>
      </c>
      <c r="K112" s="16" t="str">
        <f t="shared" si="5"/>
        <v/>
      </c>
      <c r="L112" s="16" t="str">
        <f t="shared" si="6"/>
        <v/>
      </c>
      <c r="M112" s="16" t="str">
        <f t="shared" si="7"/>
        <v/>
      </c>
      <c r="N112" s="13">
        <f t="shared" si="8"/>
        <v>0.000099796</v>
      </c>
      <c r="O112" s="11">
        <v>0.0</v>
      </c>
      <c r="P112" s="11">
        <v>0.1199073119</v>
      </c>
      <c r="Q112" s="11">
        <v>0.0</v>
      </c>
      <c r="R112" s="11">
        <v>99.8175993</v>
      </c>
      <c r="S112" s="15">
        <f t="shared" si="9"/>
        <v>100</v>
      </c>
      <c r="T112" s="17" t="str">
        <f t="shared" si="10"/>
        <v>full access</v>
      </c>
      <c r="U112" s="17" t="str">
        <f t="shared" si="11"/>
        <v/>
      </c>
      <c r="V112" s="17" t="str">
        <f t="shared" si="12"/>
        <v/>
      </c>
      <c r="W112" s="17" t="str">
        <f t="shared" si="13"/>
        <v>ARC&gt;0</v>
      </c>
      <c r="X112" s="13">
        <f t="shared" si="14"/>
        <v>0</v>
      </c>
      <c r="Y112" s="11">
        <v>0.0</v>
      </c>
      <c r="Z112" s="11">
        <v>0.1824006965</v>
      </c>
      <c r="AA112" s="11">
        <v>0.0</v>
      </c>
      <c r="AB112" s="11">
        <v>99.90265093</v>
      </c>
      <c r="AC112" s="15">
        <f t="shared" si="15"/>
        <v>100</v>
      </c>
      <c r="AD112" s="16" t="str">
        <f t="shared" si="16"/>
        <v>full access</v>
      </c>
      <c r="AE112" s="16" t="str">
        <f t="shared" si="17"/>
        <v/>
      </c>
      <c r="AF112" s="16" t="str">
        <f t="shared" si="18"/>
        <v/>
      </c>
      <c r="AG112" s="16" t="str">
        <f t="shared" si="19"/>
        <v>ARC&gt;0</v>
      </c>
      <c r="AH112" s="13">
        <f t="shared" si="20"/>
        <v>0</v>
      </c>
      <c r="AI112" s="11">
        <v>0.0</v>
      </c>
      <c r="AJ112" s="11">
        <v>0.0973490679</v>
      </c>
      <c r="AK112" s="11" t="s">
        <v>43</v>
      </c>
      <c r="AL112" s="18">
        <f t="shared" si="21"/>
        <v>0</v>
      </c>
    </row>
    <row r="113" ht="15.75" customHeight="1">
      <c r="A113" s="11" t="s">
        <v>241</v>
      </c>
      <c r="B113" s="11">
        <v>2020.0</v>
      </c>
      <c r="C113" s="12" t="str">
        <f>VLOOKUP(A113, Regions!A:B, 2, FALSE)
</f>
        <v>Europe &amp; Central Asia</v>
      </c>
      <c r="D113" s="13" t="str">
        <f t="shared" si="1"/>
        <v/>
      </c>
      <c r="E113" s="14" t="str">
        <f t="shared" si="2"/>
        <v/>
      </c>
      <c r="F113" s="11" t="s">
        <v>243</v>
      </c>
      <c r="G113" s="11">
        <v>74.06100464</v>
      </c>
      <c r="H113" s="11">
        <v>99.88059167</v>
      </c>
      <c r="I113" s="15">
        <f t="shared" si="3"/>
        <v>100</v>
      </c>
      <c r="J113" s="16" t="str">
        <f t="shared" si="4"/>
        <v/>
      </c>
      <c r="K113" s="16" t="str">
        <f t="shared" si="5"/>
        <v/>
      </c>
      <c r="L113" s="16" t="str">
        <f t="shared" si="6"/>
        <v/>
      </c>
      <c r="M113" s="16" t="str">
        <f t="shared" si="7"/>
        <v>ARC&gt;0</v>
      </c>
      <c r="N113" s="13" t="str">
        <f t="shared" si="8"/>
        <v/>
      </c>
      <c r="O113" s="11">
        <v>0.0</v>
      </c>
      <c r="P113" s="11">
        <v>0.1194083325</v>
      </c>
      <c r="Q113" s="11">
        <v>0.0</v>
      </c>
      <c r="R113" s="11">
        <v>99.8175993</v>
      </c>
      <c r="S113" s="15">
        <f t="shared" si="9"/>
        <v>100</v>
      </c>
      <c r="T113" s="17" t="str">
        <f t="shared" si="10"/>
        <v/>
      </c>
      <c r="U113" s="17" t="str">
        <f t="shared" si="11"/>
        <v/>
      </c>
      <c r="V113" s="17" t="str">
        <f t="shared" si="12"/>
        <v/>
      </c>
      <c r="W113" s="17" t="str">
        <f t="shared" si="13"/>
        <v>ARC&gt;0</v>
      </c>
      <c r="X113" s="13" t="str">
        <f t="shared" si="14"/>
        <v/>
      </c>
      <c r="Y113" s="11">
        <v>0.0</v>
      </c>
      <c r="Z113" s="11">
        <v>0.1824006965</v>
      </c>
      <c r="AA113" s="11">
        <v>0.0</v>
      </c>
      <c r="AB113" s="11">
        <v>99.90265093</v>
      </c>
      <c r="AC113" s="15">
        <f t="shared" si="15"/>
        <v>100</v>
      </c>
      <c r="AD113" s="16" t="str">
        <f t="shared" si="16"/>
        <v/>
      </c>
      <c r="AE113" s="16" t="str">
        <f t="shared" si="17"/>
        <v/>
      </c>
      <c r="AF113" s="16" t="str">
        <f t="shared" si="18"/>
        <v/>
      </c>
      <c r="AG113" s="16" t="str">
        <f t="shared" si="19"/>
        <v>ARC&gt;0</v>
      </c>
      <c r="AH113" s="13" t="str">
        <f t="shared" si="20"/>
        <v/>
      </c>
      <c r="AI113" s="11">
        <v>0.0</v>
      </c>
      <c r="AJ113" s="11">
        <v>0.0973490679</v>
      </c>
      <c r="AK113" s="11" t="s">
        <v>43</v>
      </c>
      <c r="AL113" s="18" t="str">
        <f t="shared" si="21"/>
        <v/>
      </c>
    </row>
    <row r="114" ht="15.75" customHeight="1">
      <c r="A114" s="11" t="s">
        <v>244</v>
      </c>
      <c r="B114" s="11">
        <v>2015.0</v>
      </c>
      <c r="C114" s="12" t="str">
        <f>VLOOKUP(A114, Regions!A:B, 2, FALSE)
</f>
        <v>East Asia &amp; Pacific</v>
      </c>
      <c r="D114" s="13">
        <f t="shared" si="1"/>
        <v>5</v>
      </c>
      <c r="E114" s="14">
        <f t="shared" si="2"/>
        <v>2017.5</v>
      </c>
      <c r="F114" s="11" t="s">
        <v>245</v>
      </c>
      <c r="G114" s="11">
        <v>61.27700424</v>
      </c>
      <c r="H114" s="11">
        <v>95.21488171</v>
      </c>
      <c r="I114" s="15">
        <f t="shared" si="3"/>
        <v>95</v>
      </c>
      <c r="J114" s="16" t="str">
        <f t="shared" si="4"/>
        <v/>
      </c>
      <c r="K114" s="16" t="str">
        <f t="shared" si="5"/>
        <v/>
      </c>
      <c r="L114" s="16" t="str">
        <f t="shared" si="6"/>
        <v/>
      </c>
      <c r="M114" s="16" t="str">
        <f t="shared" si="7"/>
        <v>ARC&gt;0</v>
      </c>
      <c r="N114" s="13">
        <f t="shared" si="8"/>
        <v>-0.274207736</v>
      </c>
      <c r="O114" s="11">
        <v>0.6850023901</v>
      </c>
      <c r="P114" s="11">
        <v>3.829054918</v>
      </c>
      <c r="Q114" s="11">
        <v>0.2710609803</v>
      </c>
      <c r="R114" s="11">
        <v>91.61696842</v>
      </c>
      <c r="S114" s="15">
        <f t="shared" si="9"/>
        <v>92</v>
      </c>
      <c r="T114" s="17" t="str">
        <f t="shared" si="10"/>
        <v/>
      </c>
      <c r="U114" s="17" t="str">
        <f t="shared" si="11"/>
        <v/>
      </c>
      <c r="V114" s="17" t="str">
        <f t="shared" si="12"/>
        <v/>
      </c>
      <c r="W114" s="17" t="str">
        <f t="shared" si="13"/>
        <v>ARC&gt;0</v>
      </c>
      <c r="X114" s="13">
        <f t="shared" si="14"/>
        <v>-0.572668708</v>
      </c>
      <c r="Y114" s="11">
        <v>0.3679396322</v>
      </c>
      <c r="Z114" s="11">
        <v>7.315091944</v>
      </c>
      <c r="AA114" s="11">
        <v>0.7</v>
      </c>
      <c r="AB114" s="11">
        <v>97.48852402</v>
      </c>
      <c r="AC114" s="15">
        <f t="shared" si="15"/>
        <v>97</v>
      </c>
      <c r="AD114" s="16" t="str">
        <f t="shared" si="16"/>
        <v/>
      </c>
      <c r="AE114" s="16" t="str">
        <f t="shared" si="17"/>
        <v/>
      </c>
      <c r="AF114" s="16" t="str">
        <f t="shared" si="18"/>
        <v/>
      </c>
      <c r="AG114" s="16" t="str">
        <f t="shared" si="19"/>
        <v>ARC&gt;0</v>
      </c>
      <c r="AH114" s="13">
        <f t="shared" si="20"/>
        <v>-0.115002716</v>
      </c>
      <c r="AI114" s="11">
        <v>0.8853650012</v>
      </c>
      <c r="AJ114" s="11">
        <v>1.626110978</v>
      </c>
      <c r="AK114" s="11" t="s">
        <v>43</v>
      </c>
      <c r="AL114" s="18">
        <f t="shared" si="21"/>
        <v>-0.457665992</v>
      </c>
    </row>
    <row r="115" ht="15.75" customHeight="1">
      <c r="A115" s="11" t="s">
        <v>244</v>
      </c>
      <c r="B115" s="11">
        <v>2020.0</v>
      </c>
      <c r="C115" s="12" t="str">
        <f>VLOOKUP(A115, Regions!A:B, 2, FALSE)
</f>
        <v>East Asia &amp; Pacific</v>
      </c>
      <c r="D115" s="13" t="str">
        <f t="shared" si="1"/>
        <v/>
      </c>
      <c r="E115" s="14" t="str">
        <f t="shared" si="2"/>
        <v/>
      </c>
      <c r="F115" s="11" t="s">
        <v>246</v>
      </c>
      <c r="G115" s="11">
        <v>62.38100052</v>
      </c>
      <c r="H115" s="11">
        <v>93.84384303</v>
      </c>
      <c r="I115" s="15">
        <f t="shared" si="3"/>
        <v>94</v>
      </c>
      <c r="J115" s="16" t="str">
        <f t="shared" si="4"/>
        <v/>
      </c>
      <c r="K115" s="16" t="str">
        <f t="shared" si="5"/>
        <v/>
      </c>
      <c r="L115" s="16" t="str">
        <f t="shared" si="6"/>
        <v/>
      </c>
      <c r="M115" s="16" t="str">
        <f t="shared" si="7"/>
        <v>ARC&gt;0</v>
      </c>
      <c r="N115" s="13" t="str">
        <f t="shared" si="8"/>
        <v/>
      </c>
      <c r="O115" s="11">
        <v>0.6831311872</v>
      </c>
      <c r="P115" s="11">
        <v>5.20969278</v>
      </c>
      <c r="Q115" s="11">
        <v>0.2633330058</v>
      </c>
      <c r="R115" s="11">
        <v>88.75362488</v>
      </c>
      <c r="S115" s="15">
        <f t="shared" si="9"/>
        <v>89</v>
      </c>
      <c r="T115" s="17" t="str">
        <f t="shared" si="10"/>
        <v/>
      </c>
      <c r="U115" s="17" t="str">
        <f t="shared" si="11"/>
        <v/>
      </c>
      <c r="V115" s="17" t="str">
        <f t="shared" si="12"/>
        <v/>
      </c>
      <c r="W115" s="17" t="str">
        <f t="shared" si="13"/>
        <v>ARC&gt;0</v>
      </c>
      <c r="X115" s="13" t="str">
        <f t="shared" si="14"/>
        <v/>
      </c>
      <c r="Y115" s="11">
        <v>0.3564402606</v>
      </c>
      <c r="Z115" s="11">
        <v>10.18993486</v>
      </c>
      <c r="AA115" s="11">
        <v>0.7</v>
      </c>
      <c r="AB115" s="11">
        <v>96.91351044</v>
      </c>
      <c r="AC115" s="15">
        <f t="shared" si="15"/>
        <v>97</v>
      </c>
      <c r="AD115" s="16" t="str">
        <f t="shared" si="16"/>
        <v/>
      </c>
      <c r="AE115" s="16" t="str">
        <f t="shared" si="17"/>
        <v/>
      </c>
      <c r="AF115" s="16" t="str">
        <f t="shared" si="18"/>
        <v/>
      </c>
      <c r="AG115" s="16" t="str">
        <f t="shared" si="19"/>
        <v>ARC&gt;0</v>
      </c>
      <c r="AH115" s="13" t="str">
        <f t="shared" si="20"/>
        <v/>
      </c>
      <c r="AI115" s="11">
        <v>0.8801428799</v>
      </c>
      <c r="AJ115" s="11">
        <v>2.206346677</v>
      </c>
      <c r="AK115" s="11" t="s">
        <v>43</v>
      </c>
      <c r="AL115" s="18" t="str">
        <f t="shared" si="21"/>
        <v/>
      </c>
    </row>
    <row r="116" ht="15.75" customHeight="1">
      <c r="A116" s="11" t="s">
        <v>247</v>
      </c>
      <c r="B116" s="11">
        <v>2015.0</v>
      </c>
      <c r="C116" s="12" t="str">
        <f>VLOOKUP(A116, Regions!A:B, 2, FALSE)
</f>
        <v>Sub-Saharan Africa</v>
      </c>
      <c r="D116" s="13">
        <f t="shared" si="1"/>
        <v>5</v>
      </c>
      <c r="E116" s="14">
        <f t="shared" si="2"/>
        <v>2017.5</v>
      </c>
      <c r="F116" s="11" t="s">
        <v>248</v>
      </c>
      <c r="G116" s="11">
        <v>42.73999786</v>
      </c>
      <c r="H116" s="11">
        <v>42.71817997</v>
      </c>
      <c r="I116" s="15">
        <f t="shared" si="3"/>
        <v>43</v>
      </c>
      <c r="J116" s="16" t="str">
        <f t="shared" si="4"/>
        <v/>
      </c>
      <c r="K116" s="16" t="str">
        <f t="shared" si="5"/>
        <v/>
      </c>
      <c r="L116" s="16" t="str">
        <f t="shared" si="6"/>
        <v/>
      </c>
      <c r="M116" s="16" t="str">
        <f t="shared" si="7"/>
        <v>ARC&gt;0</v>
      </c>
      <c r="N116" s="13">
        <f t="shared" si="8"/>
        <v>0.646789398</v>
      </c>
      <c r="O116" s="11">
        <v>12.68729907</v>
      </c>
      <c r="P116" s="11">
        <v>34.28402477</v>
      </c>
      <c r="Q116" s="11">
        <v>10.31049619</v>
      </c>
      <c r="R116" s="11">
        <v>20.6225138</v>
      </c>
      <c r="S116" s="15">
        <f t="shared" si="9"/>
        <v>21</v>
      </c>
      <c r="T116" s="17" t="str">
        <f t="shared" si="10"/>
        <v/>
      </c>
      <c r="U116" s="17" t="str">
        <f t="shared" si="11"/>
        <v/>
      </c>
      <c r="V116" s="17" t="str">
        <f t="shared" si="12"/>
        <v/>
      </c>
      <c r="W116" s="17" t="str">
        <f t="shared" si="13"/>
        <v>ARC&gt;0</v>
      </c>
      <c r="X116" s="13">
        <f t="shared" si="14"/>
        <v>0.272055708</v>
      </c>
      <c r="Y116" s="11">
        <v>11.51689397</v>
      </c>
      <c r="Z116" s="11">
        <v>51.00984003</v>
      </c>
      <c r="AA116" s="11">
        <v>16.8507522</v>
      </c>
      <c r="AB116" s="11">
        <v>72.32037779</v>
      </c>
      <c r="AC116" s="15">
        <f t="shared" si="15"/>
        <v>72</v>
      </c>
      <c r="AD116" s="16" t="str">
        <f t="shared" si="16"/>
        <v/>
      </c>
      <c r="AE116" s="16" t="str">
        <f t="shared" si="17"/>
        <v/>
      </c>
      <c r="AF116" s="16" t="str">
        <f t="shared" si="18"/>
        <v/>
      </c>
      <c r="AG116" s="16" t="str">
        <f t="shared" si="19"/>
        <v>ARC&gt;0</v>
      </c>
      <c r="AH116" s="13">
        <f t="shared" si="20"/>
        <v>0.436595398</v>
      </c>
      <c r="AI116" s="11">
        <v>14.25532498</v>
      </c>
      <c r="AJ116" s="11">
        <v>11.87596826</v>
      </c>
      <c r="AK116" s="11" t="s">
        <v>249</v>
      </c>
      <c r="AL116" s="18">
        <f t="shared" si="21"/>
        <v>-0.16453969</v>
      </c>
    </row>
    <row r="117" ht="15.75" customHeight="1">
      <c r="A117" s="11" t="s">
        <v>247</v>
      </c>
      <c r="B117" s="11">
        <v>2020.0</v>
      </c>
      <c r="C117" s="12" t="str">
        <f>VLOOKUP(A117, Regions!A:B, 2, FALSE)
</f>
        <v>Sub-Saharan Africa</v>
      </c>
      <c r="D117" s="13" t="str">
        <f t="shared" si="1"/>
        <v/>
      </c>
      <c r="E117" s="14" t="str">
        <f t="shared" si="2"/>
        <v/>
      </c>
      <c r="F117" s="11" t="s">
        <v>250</v>
      </c>
      <c r="G117" s="11">
        <v>45.63800049</v>
      </c>
      <c r="H117" s="11">
        <v>45.95212696</v>
      </c>
      <c r="I117" s="15">
        <f t="shared" si="3"/>
        <v>46</v>
      </c>
      <c r="J117" s="16" t="str">
        <f t="shared" si="4"/>
        <v/>
      </c>
      <c r="K117" s="16" t="str">
        <f t="shared" si="5"/>
        <v/>
      </c>
      <c r="L117" s="16" t="str">
        <f t="shared" si="6"/>
        <v/>
      </c>
      <c r="M117" s="16" t="str">
        <f t="shared" si="7"/>
        <v>ARC&gt;0</v>
      </c>
      <c r="N117" s="13" t="str">
        <f t="shared" si="8"/>
        <v/>
      </c>
      <c r="O117" s="11">
        <v>13.44122447</v>
      </c>
      <c r="P117" s="11">
        <v>32.54231607</v>
      </c>
      <c r="Q117" s="11">
        <v>8.064332495</v>
      </c>
      <c r="R117" s="11">
        <v>21.98279234</v>
      </c>
      <c r="S117" s="15">
        <f t="shared" si="9"/>
        <v>22</v>
      </c>
      <c r="T117" s="17" t="str">
        <f t="shared" si="10"/>
        <v/>
      </c>
      <c r="U117" s="17" t="str">
        <f t="shared" si="11"/>
        <v/>
      </c>
      <c r="V117" s="17" t="str">
        <f t="shared" si="12"/>
        <v/>
      </c>
      <c r="W117" s="17" t="str">
        <f t="shared" si="13"/>
        <v>ARC&gt;0</v>
      </c>
      <c r="X117" s="13" t="str">
        <f t="shared" si="14"/>
        <v/>
      </c>
      <c r="Y117" s="11">
        <v>12.68294146</v>
      </c>
      <c r="Z117" s="11">
        <v>51.21598167</v>
      </c>
      <c r="AA117" s="11">
        <v>14.11828453</v>
      </c>
      <c r="AB117" s="11">
        <v>74.50335478</v>
      </c>
      <c r="AC117" s="15">
        <f t="shared" si="15"/>
        <v>75</v>
      </c>
      <c r="AD117" s="16" t="str">
        <f t="shared" si="16"/>
        <v/>
      </c>
      <c r="AE117" s="16" t="str">
        <f t="shared" si="17"/>
        <v/>
      </c>
      <c r="AF117" s="16" t="str">
        <f t="shared" si="18"/>
        <v/>
      </c>
      <c r="AG117" s="16" t="str">
        <f t="shared" si="19"/>
        <v>ARC&gt;0</v>
      </c>
      <c r="AH117" s="13" t="str">
        <f t="shared" si="20"/>
        <v/>
      </c>
      <c r="AI117" s="11">
        <v>14.34445818</v>
      </c>
      <c r="AJ117" s="11">
        <v>10.29905862</v>
      </c>
      <c r="AK117" s="11" t="s">
        <v>251</v>
      </c>
      <c r="AL117" s="18" t="str">
        <f t="shared" si="21"/>
        <v/>
      </c>
    </row>
    <row r="118" ht="15.75" customHeight="1">
      <c r="A118" s="11" t="s">
        <v>252</v>
      </c>
      <c r="B118" s="11">
        <v>2015.0</v>
      </c>
      <c r="C118" s="12" t="str">
        <f>VLOOKUP(A118, Regions!A:B, 2, FALSE)
</f>
        <v>Europe &amp; Central Asia</v>
      </c>
      <c r="D118" s="13">
        <f t="shared" si="1"/>
        <v>5</v>
      </c>
      <c r="E118" s="14">
        <f t="shared" si="2"/>
        <v>2017.5</v>
      </c>
      <c r="F118" s="11" t="s">
        <v>253</v>
      </c>
      <c r="G118" s="11">
        <v>87.52600098</v>
      </c>
      <c r="H118" s="11">
        <v>99.99999785</v>
      </c>
      <c r="I118" s="15">
        <f t="shared" si="3"/>
        <v>100</v>
      </c>
      <c r="J118" s="16" t="str">
        <f t="shared" si="4"/>
        <v>full access</v>
      </c>
      <c r="K118" s="16" t="str">
        <f t="shared" si="5"/>
        <v/>
      </c>
      <c r="L118" s="16" t="str">
        <f t="shared" si="6"/>
        <v/>
      </c>
      <c r="M118" s="16" t="str">
        <f t="shared" si="7"/>
        <v/>
      </c>
      <c r="N118" s="13">
        <f t="shared" si="8"/>
        <v>0.0000006500000012</v>
      </c>
      <c r="O118" s="11">
        <v>0.0</v>
      </c>
      <c r="P118" s="11">
        <v>2.145840412E-6</v>
      </c>
      <c r="Q118" s="11">
        <v>0.0</v>
      </c>
      <c r="R118" s="11">
        <v>100.0</v>
      </c>
      <c r="S118" s="15">
        <f t="shared" si="9"/>
        <v>100</v>
      </c>
      <c r="T118" s="17" t="str">
        <f t="shared" si="10"/>
        <v>full access</v>
      </c>
      <c r="U118" s="17" t="str">
        <f t="shared" si="11"/>
        <v/>
      </c>
      <c r="V118" s="17" t="str">
        <f t="shared" si="12"/>
        <v/>
      </c>
      <c r="W118" s="17" t="str">
        <f t="shared" si="13"/>
        <v>ARC&gt;0</v>
      </c>
      <c r="X118" s="13">
        <f t="shared" si="14"/>
        <v>0</v>
      </c>
      <c r="Y118" s="11">
        <v>0.0</v>
      </c>
      <c r="Z118" s="11">
        <v>0.0</v>
      </c>
      <c r="AA118" s="11">
        <v>0.0</v>
      </c>
      <c r="AB118" s="11">
        <v>100.0</v>
      </c>
      <c r="AC118" s="15">
        <f t="shared" si="15"/>
        <v>100</v>
      </c>
      <c r="AD118" s="16" t="str">
        <f t="shared" si="16"/>
        <v>full access</v>
      </c>
      <c r="AE118" s="16" t="str">
        <f t="shared" si="17"/>
        <v/>
      </c>
      <c r="AF118" s="16" t="str">
        <f t="shared" si="18"/>
        <v/>
      </c>
      <c r="AG118" s="16" t="str">
        <f t="shared" si="19"/>
        <v>ARC&gt;0</v>
      </c>
      <c r="AH118" s="13">
        <f t="shared" si="20"/>
        <v>0</v>
      </c>
      <c r="AI118" s="11">
        <v>0.0</v>
      </c>
      <c r="AJ118" s="11">
        <v>0.0</v>
      </c>
      <c r="AK118" s="11" t="s">
        <v>43</v>
      </c>
      <c r="AL118" s="18">
        <f t="shared" si="21"/>
        <v>0</v>
      </c>
    </row>
    <row r="119" ht="15.75" customHeight="1">
      <c r="A119" s="11" t="s">
        <v>252</v>
      </c>
      <c r="B119" s="11">
        <v>2020.0</v>
      </c>
      <c r="C119" s="12" t="str">
        <f>VLOOKUP(A119, Regions!A:B, 2, FALSE)
</f>
        <v>Europe &amp; Central Asia</v>
      </c>
      <c r="D119" s="13" t="str">
        <f t="shared" si="1"/>
        <v/>
      </c>
      <c r="E119" s="14" t="str">
        <f t="shared" si="2"/>
        <v/>
      </c>
      <c r="F119" s="11" t="s">
        <v>254</v>
      </c>
      <c r="G119" s="11">
        <v>88.11600494</v>
      </c>
      <c r="H119" s="11">
        <v>100.0000011</v>
      </c>
      <c r="I119" s="15">
        <f t="shared" si="3"/>
        <v>100</v>
      </c>
      <c r="J119" s="16" t="str">
        <f t="shared" si="4"/>
        <v/>
      </c>
      <c r="K119" s="16" t="str">
        <f t="shared" si="5"/>
        <v/>
      </c>
      <c r="L119" s="16" t="str">
        <f t="shared" si="6"/>
        <v/>
      </c>
      <c r="M119" s="16" t="str">
        <f t="shared" si="7"/>
        <v>ARC&gt;0</v>
      </c>
      <c r="N119" s="13" t="str">
        <f t="shared" si="8"/>
        <v/>
      </c>
      <c r="O119" s="11">
        <v>0.0</v>
      </c>
      <c r="P119" s="11">
        <v>0.0</v>
      </c>
      <c r="Q119" s="11">
        <v>0.0</v>
      </c>
      <c r="R119" s="11">
        <v>100.0</v>
      </c>
      <c r="S119" s="15">
        <f t="shared" si="9"/>
        <v>100</v>
      </c>
      <c r="T119" s="17" t="str">
        <f t="shared" si="10"/>
        <v/>
      </c>
      <c r="U119" s="17" t="str">
        <f t="shared" si="11"/>
        <v/>
      </c>
      <c r="V119" s="17" t="str">
        <f t="shared" si="12"/>
        <v/>
      </c>
      <c r="W119" s="17" t="str">
        <f t="shared" si="13"/>
        <v>ARC&gt;0</v>
      </c>
      <c r="X119" s="13" t="str">
        <f t="shared" si="14"/>
        <v/>
      </c>
      <c r="Y119" s="11">
        <v>0.0</v>
      </c>
      <c r="Z119" s="11">
        <v>0.0</v>
      </c>
      <c r="AA119" s="11">
        <v>0.0</v>
      </c>
      <c r="AB119" s="11">
        <v>100.0</v>
      </c>
      <c r="AC119" s="15">
        <f t="shared" si="15"/>
        <v>100</v>
      </c>
      <c r="AD119" s="16" t="str">
        <f t="shared" si="16"/>
        <v/>
      </c>
      <c r="AE119" s="16" t="str">
        <f t="shared" si="17"/>
        <v/>
      </c>
      <c r="AF119" s="16" t="str">
        <f t="shared" si="18"/>
        <v/>
      </c>
      <c r="AG119" s="16" t="str">
        <f t="shared" si="19"/>
        <v>ARC&gt;0</v>
      </c>
      <c r="AH119" s="13" t="str">
        <f t="shared" si="20"/>
        <v/>
      </c>
      <c r="AI119" s="11">
        <v>0.0</v>
      </c>
      <c r="AJ119" s="11">
        <v>0.0</v>
      </c>
      <c r="AK119" s="11" t="s">
        <v>43</v>
      </c>
      <c r="AL119" s="18" t="str">
        <f t="shared" si="21"/>
        <v/>
      </c>
    </row>
    <row r="120" ht="15.75" customHeight="1">
      <c r="A120" s="11" t="s">
        <v>255</v>
      </c>
      <c r="B120" s="11">
        <v>2015.0</v>
      </c>
      <c r="C120" s="12" t="str">
        <f>VLOOKUP(A120, Regions!A:B, 2, FALSE)
</f>
        <v>Sub-Saharan Africa</v>
      </c>
      <c r="D120" s="13">
        <f t="shared" si="1"/>
        <v>5</v>
      </c>
      <c r="E120" s="14">
        <f t="shared" si="2"/>
        <v>2017.5</v>
      </c>
      <c r="F120" s="11" t="s">
        <v>256</v>
      </c>
      <c r="G120" s="11">
        <v>77.41699219</v>
      </c>
      <c r="H120" s="11">
        <v>75.78704503</v>
      </c>
      <c r="I120" s="15">
        <f t="shared" si="3"/>
        <v>76</v>
      </c>
      <c r="J120" s="16" t="str">
        <f t="shared" si="4"/>
        <v/>
      </c>
      <c r="K120" s="16" t="str">
        <f t="shared" si="5"/>
        <v/>
      </c>
      <c r="L120" s="16" t="str">
        <f t="shared" si="6"/>
        <v/>
      </c>
      <c r="M120" s="16" t="str">
        <f t="shared" si="7"/>
        <v>ARC&gt;0</v>
      </c>
      <c r="N120" s="13">
        <f t="shared" si="8"/>
        <v>0.052575036</v>
      </c>
      <c r="O120" s="11">
        <v>14.75417119</v>
      </c>
      <c r="P120" s="11">
        <v>7.39492395</v>
      </c>
      <c r="Q120" s="11">
        <v>2.063859825</v>
      </c>
      <c r="R120" s="11">
        <v>48.75920509</v>
      </c>
      <c r="S120" s="15">
        <f t="shared" si="9"/>
        <v>49</v>
      </c>
      <c r="T120" s="17" t="str">
        <f t="shared" si="10"/>
        <v/>
      </c>
      <c r="U120" s="17" t="str">
        <f t="shared" si="11"/>
        <v/>
      </c>
      <c r="V120" s="17" t="str">
        <f t="shared" si="12"/>
        <v/>
      </c>
      <c r="W120" s="17" t="str">
        <f t="shared" si="13"/>
        <v>ARC&gt;0</v>
      </c>
      <c r="X120" s="13">
        <f t="shared" si="14"/>
        <v>-0.295694432</v>
      </c>
      <c r="Y120" s="11">
        <v>12.43877762</v>
      </c>
      <c r="Z120" s="11">
        <v>30.37700254</v>
      </c>
      <c r="AA120" s="11">
        <v>8.425014754</v>
      </c>
      <c r="AB120" s="11">
        <v>83.67122985</v>
      </c>
      <c r="AC120" s="15">
        <f t="shared" si="15"/>
        <v>84</v>
      </c>
      <c r="AD120" s="16" t="str">
        <f t="shared" si="16"/>
        <v/>
      </c>
      <c r="AE120" s="16" t="str">
        <f t="shared" si="17"/>
        <v/>
      </c>
      <c r="AF120" s="16" t="str">
        <f t="shared" si="18"/>
        <v/>
      </c>
      <c r="AG120" s="16" t="str">
        <f t="shared" si="19"/>
        <v>ARC&gt;0</v>
      </c>
      <c r="AH120" s="13">
        <f t="shared" si="20"/>
        <v>0.092757016</v>
      </c>
      <c r="AI120" s="11">
        <v>15.42958572</v>
      </c>
      <c r="AJ120" s="11">
        <v>0.6909116479</v>
      </c>
      <c r="AK120" s="11" t="s">
        <v>257</v>
      </c>
      <c r="AL120" s="18">
        <f t="shared" si="21"/>
        <v>-0.388451448</v>
      </c>
    </row>
    <row r="121" ht="15.75" customHeight="1">
      <c r="A121" s="11" t="s">
        <v>255</v>
      </c>
      <c r="B121" s="11">
        <v>2020.0</v>
      </c>
      <c r="C121" s="12" t="str">
        <f>VLOOKUP(A121, Regions!A:B, 2, FALSE)
</f>
        <v>Sub-Saharan Africa</v>
      </c>
      <c r="D121" s="13" t="str">
        <f t="shared" si="1"/>
        <v/>
      </c>
      <c r="E121" s="14" t="str">
        <f t="shared" si="2"/>
        <v/>
      </c>
      <c r="F121" s="11" t="s">
        <v>258</v>
      </c>
      <c r="G121" s="11">
        <v>78.06199646</v>
      </c>
      <c r="H121" s="11">
        <v>76.04992021</v>
      </c>
      <c r="I121" s="15">
        <f t="shared" si="3"/>
        <v>76</v>
      </c>
      <c r="J121" s="16" t="str">
        <f t="shared" si="4"/>
        <v/>
      </c>
      <c r="K121" s="16" t="str">
        <f t="shared" si="5"/>
        <v/>
      </c>
      <c r="L121" s="16" t="str">
        <f t="shared" si="6"/>
        <v/>
      </c>
      <c r="M121" s="16" t="str">
        <f t="shared" si="7"/>
        <v>ARC&gt;0</v>
      </c>
      <c r="N121" s="13" t="str">
        <f t="shared" si="8"/>
        <v/>
      </c>
      <c r="O121" s="11">
        <v>14.7574817</v>
      </c>
      <c r="P121" s="11">
        <v>7.015876051</v>
      </c>
      <c r="Q121" s="11">
        <v>2.176722038</v>
      </c>
      <c r="R121" s="11">
        <v>47.28073293</v>
      </c>
      <c r="S121" s="15">
        <f t="shared" si="9"/>
        <v>47</v>
      </c>
      <c r="T121" s="17" t="str">
        <f t="shared" si="10"/>
        <v/>
      </c>
      <c r="U121" s="17" t="str">
        <f t="shared" si="11"/>
        <v/>
      </c>
      <c r="V121" s="17" t="str">
        <f t="shared" si="12"/>
        <v/>
      </c>
      <c r="W121" s="17" t="str">
        <f t="shared" si="13"/>
        <v>ARC&gt;0</v>
      </c>
      <c r="X121" s="13" t="str">
        <f t="shared" si="14"/>
        <v/>
      </c>
      <c r="Y121" s="11">
        <v>12.06161014</v>
      </c>
      <c r="Z121" s="11">
        <v>30.73550468</v>
      </c>
      <c r="AA121" s="11">
        <v>9.922152249</v>
      </c>
      <c r="AB121" s="11">
        <v>84.13501493</v>
      </c>
      <c r="AC121" s="15">
        <f t="shared" si="15"/>
        <v>84</v>
      </c>
      <c r="AD121" s="16" t="str">
        <f t="shared" si="16"/>
        <v/>
      </c>
      <c r="AE121" s="16" t="str">
        <f t="shared" si="17"/>
        <v/>
      </c>
      <c r="AF121" s="16" t="str">
        <f t="shared" si="18"/>
        <v/>
      </c>
      <c r="AG121" s="16" t="str">
        <f t="shared" si="19"/>
        <v>ARC&gt;0</v>
      </c>
      <c r="AH121" s="13" t="str">
        <f t="shared" si="20"/>
        <v/>
      </c>
      <c r="AI121" s="11">
        <v>15.51511107</v>
      </c>
      <c r="AJ121" s="11">
        <v>0.3498740029</v>
      </c>
      <c r="AK121" s="11" t="s">
        <v>43</v>
      </c>
      <c r="AL121" s="18" t="str">
        <f t="shared" si="21"/>
        <v/>
      </c>
    </row>
    <row r="122" ht="15.75" customHeight="1">
      <c r="A122" s="11" t="s">
        <v>259</v>
      </c>
      <c r="B122" s="11">
        <v>2015.0</v>
      </c>
      <c r="C122" s="12" t="str">
        <f>VLOOKUP(A122, Regions!A:B, 2, FALSE)
</f>
        <v>Latin America &amp; Caribbean</v>
      </c>
      <c r="D122" s="13">
        <f t="shared" si="1"/>
        <v>2</v>
      </c>
      <c r="E122" s="14">
        <f t="shared" si="2"/>
        <v>2016</v>
      </c>
      <c r="F122" s="11" t="s">
        <v>260</v>
      </c>
      <c r="G122" s="11">
        <v>69.57899475</v>
      </c>
      <c r="H122" s="11">
        <v>95.42065606</v>
      </c>
      <c r="I122" s="15">
        <f t="shared" si="3"/>
        <v>95</v>
      </c>
      <c r="J122" s="16" t="str">
        <f t="shared" si="4"/>
        <v/>
      </c>
      <c r="K122" s="16" t="str">
        <f t="shared" si="5"/>
        <v/>
      </c>
      <c r="L122" s="16" t="str">
        <f t="shared" si="6"/>
        <v/>
      </c>
      <c r="M122" s="16" t="str">
        <f t="shared" si="7"/>
        <v>ARC&gt;0</v>
      </c>
      <c r="N122" s="13">
        <f t="shared" si="8"/>
        <v>0</v>
      </c>
      <c r="O122" s="11">
        <v>0.0</v>
      </c>
      <c r="P122" s="11">
        <v>4.579343937</v>
      </c>
      <c r="Q122" s="11">
        <v>0.0</v>
      </c>
      <c r="S122" s="15">
        <f t="shared" si="9"/>
        <v>0</v>
      </c>
      <c r="T122" s="17" t="str">
        <f t="shared" si="10"/>
        <v/>
      </c>
      <c r="U122" s="17" t="str">
        <f t="shared" si="11"/>
        <v>ARC=0</v>
      </c>
      <c r="V122" s="17" t="str">
        <f t="shared" si="12"/>
        <v/>
      </c>
      <c r="W122" s="17" t="str">
        <f t="shared" si="13"/>
        <v/>
      </c>
      <c r="X122" s="13">
        <f t="shared" si="14"/>
        <v>0</v>
      </c>
      <c r="AC122" s="15">
        <f t="shared" si="15"/>
        <v>0</v>
      </c>
      <c r="AD122" s="16" t="str">
        <f t="shared" si="16"/>
        <v/>
      </c>
      <c r="AE122" s="16" t="str">
        <f t="shared" si="17"/>
        <v>ARC=0</v>
      </c>
      <c r="AF122" s="16" t="str">
        <f t="shared" si="18"/>
        <v/>
      </c>
      <c r="AG122" s="16" t="str">
        <f t="shared" si="19"/>
        <v/>
      </c>
      <c r="AH122" s="13">
        <f t="shared" si="20"/>
        <v>0</v>
      </c>
      <c r="AL122" s="18">
        <f t="shared" si="21"/>
        <v>0</v>
      </c>
    </row>
    <row r="123" ht="15.75" customHeight="1">
      <c r="A123" s="11" t="s">
        <v>259</v>
      </c>
      <c r="B123" s="11">
        <v>2017.0</v>
      </c>
      <c r="C123" s="12" t="str">
        <f>VLOOKUP(A123, Regions!A:B, 2, FALSE)
</f>
        <v>Latin America &amp; Caribbean</v>
      </c>
      <c r="D123" s="13" t="str">
        <f t="shared" si="1"/>
        <v/>
      </c>
      <c r="E123" s="14" t="str">
        <f t="shared" si="2"/>
        <v/>
      </c>
      <c r="F123" s="11" t="s">
        <v>261</v>
      </c>
      <c r="G123" s="11">
        <v>70.18099976</v>
      </c>
      <c r="H123" s="11">
        <v>95.42065606</v>
      </c>
      <c r="I123" s="15">
        <f t="shared" si="3"/>
        <v>95</v>
      </c>
      <c r="J123" s="16" t="str">
        <f t="shared" si="4"/>
        <v/>
      </c>
      <c r="K123" s="16" t="str">
        <f t="shared" si="5"/>
        <v/>
      </c>
      <c r="L123" s="16" t="str">
        <f t="shared" si="6"/>
        <v/>
      </c>
      <c r="M123" s="16" t="str">
        <f t="shared" si="7"/>
        <v>ARC&gt;0</v>
      </c>
      <c r="N123" s="13" t="str">
        <f t="shared" si="8"/>
        <v/>
      </c>
      <c r="O123" s="11">
        <v>0.0</v>
      </c>
      <c r="P123" s="11">
        <v>4.579343937</v>
      </c>
      <c r="Q123" s="11">
        <v>0.0</v>
      </c>
      <c r="S123" s="15">
        <f t="shared" si="9"/>
        <v>0</v>
      </c>
      <c r="T123" s="17" t="str">
        <f t="shared" si="10"/>
        <v/>
      </c>
      <c r="U123" s="17" t="str">
        <f t="shared" si="11"/>
        <v>ARC=0</v>
      </c>
      <c r="V123" s="17" t="str">
        <f t="shared" si="12"/>
        <v/>
      </c>
      <c r="W123" s="17" t="str">
        <f t="shared" si="13"/>
        <v/>
      </c>
      <c r="X123" s="13" t="str">
        <f t="shared" si="14"/>
        <v/>
      </c>
      <c r="AC123" s="15">
        <f t="shared" si="15"/>
        <v>0</v>
      </c>
      <c r="AD123" s="16" t="str">
        <f t="shared" si="16"/>
        <v/>
      </c>
      <c r="AE123" s="16" t="str">
        <f t="shared" si="17"/>
        <v>ARC=0</v>
      </c>
      <c r="AF123" s="16" t="str">
        <f t="shared" si="18"/>
        <v/>
      </c>
      <c r="AG123" s="16" t="str">
        <f t="shared" si="19"/>
        <v/>
      </c>
      <c r="AH123" s="13" t="str">
        <f t="shared" si="20"/>
        <v/>
      </c>
      <c r="AL123" s="18" t="str">
        <f t="shared" si="21"/>
        <v/>
      </c>
    </row>
    <row r="124" ht="15.75" customHeight="1">
      <c r="A124" s="11" t="s">
        <v>262</v>
      </c>
      <c r="B124" s="11">
        <v>2015.0</v>
      </c>
      <c r="C124" s="12" t="str">
        <f>VLOOKUP(A124, Regions!A:B, 2, FALSE)
</f>
        <v>Latin America &amp; Caribbean</v>
      </c>
      <c r="D124" s="13">
        <f t="shared" si="1"/>
        <v>5</v>
      </c>
      <c r="E124" s="14">
        <f t="shared" si="2"/>
        <v>2017.5</v>
      </c>
      <c r="F124" s="11" t="s">
        <v>263</v>
      </c>
      <c r="G124" s="11">
        <v>78.56600189</v>
      </c>
      <c r="H124" s="11">
        <v>96.0993385</v>
      </c>
      <c r="I124" s="15">
        <f t="shared" si="3"/>
        <v>96</v>
      </c>
      <c r="J124" s="16" t="str">
        <f t="shared" si="4"/>
        <v/>
      </c>
      <c r="K124" s="16" t="str">
        <f t="shared" si="5"/>
        <v/>
      </c>
      <c r="L124" s="16" t="str">
        <f t="shared" si="6"/>
        <v/>
      </c>
      <c r="M124" s="16" t="str">
        <f t="shared" si="7"/>
        <v>ARC&gt;0</v>
      </c>
      <c r="N124" s="13">
        <f t="shared" si="8"/>
        <v>0.117494684</v>
      </c>
      <c r="O124" s="11">
        <v>0.6952122155</v>
      </c>
      <c r="P124" s="11">
        <v>1.550594498</v>
      </c>
      <c r="Q124" s="11">
        <v>1.654854791</v>
      </c>
      <c r="R124" s="11">
        <v>89.21104378</v>
      </c>
      <c r="S124" s="15">
        <f t="shared" si="9"/>
        <v>89</v>
      </c>
      <c r="T124" s="17" t="str">
        <f t="shared" si="10"/>
        <v/>
      </c>
      <c r="U124" s="17" t="str">
        <f t="shared" si="11"/>
        <v/>
      </c>
      <c r="V124" s="17" t="str">
        <f t="shared" si="12"/>
        <v/>
      </c>
      <c r="W124" s="17" t="str">
        <f t="shared" si="13"/>
        <v>ARC&gt;0</v>
      </c>
      <c r="X124" s="13">
        <f t="shared" si="14"/>
        <v>0.218684118</v>
      </c>
      <c r="Y124" s="11">
        <v>1.822877161</v>
      </c>
      <c r="Z124" s="11">
        <v>2.441888623</v>
      </c>
      <c r="AA124" s="11">
        <v>6.52419044</v>
      </c>
      <c r="AB124" s="11">
        <v>97.97856981</v>
      </c>
      <c r="AC124" s="15">
        <f t="shared" si="15"/>
        <v>98</v>
      </c>
      <c r="AD124" s="16" t="str">
        <f t="shared" si="16"/>
        <v/>
      </c>
      <c r="AE124" s="16" t="str">
        <f t="shared" si="17"/>
        <v/>
      </c>
      <c r="AF124" s="16" t="str">
        <f t="shared" si="18"/>
        <v/>
      </c>
      <c r="AG124" s="16" t="str">
        <f t="shared" si="19"/>
        <v>ARC&gt;0</v>
      </c>
      <c r="AH124" s="13">
        <f t="shared" si="20"/>
        <v>0.011664354</v>
      </c>
      <c r="AI124" s="11">
        <v>0.3875681084</v>
      </c>
      <c r="AJ124" s="11">
        <v>1.307435937</v>
      </c>
      <c r="AK124" s="11" t="s">
        <v>264</v>
      </c>
      <c r="AL124" s="18">
        <f t="shared" si="21"/>
        <v>0.207019764</v>
      </c>
    </row>
    <row r="125" ht="15.75" customHeight="1">
      <c r="A125" s="11" t="s">
        <v>262</v>
      </c>
      <c r="B125" s="11">
        <v>2020.0</v>
      </c>
      <c r="C125" s="12" t="str">
        <f>VLOOKUP(A125, Regions!A:B, 2, FALSE)
</f>
        <v>Latin America &amp; Caribbean</v>
      </c>
      <c r="D125" s="13" t="str">
        <f t="shared" si="1"/>
        <v/>
      </c>
      <c r="E125" s="14" t="str">
        <f t="shared" si="2"/>
        <v/>
      </c>
      <c r="F125" s="11" t="s">
        <v>265</v>
      </c>
      <c r="G125" s="11">
        <v>82.54000092</v>
      </c>
      <c r="H125" s="11">
        <v>96.68681192</v>
      </c>
      <c r="I125" s="15">
        <f t="shared" si="3"/>
        <v>97</v>
      </c>
      <c r="J125" s="16" t="str">
        <f t="shared" si="4"/>
        <v/>
      </c>
      <c r="K125" s="16" t="str">
        <f t="shared" si="5"/>
        <v/>
      </c>
      <c r="L125" s="16" t="str">
        <f t="shared" si="6"/>
        <v/>
      </c>
      <c r="M125" s="16" t="str">
        <f t="shared" si="7"/>
        <v>ARC&gt;0</v>
      </c>
      <c r="N125" s="13" t="str">
        <f t="shared" si="8"/>
        <v/>
      </c>
      <c r="O125" s="11">
        <v>0.4670386504</v>
      </c>
      <c r="P125" s="11">
        <v>1.269428783</v>
      </c>
      <c r="Q125" s="11">
        <v>1.576720644</v>
      </c>
      <c r="R125" s="11">
        <v>90.30446437</v>
      </c>
      <c r="S125" s="15">
        <f t="shared" si="9"/>
        <v>90</v>
      </c>
      <c r="T125" s="17" t="str">
        <f t="shared" si="10"/>
        <v/>
      </c>
      <c r="U125" s="17" t="str">
        <f t="shared" si="11"/>
        <v/>
      </c>
      <c r="V125" s="17" t="str">
        <f t="shared" si="12"/>
        <v/>
      </c>
      <c r="W125" s="17" t="str">
        <f t="shared" si="13"/>
        <v>ARC&gt;0</v>
      </c>
      <c r="X125" s="13" t="str">
        <f t="shared" si="14"/>
        <v/>
      </c>
      <c r="Y125" s="11">
        <v>1.385315508</v>
      </c>
      <c r="Z125" s="11">
        <v>1.115118127</v>
      </c>
      <c r="AA125" s="11">
        <v>7.195101991</v>
      </c>
      <c r="AB125" s="11">
        <v>98.03689158</v>
      </c>
      <c r="AC125" s="15">
        <f t="shared" si="15"/>
        <v>98</v>
      </c>
      <c r="AD125" s="16" t="str">
        <f t="shared" si="16"/>
        <v/>
      </c>
      <c r="AE125" s="16" t="str">
        <f t="shared" si="17"/>
        <v/>
      </c>
      <c r="AF125" s="16" t="str">
        <f t="shared" si="18"/>
        <v/>
      </c>
      <c r="AG125" s="16" t="str">
        <f t="shared" si="19"/>
        <v>ARC&gt;0</v>
      </c>
      <c r="AH125" s="13" t="str">
        <f t="shared" si="20"/>
        <v/>
      </c>
      <c r="AI125" s="11">
        <v>0.2727920359</v>
      </c>
      <c r="AJ125" s="11">
        <v>1.302073396</v>
      </c>
      <c r="AK125" s="11" t="s">
        <v>266</v>
      </c>
      <c r="AL125" s="18" t="str">
        <f t="shared" si="21"/>
        <v/>
      </c>
    </row>
    <row r="126" ht="15.75" customHeight="1">
      <c r="A126" s="11" t="s">
        <v>267</v>
      </c>
      <c r="B126" s="11">
        <v>2015.0</v>
      </c>
      <c r="C126" s="12" t="str">
        <f>VLOOKUP(A126, Regions!A:B, 2, FALSE)
</f>
        <v>Latin America &amp; Caribbean</v>
      </c>
      <c r="D126" s="13">
        <f t="shared" si="1"/>
        <v>5</v>
      </c>
      <c r="E126" s="14">
        <f t="shared" si="2"/>
        <v>2017.5</v>
      </c>
      <c r="F126" s="11" t="s">
        <v>268</v>
      </c>
      <c r="G126" s="11">
        <v>63.39799881</v>
      </c>
      <c r="H126" s="11">
        <v>93.0637795</v>
      </c>
      <c r="I126" s="15">
        <f t="shared" si="3"/>
        <v>93</v>
      </c>
      <c r="J126" s="16" t="str">
        <f t="shared" si="4"/>
        <v/>
      </c>
      <c r="K126" s="16" t="str">
        <f t="shared" si="5"/>
        <v/>
      </c>
      <c r="L126" s="16" t="str">
        <f t="shared" si="6"/>
        <v/>
      </c>
      <c r="M126" s="16" t="str">
        <f t="shared" si="7"/>
        <v>ARC&gt;0</v>
      </c>
      <c r="N126" s="13">
        <f t="shared" si="8"/>
        <v>0.459196812</v>
      </c>
      <c r="O126" s="11">
        <v>0.1997601763</v>
      </c>
      <c r="P126" s="11">
        <v>3.119565114</v>
      </c>
      <c r="Q126" s="11">
        <v>3.616895212</v>
      </c>
      <c r="R126" s="11">
        <v>82.55248195</v>
      </c>
      <c r="S126" s="15">
        <f t="shared" si="9"/>
        <v>83</v>
      </c>
      <c r="T126" s="17" t="str">
        <f t="shared" si="10"/>
        <v/>
      </c>
      <c r="U126" s="17" t="str">
        <f t="shared" si="11"/>
        <v/>
      </c>
      <c r="V126" s="17" t="str">
        <f t="shared" si="12"/>
        <v/>
      </c>
      <c r="W126" s="17" t="str">
        <f t="shared" si="13"/>
        <v>ARC&gt;0</v>
      </c>
      <c r="X126" s="13">
        <f t="shared" si="14"/>
        <v>0.8996526</v>
      </c>
      <c r="Y126" s="11">
        <v>0.445629255</v>
      </c>
      <c r="Z126" s="11">
        <v>7.379055031</v>
      </c>
      <c r="AA126" s="11">
        <v>9.62283376</v>
      </c>
      <c r="AB126" s="11">
        <v>99.1323392</v>
      </c>
      <c r="AC126" s="15">
        <f t="shared" si="15"/>
        <v>99</v>
      </c>
      <c r="AD126" s="16" t="str">
        <f t="shared" si="16"/>
        <v/>
      </c>
      <c r="AE126" s="16" t="str">
        <f t="shared" si="17"/>
        <v/>
      </c>
      <c r="AF126" s="16" t="str">
        <f t="shared" si="18"/>
        <v/>
      </c>
      <c r="AG126" s="16" t="str">
        <f t="shared" si="19"/>
        <v>ARC&gt;0</v>
      </c>
      <c r="AH126" s="13">
        <f t="shared" si="20"/>
        <v>0.17353216</v>
      </c>
      <c r="AI126" s="11">
        <v>0.0578108902</v>
      </c>
      <c r="AJ126" s="11">
        <v>0.6604045069</v>
      </c>
      <c r="AK126" s="11" t="s">
        <v>269</v>
      </c>
      <c r="AL126" s="18">
        <f t="shared" si="21"/>
        <v>0.72612044</v>
      </c>
    </row>
    <row r="127" ht="15.75" customHeight="1">
      <c r="A127" s="11" t="s">
        <v>267</v>
      </c>
      <c r="B127" s="11">
        <v>2020.0</v>
      </c>
      <c r="C127" s="12" t="str">
        <f>VLOOKUP(A127, Regions!A:B, 2, FALSE)
</f>
        <v>Latin America &amp; Caribbean</v>
      </c>
      <c r="D127" s="13" t="str">
        <f t="shared" si="1"/>
        <v/>
      </c>
      <c r="E127" s="14" t="str">
        <f t="shared" si="2"/>
        <v/>
      </c>
      <c r="F127" s="11" t="s">
        <v>270</v>
      </c>
      <c r="G127" s="11">
        <v>64.16600037</v>
      </c>
      <c r="H127" s="11">
        <v>95.35976356</v>
      </c>
      <c r="I127" s="15">
        <f t="shared" si="3"/>
        <v>95</v>
      </c>
      <c r="J127" s="16" t="str">
        <f t="shared" si="4"/>
        <v/>
      </c>
      <c r="K127" s="16" t="str">
        <f t="shared" si="5"/>
        <v/>
      </c>
      <c r="L127" s="16" t="str">
        <f t="shared" si="6"/>
        <v/>
      </c>
      <c r="M127" s="16" t="str">
        <f t="shared" si="7"/>
        <v>ARC&gt;0</v>
      </c>
      <c r="N127" s="13" t="str">
        <f t="shared" si="8"/>
        <v/>
      </c>
      <c r="O127" s="11">
        <v>0.003451463449</v>
      </c>
      <c r="P127" s="11">
        <v>2.604485389</v>
      </c>
      <c r="Q127" s="11">
        <v>2.032299589</v>
      </c>
      <c r="R127" s="11">
        <v>87.05074495</v>
      </c>
      <c r="S127" s="15">
        <f t="shared" si="9"/>
        <v>87</v>
      </c>
      <c r="T127" s="17" t="str">
        <f t="shared" si="10"/>
        <v/>
      </c>
      <c r="U127" s="17" t="str">
        <f t="shared" si="11"/>
        <v/>
      </c>
      <c r="V127" s="17" t="str">
        <f t="shared" si="12"/>
        <v/>
      </c>
      <c r="W127" s="17" t="str">
        <f t="shared" si="13"/>
        <v>ARC&gt;0</v>
      </c>
      <c r="X127" s="13" t="str">
        <f t="shared" si="14"/>
        <v/>
      </c>
      <c r="Y127" s="11">
        <v>0.009631811022</v>
      </c>
      <c r="Z127" s="11">
        <v>7.26819549</v>
      </c>
      <c r="AA127" s="11">
        <v>5.671427747</v>
      </c>
      <c r="AB127" s="11">
        <v>100.0</v>
      </c>
      <c r="AC127" s="15">
        <f t="shared" si="15"/>
        <v>100</v>
      </c>
      <c r="AD127" s="16" t="str">
        <f t="shared" si="16"/>
        <v/>
      </c>
      <c r="AE127" s="16" t="str">
        <f t="shared" si="17"/>
        <v/>
      </c>
      <c r="AF127" s="16" t="str">
        <f t="shared" si="18"/>
        <v/>
      </c>
      <c r="AG127" s="16" t="str">
        <f t="shared" si="19"/>
        <v>ARC&gt;0</v>
      </c>
      <c r="AH127" s="13" t="str">
        <f t="shared" si="20"/>
        <v/>
      </c>
      <c r="AI127" s="11">
        <v>0.0</v>
      </c>
      <c r="AJ127" s="11">
        <v>0.0</v>
      </c>
      <c r="AK127" s="11" t="s">
        <v>43</v>
      </c>
      <c r="AL127" s="18" t="str">
        <f t="shared" si="21"/>
        <v/>
      </c>
    </row>
    <row r="128" ht="15.75" customHeight="1">
      <c r="A128" s="11" t="s">
        <v>271</v>
      </c>
      <c r="B128" s="11">
        <v>2015.0</v>
      </c>
      <c r="C128" s="12" t="str">
        <f>VLOOKUP(A128, Regions!A:B, 2, FALSE)
</f>
        <v>Middle East &amp; North Africa</v>
      </c>
      <c r="D128" s="13">
        <f t="shared" si="1"/>
        <v>5</v>
      </c>
      <c r="E128" s="14">
        <f t="shared" si="2"/>
        <v>2017.5</v>
      </c>
      <c r="F128" s="11" t="s">
        <v>272</v>
      </c>
      <c r="G128" s="11">
        <v>42.78499985</v>
      </c>
      <c r="H128" s="11">
        <v>99.10671754</v>
      </c>
      <c r="I128" s="15">
        <f t="shared" si="3"/>
        <v>99</v>
      </c>
      <c r="J128" s="16" t="str">
        <f t="shared" si="4"/>
        <v/>
      </c>
      <c r="K128" s="16" t="str">
        <f t="shared" si="5"/>
        <v/>
      </c>
      <c r="L128" s="16" t="str">
        <f t="shared" si="6"/>
        <v/>
      </c>
      <c r="M128" s="16" t="str">
        <f t="shared" si="7"/>
        <v>ARC&gt;0</v>
      </c>
      <c r="N128" s="13">
        <f t="shared" si="8"/>
        <v>0.066691684</v>
      </c>
      <c r="O128" s="11">
        <v>0.2863725401</v>
      </c>
      <c r="P128" s="11">
        <v>0.5934398293</v>
      </c>
      <c r="Q128" s="11">
        <v>0.01347009398</v>
      </c>
      <c r="R128" s="11">
        <v>98.80187792</v>
      </c>
      <c r="S128" s="15">
        <f t="shared" si="9"/>
        <v>99</v>
      </c>
      <c r="T128" s="17" t="str">
        <f t="shared" si="10"/>
        <v/>
      </c>
      <c r="U128" s="17" t="str">
        <f t="shared" si="11"/>
        <v/>
      </c>
      <c r="V128" s="17" t="str">
        <f t="shared" si="12"/>
        <v/>
      </c>
      <c r="W128" s="17" t="str">
        <f t="shared" si="13"/>
        <v>ARC&gt;0</v>
      </c>
      <c r="X128" s="13">
        <f t="shared" si="14"/>
        <v>0.106191446</v>
      </c>
      <c r="Y128" s="11">
        <v>0.4103462964</v>
      </c>
      <c r="Z128" s="11">
        <v>0.7642328381</v>
      </c>
      <c r="AA128" s="11">
        <v>0.02354294118</v>
      </c>
      <c r="AB128" s="11">
        <v>99.51436973</v>
      </c>
      <c r="AC128" s="15">
        <f t="shared" si="15"/>
        <v>100</v>
      </c>
      <c r="AD128" s="16" t="str">
        <f t="shared" si="16"/>
        <v>full access</v>
      </c>
      <c r="AE128" s="16" t="str">
        <f t="shared" si="17"/>
        <v/>
      </c>
      <c r="AF128" s="16" t="str">
        <f t="shared" si="18"/>
        <v/>
      </c>
      <c r="AG128" s="16" t="str">
        <f t="shared" si="19"/>
        <v>ARC&gt;0</v>
      </c>
      <c r="AH128" s="13">
        <f t="shared" si="20"/>
        <v>0.013872274</v>
      </c>
      <c r="AI128" s="11">
        <v>0.1205864308</v>
      </c>
      <c r="AJ128" s="11">
        <v>0.3650438422</v>
      </c>
      <c r="AK128" s="11" t="s">
        <v>43</v>
      </c>
      <c r="AL128" s="18">
        <f t="shared" si="21"/>
        <v>0.092319172</v>
      </c>
    </row>
    <row r="129" ht="15.75" customHeight="1">
      <c r="A129" s="11" t="s">
        <v>271</v>
      </c>
      <c r="B129" s="11">
        <v>2020.0</v>
      </c>
      <c r="C129" s="12" t="str">
        <f>VLOOKUP(A129, Regions!A:B, 2, FALSE)
</f>
        <v>Middle East &amp; North Africa</v>
      </c>
      <c r="D129" s="13" t="str">
        <f t="shared" si="1"/>
        <v/>
      </c>
      <c r="E129" s="14" t="str">
        <f t="shared" si="2"/>
        <v/>
      </c>
      <c r="F129" s="11" t="s">
        <v>273</v>
      </c>
      <c r="G129" s="11">
        <v>42.78300095</v>
      </c>
      <c r="H129" s="11">
        <v>99.44017596</v>
      </c>
      <c r="I129" s="15">
        <f t="shared" si="3"/>
        <v>99</v>
      </c>
      <c r="J129" s="16" t="str">
        <f t="shared" si="4"/>
        <v/>
      </c>
      <c r="K129" s="16" t="str">
        <f t="shared" si="5"/>
        <v/>
      </c>
      <c r="L129" s="16" t="str">
        <f t="shared" si="6"/>
        <v/>
      </c>
      <c r="M129" s="16" t="str">
        <f t="shared" si="7"/>
        <v>ARC&gt;0</v>
      </c>
      <c r="N129" s="13" t="str">
        <f t="shared" si="8"/>
        <v/>
      </c>
      <c r="O129" s="11">
        <v>0.2376091086</v>
      </c>
      <c r="P129" s="11">
        <v>0.3222149265</v>
      </c>
      <c r="Q129" s="11">
        <v>0.0</v>
      </c>
      <c r="R129" s="11">
        <v>99.33283515</v>
      </c>
      <c r="S129" s="15">
        <f t="shared" si="9"/>
        <v>99</v>
      </c>
      <c r="T129" s="17" t="str">
        <f t="shared" si="10"/>
        <v/>
      </c>
      <c r="U129" s="17" t="str">
        <f t="shared" si="11"/>
        <v/>
      </c>
      <c r="V129" s="17" t="str">
        <f t="shared" si="12"/>
        <v/>
      </c>
      <c r="W129" s="17" t="str">
        <f t="shared" si="13"/>
        <v>ARC&gt;0</v>
      </c>
      <c r="X129" s="13" t="str">
        <f t="shared" si="14"/>
        <v/>
      </c>
      <c r="Y129" s="11">
        <v>0.3359418224</v>
      </c>
      <c r="Z129" s="11">
        <v>0.3312230319</v>
      </c>
      <c r="AA129" s="11">
        <v>0.0</v>
      </c>
      <c r="AB129" s="11">
        <v>99.5837311</v>
      </c>
      <c r="AC129" s="15">
        <f t="shared" si="15"/>
        <v>100</v>
      </c>
      <c r="AD129" s="16" t="str">
        <f t="shared" si="16"/>
        <v/>
      </c>
      <c r="AE129" s="16" t="str">
        <f t="shared" si="17"/>
        <v/>
      </c>
      <c r="AF129" s="16" t="str">
        <f t="shared" si="18"/>
        <v/>
      </c>
      <c r="AG129" s="16" t="str">
        <f t="shared" si="19"/>
        <v>ARC&gt;0</v>
      </c>
      <c r="AH129" s="13" t="str">
        <f t="shared" si="20"/>
        <v/>
      </c>
      <c r="AI129" s="11">
        <v>0.1061012067</v>
      </c>
      <c r="AJ129" s="11">
        <v>0.3101676943</v>
      </c>
      <c r="AK129" s="11" t="s">
        <v>43</v>
      </c>
      <c r="AL129" s="18" t="str">
        <f t="shared" si="21"/>
        <v/>
      </c>
    </row>
    <row r="130" ht="15.75" customHeight="1">
      <c r="A130" s="11" t="s">
        <v>274</v>
      </c>
      <c r="B130" s="11">
        <v>2015.0</v>
      </c>
      <c r="C130" s="12" t="str">
        <f>VLOOKUP(A130, Regions!A:B, 2, FALSE)
</f>
        <v>Latin America &amp; Caribbean</v>
      </c>
      <c r="D130" s="13">
        <f t="shared" si="1"/>
        <v>5</v>
      </c>
      <c r="E130" s="14">
        <f t="shared" si="2"/>
        <v>2017.5</v>
      </c>
      <c r="F130" s="11" t="s">
        <v>275</v>
      </c>
      <c r="G130" s="11">
        <v>69.69999695</v>
      </c>
      <c r="H130" s="11">
        <v>95.56213774</v>
      </c>
      <c r="I130" s="15">
        <f t="shared" si="3"/>
        <v>96</v>
      </c>
      <c r="J130" s="16" t="str">
        <f t="shared" si="4"/>
        <v/>
      </c>
      <c r="K130" s="16" t="str">
        <f t="shared" si="5"/>
        <v/>
      </c>
      <c r="L130" s="16" t="str">
        <f t="shared" si="6"/>
        <v/>
      </c>
      <c r="M130" s="16" t="str">
        <f t="shared" si="7"/>
        <v>ARC&gt;0</v>
      </c>
      <c r="N130" s="13">
        <f t="shared" si="8"/>
        <v>0.476887534</v>
      </c>
      <c r="O130" s="11">
        <v>0.580479777</v>
      </c>
      <c r="P130" s="11">
        <v>1.161950545</v>
      </c>
      <c r="Q130" s="11">
        <v>2.695431942</v>
      </c>
      <c r="R130" s="11">
        <v>87.96121432</v>
      </c>
      <c r="S130" s="15">
        <f t="shared" si="9"/>
        <v>88</v>
      </c>
      <c r="T130" s="17" t="str">
        <f t="shared" si="10"/>
        <v/>
      </c>
      <c r="U130" s="17" t="str">
        <f t="shared" si="11"/>
        <v/>
      </c>
      <c r="V130" s="17" t="str">
        <f t="shared" si="12"/>
        <v/>
      </c>
      <c r="W130" s="17" t="str">
        <f t="shared" si="13"/>
        <v>ARC&gt;0</v>
      </c>
      <c r="X130" s="13">
        <f t="shared" si="14"/>
        <v>1.098636152</v>
      </c>
      <c r="Y130" s="11">
        <v>1.734743718</v>
      </c>
      <c r="Z130" s="11">
        <v>2.481033956</v>
      </c>
      <c r="AA130" s="11">
        <v>7.823008005</v>
      </c>
      <c r="AB130" s="11">
        <v>98.86641785</v>
      </c>
      <c r="AC130" s="15">
        <f t="shared" si="15"/>
        <v>99</v>
      </c>
      <c r="AD130" s="16" t="str">
        <f t="shared" si="16"/>
        <v/>
      </c>
      <c r="AE130" s="16" t="str">
        <f t="shared" si="17"/>
        <v/>
      </c>
      <c r="AF130" s="16" t="str">
        <f t="shared" si="18"/>
        <v/>
      </c>
      <c r="AG130" s="16" t="str">
        <f t="shared" si="19"/>
        <v>ARC&gt;0</v>
      </c>
      <c r="AH130" s="13">
        <f t="shared" si="20"/>
        <v>0.140890432</v>
      </c>
      <c r="AI130" s="11">
        <v>0.07869797757</v>
      </c>
      <c r="AJ130" s="11">
        <v>0.5885128896</v>
      </c>
      <c r="AK130" s="11" t="s">
        <v>276</v>
      </c>
      <c r="AL130" s="18">
        <f t="shared" si="21"/>
        <v>0.95774572</v>
      </c>
    </row>
    <row r="131" ht="15.75" customHeight="1">
      <c r="A131" s="11" t="s">
        <v>274</v>
      </c>
      <c r="B131" s="11">
        <v>2020.0</v>
      </c>
      <c r="C131" s="12" t="str">
        <f>VLOOKUP(A131, Regions!A:B, 2, FALSE)
</f>
        <v>Latin America &amp; Caribbean</v>
      </c>
      <c r="D131" s="13" t="str">
        <f t="shared" si="1"/>
        <v/>
      </c>
      <c r="E131" s="14" t="str">
        <f t="shared" si="2"/>
        <v/>
      </c>
      <c r="F131" s="11" t="s">
        <v>277</v>
      </c>
      <c r="G131" s="11">
        <v>73.44400024</v>
      </c>
      <c r="H131" s="11">
        <v>97.94657541</v>
      </c>
      <c r="I131" s="15">
        <f t="shared" si="3"/>
        <v>98</v>
      </c>
      <c r="J131" s="16" t="str">
        <f t="shared" si="4"/>
        <v/>
      </c>
      <c r="K131" s="16" t="str">
        <f t="shared" si="5"/>
        <v/>
      </c>
      <c r="L131" s="16" t="str">
        <f t="shared" si="6"/>
        <v/>
      </c>
      <c r="M131" s="16" t="str">
        <f t="shared" si="7"/>
        <v>ARC&gt;0</v>
      </c>
      <c r="N131" s="13" t="str">
        <f t="shared" si="8"/>
        <v/>
      </c>
      <c r="O131" s="11">
        <v>0.2072632319</v>
      </c>
      <c r="P131" s="11">
        <v>0.3151739969</v>
      </c>
      <c r="Q131" s="11">
        <v>1.530987366</v>
      </c>
      <c r="R131" s="11">
        <v>93.45439508</v>
      </c>
      <c r="S131" s="15">
        <f t="shared" si="9"/>
        <v>93</v>
      </c>
      <c r="T131" s="17" t="str">
        <f t="shared" si="10"/>
        <v/>
      </c>
      <c r="U131" s="17" t="str">
        <f t="shared" si="11"/>
        <v/>
      </c>
      <c r="V131" s="17" t="str">
        <f t="shared" si="12"/>
        <v/>
      </c>
      <c r="W131" s="17" t="str">
        <f t="shared" si="13"/>
        <v>ARC&gt;0</v>
      </c>
      <c r="X131" s="13" t="str">
        <f t="shared" si="14"/>
        <v/>
      </c>
      <c r="Y131" s="11">
        <v>0.7804762049</v>
      </c>
      <c r="Z131" s="11">
        <v>0.0</v>
      </c>
      <c r="AA131" s="11">
        <v>5.765128712</v>
      </c>
      <c r="AB131" s="11">
        <v>99.57087001</v>
      </c>
      <c r="AC131" s="15">
        <f t="shared" si="15"/>
        <v>100</v>
      </c>
      <c r="AD131" s="16" t="str">
        <f t="shared" si="16"/>
        <v/>
      </c>
      <c r="AE131" s="16" t="str">
        <f t="shared" si="17"/>
        <v/>
      </c>
      <c r="AF131" s="16" t="str">
        <f t="shared" si="18"/>
        <v/>
      </c>
      <c r="AG131" s="16" t="str">
        <f t="shared" si="19"/>
        <v>ARC&gt;0</v>
      </c>
      <c r="AH131" s="13" t="str">
        <f t="shared" si="20"/>
        <v/>
      </c>
      <c r="AI131" s="11">
        <v>0.0</v>
      </c>
      <c r="AJ131" s="11">
        <v>0.4291299944</v>
      </c>
      <c r="AK131" s="11" t="s">
        <v>43</v>
      </c>
      <c r="AL131" s="18" t="str">
        <f t="shared" si="21"/>
        <v/>
      </c>
    </row>
    <row r="132" ht="15.75" customHeight="1">
      <c r="A132" s="11" t="s">
        <v>278</v>
      </c>
      <c r="B132" s="11">
        <v>2015.0</v>
      </c>
      <c r="C132" s="12" t="str">
        <f>VLOOKUP(A132, Regions!A:B, 2, FALSE)
</f>
        <v>Sub-Saharan Africa</v>
      </c>
      <c r="D132" s="13">
        <f t="shared" si="1"/>
        <v>2</v>
      </c>
      <c r="E132" s="14">
        <f t="shared" si="2"/>
        <v>2016</v>
      </c>
      <c r="F132" s="11" t="s">
        <v>279</v>
      </c>
      <c r="G132" s="11">
        <v>70.61600494</v>
      </c>
      <c r="H132" s="11">
        <v>64.17860165</v>
      </c>
      <c r="I132" s="15">
        <f t="shared" si="3"/>
        <v>64</v>
      </c>
      <c r="J132" s="16" t="str">
        <f t="shared" si="4"/>
        <v/>
      </c>
      <c r="K132" s="16" t="str">
        <f t="shared" si="5"/>
        <v/>
      </c>
      <c r="L132" s="16" t="str">
        <f t="shared" si="6"/>
        <v/>
      </c>
      <c r="M132" s="16" t="str">
        <f t="shared" si="7"/>
        <v>ARC&gt;0</v>
      </c>
      <c r="N132" s="13">
        <f t="shared" si="8"/>
        <v>0.243607205</v>
      </c>
      <c r="O132" s="11">
        <v>2.934933836</v>
      </c>
      <c r="P132" s="11">
        <v>26.32879888</v>
      </c>
      <c r="Q132" s="11">
        <v>6.557665631</v>
      </c>
      <c r="R132" s="11">
        <v>30.77536932</v>
      </c>
      <c r="S132" s="15">
        <f t="shared" si="9"/>
        <v>31</v>
      </c>
      <c r="T132" s="17" t="str">
        <f t="shared" si="10"/>
        <v/>
      </c>
      <c r="U132" s="17" t="str">
        <f t="shared" si="11"/>
        <v/>
      </c>
      <c r="V132" s="17" t="str">
        <f t="shared" si="12"/>
        <v/>
      </c>
      <c r="W132" s="17" t="str">
        <f t="shared" si="13"/>
        <v>ARC&gt;0</v>
      </c>
      <c r="X132" s="13">
        <f t="shared" si="14"/>
        <v>0</v>
      </c>
      <c r="Y132" s="11">
        <v>1.353579774</v>
      </c>
      <c r="Z132" s="11">
        <v>46.28605636</v>
      </c>
      <c r="AA132" s="11">
        <v>21.58499455</v>
      </c>
      <c r="AB132" s="11">
        <v>78.07800598</v>
      </c>
      <c r="AC132" s="15">
        <f t="shared" si="15"/>
        <v>78</v>
      </c>
      <c r="AD132" s="16" t="str">
        <f t="shared" si="16"/>
        <v/>
      </c>
      <c r="AE132" s="16" t="str">
        <f t="shared" si="17"/>
        <v/>
      </c>
      <c r="AF132" s="16" t="str">
        <f t="shared" si="18"/>
        <v/>
      </c>
      <c r="AG132" s="16" t="str">
        <f t="shared" si="19"/>
        <v>ARC&gt;0</v>
      </c>
      <c r="AH132" s="13">
        <f t="shared" si="20"/>
        <v>0</v>
      </c>
      <c r="AI132" s="11">
        <v>3.592950383</v>
      </c>
      <c r="AJ132" s="11">
        <v>18.02439455</v>
      </c>
      <c r="AK132" s="11" t="s">
        <v>280</v>
      </c>
      <c r="AL132" s="18">
        <f t="shared" si="21"/>
        <v>0</v>
      </c>
    </row>
    <row r="133" ht="15.75" customHeight="1">
      <c r="A133" s="11" t="s">
        <v>278</v>
      </c>
      <c r="B133" s="11">
        <v>2017.0</v>
      </c>
      <c r="C133" s="12" t="str">
        <f>VLOOKUP(A133, Regions!A:B, 2, FALSE)
</f>
        <v>Sub-Saharan Africa</v>
      </c>
      <c r="D133" s="13" t="str">
        <f t="shared" si="1"/>
        <v/>
      </c>
      <c r="E133" s="14" t="str">
        <f t="shared" si="2"/>
        <v/>
      </c>
      <c r="F133" s="11" t="s">
        <v>281</v>
      </c>
      <c r="G133" s="11">
        <v>71.64599609</v>
      </c>
      <c r="H133" s="11">
        <v>64.66581606</v>
      </c>
      <c r="I133" s="15">
        <f t="shared" si="3"/>
        <v>65</v>
      </c>
      <c r="J133" s="16" t="str">
        <f t="shared" si="4"/>
        <v/>
      </c>
      <c r="K133" s="16" t="str">
        <f t="shared" si="5"/>
        <v/>
      </c>
      <c r="L133" s="16" t="str">
        <f t="shared" si="6"/>
        <v/>
      </c>
      <c r="M133" s="16" t="str">
        <f t="shared" si="7"/>
        <v>ARC&gt;0</v>
      </c>
      <c r="N133" s="13" t="str">
        <f t="shared" si="8"/>
        <v/>
      </c>
      <c r="O133" s="11">
        <v>2.957999225</v>
      </c>
      <c r="P133" s="11">
        <v>26.03770633</v>
      </c>
      <c r="Q133" s="11">
        <v>6.338478386</v>
      </c>
      <c r="R133" s="11">
        <v>30.77536932</v>
      </c>
      <c r="S133" s="15">
        <f t="shared" si="9"/>
        <v>31</v>
      </c>
      <c r="T133" s="17" t="str">
        <f t="shared" si="10"/>
        <v/>
      </c>
      <c r="U133" s="17" t="str">
        <f t="shared" si="11"/>
        <v/>
      </c>
      <c r="V133" s="17" t="str">
        <f t="shared" si="12"/>
        <v/>
      </c>
      <c r="W133" s="17" t="str">
        <f t="shared" si="13"/>
        <v>ARC&gt;0</v>
      </c>
      <c r="X133" s="13" t="str">
        <f t="shared" si="14"/>
        <v/>
      </c>
      <c r="Y133" s="11">
        <v>1.353579774</v>
      </c>
      <c r="Z133" s="11">
        <v>46.28605636</v>
      </c>
      <c r="AA133" s="11">
        <v>21.58499455</v>
      </c>
      <c r="AB133" s="11">
        <v>78.07800598</v>
      </c>
      <c r="AC133" s="15">
        <f t="shared" si="15"/>
        <v>78</v>
      </c>
      <c r="AD133" s="16" t="str">
        <f t="shared" si="16"/>
        <v/>
      </c>
      <c r="AE133" s="16" t="str">
        <f t="shared" si="17"/>
        <v/>
      </c>
      <c r="AF133" s="16" t="str">
        <f t="shared" si="18"/>
        <v/>
      </c>
      <c r="AG133" s="16" t="str">
        <f t="shared" si="19"/>
        <v>ARC&gt;0</v>
      </c>
      <c r="AH133" s="13" t="str">
        <f t="shared" si="20"/>
        <v/>
      </c>
      <c r="AI133" s="11">
        <v>3.592950383</v>
      </c>
      <c r="AJ133" s="11">
        <v>18.02439455</v>
      </c>
      <c r="AK133" s="11" t="s">
        <v>280</v>
      </c>
      <c r="AL133" s="18" t="str">
        <f t="shared" si="21"/>
        <v/>
      </c>
    </row>
    <row r="134" ht="15.75" customHeight="1">
      <c r="A134" s="11" t="s">
        <v>282</v>
      </c>
      <c r="B134" s="11">
        <v>2015.0</v>
      </c>
      <c r="C134" s="12" t="str">
        <f>VLOOKUP(A134, Regions!A:B, 2, FALSE)
</f>
        <v>Sub-Saharan Africa</v>
      </c>
      <c r="D134" s="13">
        <f t="shared" si="1"/>
        <v>1</v>
      </c>
      <c r="E134" s="14">
        <f t="shared" si="2"/>
        <v>2015.5</v>
      </c>
      <c r="F134" s="11" t="s">
        <v>283</v>
      </c>
      <c r="G134" s="11">
        <v>38.20600128</v>
      </c>
      <c r="H134" s="11">
        <v>51.46509353</v>
      </c>
      <c r="I134" s="15">
        <f t="shared" si="3"/>
        <v>51</v>
      </c>
      <c r="J134" s="16" t="str">
        <f t="shared" si="4"/>
        <v/>
      </c>
      <c r="K134" s="16" t="str">
        <f t="shared" si="5"/>
        <v/>
      </c>
      <c r="L134" s="16" t="str">
        <f t="shared" si="6"/>
        <v/>
      </c>
      <c r="M134" s="16" t="str">
        <f t="shared" si="7"/>
        <v>ARC&gt;0</v>
      </c>
      <c r="N134" s="13">
        <f t="shared" si="8"/>
        <v>0.38462665</v>
      </c>
      <c r="O134" s="11">
        <v>17.70763334</v>
      </c>
      <c r="P134" s="11">
        <v>13.55609825</v>
      </c>
      <c r="Q134" s="11">
        <v>17.27117488</v>
      </c>
      <c r="R134" s="11">
        <v>27.80157647</v>
      </c>
      <c r="S134" s="15">
        <f t="shared" si="9"/>
        <v>28</v>
      </c>
      <c r="T134" s="17" t="str">
        <f t="shared" si="10"/>
        <v/>
      </c>
      <c r="U134" s="17" t="str">
        <f t="shared" si="11"/>
        <v/>
      </c>
      <c r="V134" s="17" t="str">
        <f t="shared" si="12"/>
        <v/>
      </c>
      <c r="W134" s="17" t="str">
        <f t="shared" si="13"/>
        <v>ARC&gt;0</v>
      </c>
      <c r="X134" s="13">
        <f t="shared" si="14"/>
        <v>0</v>
      </c>
      <c r="Y134" s="11">
        <v>24.49842353</v>
      </c>
      <c r="Z134" s="11">
        <v>20.075</v>
      </c>
      <c r="AA134" s="11">
        <v>27.625</v>
      </c>
      <c r="AB134" s="11">
        <v>89.73822453</v>
      </c>
      <c r="AC134" s="15">
        <f t="shared" si="15"/>
        <v>90</v>
      </c>
      <c r="AD134" s="16" t="str">
        <f t="shared" si="16"/>
        <v/>
      </c>
      <c r="AE134" s="16" t="str">
        <f t="shared" si="17"/>
        <v/>
      </c>
      <c r="AF134" s="16" t="str">
        <f t="shared" si="18"/>
        <v/>
      </c>
      <c r="AG134" s="16" t="str">
        <f t="shared" si="19"/>
        <v>ARC&gt;0</v>
      </c>
      <c r="AH134" s="13">
        <f t="shared" si="20"/>
        <v>0</v>
      </c>
      <c r="AI134" s="11">
        <v>6.724275474</v>
      </c>
      <c r="AJ134" s="11">
        <v>3.0125</v>
      </c>
      <c r="AK134" s="11" t="s">
        <v>284</v>
      </c>
      <c r="AL134" s="18">
        <f t="shared" si="21"/>
        <v>0</v>
      </c>
    </row>
    <row r="135" ht="15.75" customHeight="1">
      <c r="A135" s="11" t="s">
        <v>282</v>
      </c>
      <c r="B135" s="11">
        <v>2016.0</v>
      </c>
      <c r="C135" s="12" t="str">
        <f>VLOOKUP(A135, Regions!A:B, 2, FALSE)
</f>
        <v>Sub-Saharan Africa</v>
      </c>
      <c r="D135" s="13" t="str">
        <f t="shared" si="1"/>
        <v/>
      </c>
      <c r="E135" s="14" t="str">
        <f t="shared" si="2"/>
        <v/>
      </c>
      <c r="F135" s="11" t="s">
        <v>285</v>
      </c>
      <c r="G135" s="11">
        <v>38.82699966</v>
      </c>
      <c r="H135" s="11">
        <v>51.84972018</v>
      </c>
      <c r="I135" s="15">
        <f t="shared" si="3"/>
        <v>52</v>
      </c>
      <c r="J135" s="16" t="str">
        <f t="shared" si="4"/>
        <v/>
      </c>
      <c r="K135" s="16" t="str">
        <f t="shared" si="5"/>
        <v/>
      </c>
      <c r="L135" s="16" t="str">
        <f t="shared" si="6"/>
        <v/>
      </c>
      <c r="M135" s="16" t="str">
        <f t="shared" si="7"/>
        <v>ARC&gt;0</v>
      </c>
      <c r="N135" s="13" t="str">
        <f t="shared" si="8"/>
        <v/>
      </c>
      <c r="O135" s="11">
        <v>17.59725585</v>
      </c>
      <c r="P135" s="11">
        <v>13.45014014</v>
      </c>
      <c r="Q135" s="11">
        <v>17.10288384</v>
      </c>
      <c r="R135" s="11">
        <v>27.80157647</v>
      </c>
      <c r="S135" s="15">
        <f t="shared" si="9"/>
        <v>28</v>
      </c>
      <c r="T135" s="17" t="str">
        <f t="shared" si="10"/>
        <v/>
      </c>
      <c r="U135" s="17" t="str">
        <f t="shared" si="11"/>
        <v/>
      </c>
      <c r="V135" s="17" t="str">
        <f t="shared" si="12"/>
        <v/>
      </c>
      <c r="W135" s="17" t="str">
        <f t="shared" si="13"/>
        <v>ARC&gt;0</v>
      </c>
      <c r="X135" s="13" t="str">
        <f t="shared" si="14"/>
        <v/>
      </c>
      <c r="Y135" s="11">
        <v>24.49842353</v>
      </c>
      <c r="Z135" s="11">
        <v>20.075</v>
      </c>
      <c r="AA135" s="11">
        <v>27.625</v>
      </c>
      <c r="AB135" s="11">
        <v>89.73822453</v>
      </c>
      <c r="AC135" s="15">
        <f t="shared" si="15"/>
        <v>90</v>
      </c>
      <c r="AD135" s="16" t="str">
        <f t="shared" si="16"/>
        <v/>
      </c>
      <c r="AE135" s="16" t="str">
        <f t="shared" si="17"/>
        <v/>
      </c>
      <c r="AF135" s="16" t="str">
        <f t="shared" si="18"/>
        <v/>
      </c>
      <c r="AG135" s="16" t="str">
        <f t="shared" si="19"/>
        <v>ARC&gt;0</v>
      </c>
      <c r="AH135" s="13" t="str">
        <f t="shared" si="20"/>
        <v/>
      </c>
      <c r="AI135" s="11">
        <v>6.724275474</v>
      </c>
      <c r="AJ135" s="11">
        <v>3.0125</v>
      </c>
      <c r="AK135" s="11" t="s">
        <v>284</v>
      </c>
      <c r="AL135" s="18" t="str">
        <f t="shared" si="21"/>
        <v/>
      </c>
    </row>
    <row r="136" ht="15.75" customHeight="1">
      <c r="A136" s="11" t="s">
        <v>286</v>
      </c>
      <c r="B136" s="11">
        <v>2015.0</v>
      </c>
      <c r="C136" s="12" t="str">
        <f>VLOOKUP(A136, Regions!A:B, 2, FALSE)
</f>
        <v>Europe &amp; Central Asia</v>
      </c>
      <c r="D136" s="13">
        <f t="shared" si="1"/>
        <v>5</v>
      </c>
      <c r="E136" s="14">
        <f t="shared" si="2"/>
        <v>2017.5</v>
      </c>
      <c r="F136" s="11" t="s">
        <v>287</v>
      </c>
      <c r="G136" s="11">
        <v>68.41600037</v>
      </c>
      <c r="H136" s="11">
        <v>99.75130757</v>
      </c>
      <c r="I136" s="15">
        <f t="shared" si="3"/>
        <v>100</v>
      </c>
      <c r="J136" s="16" t="str">
        <f t="shared" si="4"/>
        <v>full access</v>
      </c>
      <c r="K136" s="16" t="str">
        <f t="shared" si="5"/>
        <v/>
      </c>
      <c r="L136" s="16" t="str">
        <f t="shared" si="6"/>
        <v/>
      </c>
      <c r="M136" s="16" t="str">
        <f t="shared" si="7"/>
        <v/>
      </c>
      <c r="N136" s="13">
        <f t="shared" si="8"/>
        <v>-0.032105158</v>
      </c>
      <c r="O136" s="11">
        <v>0.0</v>
      </c>
      <c r="P136" s="11">
        <v>0.2486924289</v>
      </c>
      <c r="Q136" s="11">
        <v>0.0</v>
      </c>
      <c r="R136" s="11">
        <v>99.24411581</v>
      </c>
      <c r="S136" s="15">
        <f t="shared" si="9"/>
        <v>99</v>
      </c>
      <c r="T136" s="17" t="str">
        <f t="shared" si="10"/>
        <v/>
      </c>
      <c r="U136" s="17" t="str">
        <f t="shared" si="11"/>
        <v/>
      </c>
      <c r="V136" s="17" t="str">
        <f t="shared" si="12"/>
        <v/>
      </c>
      <c r="W136" s="17" t="str">
        <f t="shared" si="13"/>
        <v>ARC&gt;0</v>
      </c>
      <c r="X136" s="13">
        <f t="shared" si="14"/>
        <v>-19.84882316</v>
      </c>
      <c r="Y136" s="11">
        <v>0.0</v>
      </c>
      <c r="Z136" s="11">
        <v>0.7558841903</v>
      </c>
      <c r="AA136" s="11">
        <v>0.0</v>
      </c>
      <c r="AB136" s="11">
        <v>99.98545421</v>
      </c>
      <c r="AC136" s="15">
        <f t="shared" si="15"/>
        <v>100</v>
      </c>
      <c r="AD136" s="16" t="str">
        <f t="shared" si="16"/>
        <v>full access</v>
      </c>
      <c r="AE136" s="16" t="str">
        <f t="shared" si="17"/>
        <v/>
      </c>
      <c r="AF136" s="16" t="str">
        <f t="shared" si="18"/>
        <v/>
      </c>
      <c r="AG136" s="16" t="str">
        <f t="shared" si="19"/>
        <v>ARC&gt;0</v>
      </c>
      <c r="AH136" s="13">
        <f t="shared" si="20"/>
        <v>0</v>
      </c>
      <c r="AI136" s="11">
        <v>0.0</v>
      </c>
      <c r="AJ136" s="11">
        <v>0.01454579307</v>
      </c>
      <c r="AK136" s="11" t="s">
        <v>43</v>
      </c>
      <c r="AL136" s="18">
        <f t="shared" si="21"/>
        <v>-19.84882316</v>
      </c>
    </row>
    <row r="137" ht="15.75" customHeight="1">
      <c r="A137" s="11" t="s">
        <v>286</v>
      </c>
      <c r="B137" s="11">
        <v>2020.0</v>
      </c>
      <c r="C137" s="12" t="str">
        <f>VLOOKUP(A137, Regions!A:B, 2, FALSE)
</f>
        <v>Europe &amp; Central Asia</v>
      </c>
      <c r="D137" s="13" t="str">
        <f t="shared" si="1"/>
        <v/>
      </c>
      <c r="E137" s="14" t="str">
        <f t="shared" si="2"/>
        <v/>
      </c>
      <c r="F137" s="11" t="s">
        <v>288</v>
      </c>
      <c r="G137" s="11">
        <v>69.22900391</v>
      </c>
      <c r="H137" s="11">
        <v>99.59078178</v>
      </c>
      <c r="I137" s="15">
        <f t="shared" si="3"/>
        <v>100</v>
      </c>
      <c r="J137" s="16" t="str">
        <f t="shared" si="4"/>
        <v/>
      </c>
      <c r="K137" s="16" t="str">
        <f t="shared" si="5"/>
        <v/>
      </c>
      <c r="L137" s="16" t="str">
        <f t="shared" si="6"/>
        <v/>
      </c>
      <c r="M137" s="16" t="str">
        <f t="shared" si="7"/>
        <v>ARC&gt;0</v>
      </c>
      <c r="N137" s="13" t="str">
        <f t="shared" si="8"/>
        <v/>
      </c>
      <c r="O137" s="11">
        <v>0.0</v>
      </c>
      <c r="P137" s="11">
        <v>0.4092182232</v>
      </c>
      <c r="Q137" s="11">
        <v>0.0</v>
      </c>
      <c r="S137" s="15">
        <f t="shared" si="9"/>
        <v>0</v>
      </c>
      <c r="T137" s="17" t="str">
        <f t="shared" si="10"/>
        <v/>
      </c>
      <c r="U137" s="17" t="str">
        <f t="shared" si="11"/>
        <v>ARC=0</v>
      </c>
      <c r="V137" s="17" t="str">
        <f t="shared" si="12"/>
        <v/>
      </c>
      <c r="W137" s="17" t="str">
        <f t="shared" si="13"/>
        <v/>
      </c>
      <c r="X137" s="13" t="str">
        <f t="shared" si="14"/>
        <v/>
      </c>
      <c r="AB137" s="11">
        <v>99.98545421</v>
      </c>
      <c r="AC137" s="15">
        <f t="shared" si="15"/>
        <v>100</v>
      </c>
      <c r="AD137" s="16" t="str">
        <f t="shared" si="16"/>
        <v/>
      </c>
      <c r="AE137" s="16" t="str">
        <f t="shared" si="17"/>
        <v/>
      </c>
      <c r="AF137" s="16" t="str">
        <f t="shared" si="18"/>
        <v/>
      </c>
      <c r="AG137" s="16" t="str">
        <f t="shared" si="19"/>
        <v>ARC&gt;0</v>
      </c>
      <c r="AH137" s="13" t="str">
        <f t="shared" si="20"/>
        <v/>
      </c>
      <c r="AI137" s="11">
        <v>0.0</v>
      </c>
      <c r="AJ137" s="11">
        <v>0.01454579307</v>
      </c>
      <c r="AK137" s="11" t="s">
        <v>43</v>
      </c>
      <c r="AL137" s="18" t="str">
        <f t="shared" si="21"/>
        <v/>
      </c>
    </row>
    <row r="138" ht="15.75" customHeight="1">
      <c r="A138" s="11" t="s">
        <v>289</v>
      </c>
      <c r="B138" s="11">
        <v>2015.0</v>
      </c>
      <c r="C138" s="12" t="str">
        <f>VLOOKUP(A138, Regions!A:B, 2, FALSE)
</f>
        <v>Sub-Saharan Africa</v>
      </c>
      <c r="D138" s="13">
        <f t="shared" si="1"/>
        <v>5</v>
      </c>
      <c r="E138" s="14">
        <f t="shared" si="2"/>
        <v>2017.5</v>
      </c>
      <c r="F138" s="11" t="s">
        <v>290</v>
      </c>
      <c r="G138" s="11">
        <v>23.29999924</v>
      </c>
      <c r="H138" s="11">
        <v>66.70395522</v>
      </c>
      <c r="I138" s="15">
        <f t="shared" si="3"/>
        <v>67</v>
      </c>
      <c r="J138" s="16" t="str">
        <f t="shared" si="4"/>
        <v/>
      </c>
      <c r="K138" s="16" t="str">
        <f t="shared" si="5"/>
        <v/>
      </c>
      <c r="L138" s="16" t="str">
        <f t="shared" si="6"/>
        <v/>
      </c>
      <c r="M138" s="16" t="str">
        <f t="shared" si="7"/>
        <v>ARC&gt;0</v>
      </c>
      <c r="N138" s="13">
        <f t="shared" si="8"/>
        <v>0.809823146</v>
      </c>
      <c r="O138" s="11">
        <v>8.767617333</v>
      </c>
      <c r="P138" s="11">
        <v>10.89011026</v>
      </c>
      <c r="Q138" s="11">
        <v>13.63831719</v>
      </c>
      <c r="R138" s="11">
        <v>58.1249849</v>
      </c>
      <c r="S138" s="15">
        <f t="shared" si="9"/>
        <v>58</v>
      </c>
      <c r="T138" s="17" t="str">
        <f t="shared" si="10"/>
        <v/>
      </c>
      <c r="U138" s="17" t="str">
        <f t="shared" si="11"/>
        <v/>
      </c>
      <c r="V138" s="17" t="str">
        <f t="shared" si="12"/>
        <v/>
      </c>
      <c r="W138" s="17" t="str">
        <f t="shared" si="13"/>
        <v>ARC&gt;0</v>
      </c>
      <c r="X138" s="13">
        <f t="shared" si="14"/>
        <v>0.868292768</v>
      </c>
      <c r="Y138" s="11">
        <v>11.1820493</v>
      </c>
      <c r="Z138" s="11">
        <v>13.43987898</v>
      </c>
      <c r="AA138" s="11">
        <v>17.25308683</v>
      </c>
      <c r="AB138" s="11">
        <v>94.94460013</v>
      </c>
      <c r="AC138" s="15">
        <f t="shared" si="15"/>
        <v>95</v>
      </c>
      <c r="AD138" s="16" t="str">
        <f t="shared" si="16"/>
        <v/>
      </c>
      <c r="AE138" s="16" t="str">
        <f t="shared" si="17"/>
        <v/>
      </c>
      <c r="AF138" s="16" t="str">
        <f t="shared" si="18"/>
        <v/>
      </c>
      <c r="AG138" s="16" t="str">
        <f t="shared" si="19"/>
        <v>ARC&gt;0</v>
      </c>
      <c r="AH138" s="13">
        <f t="shared" si="20"/>
        <v>0.361032584</v>
      </c>
      <c r="AI138" s="11">
        <v>0.8196803222</v>
      </c>
      <c r="AJ138" s="11">
        <v>2.496665561</v>
      </c>
      <c r="AK138" s="11" t="s">
        <v>291</v>
      </c>
      <c r="AL138" s="18">
        <f t="shared" si="21"/>
        <v>0.507260184</v>
      </c>
    </row>
    <row r="139" ht="15.75" customHeight="1">
      <c r="A139" s="11" t="s">
        <v>289</v>
      </c>
      <c r="B139" s="11">
        <v>2020.0</v>
      </c>
      <c r="C139" s="12" t="str">
        <f>VLOOKUP(A139, Regions!A:B, 2, FALSE)
</f>
        <v>Sub-Saharan Africa</v>
      </c>
      <c r="D139" s="13" t="str">
        <f t="shared" si="1"/>
        <v/>
      </c>
      <c r="E139" s="14" t="str">
        <f t="shared" si="2"/>
        <v/>
      </c>
      <c r="F139" s="11" t="s">
        <v>292</v>
      </c>
      <c r="G139" s="11">
        <v>24.17100143</v>
      </c>
      <c r="H139" s="11">
        <v>70.75307095</v>
      </c>
      <c r="I139" s="15">
        <f t="shared" si="3"/>
        <v>71</v>
      </c>
      <c r="J139" s="16" t="str">
        <f t="shared" si="4"/>
        <v/>
      </c>
      <c r="K139" s="16" t="str">
        <f t="shared" si="5"/>
        <v/>
      </c>
      <c r="L139" s="16" t="str">
        <f t="shared" si="6"/>
        <v/>
      </c>
      <c r="M139" s="16" t="str">
        <f t="shared" si="7"/>
        <v>ARC&gt;0</v>
      </c>
      <c r="N139" s="13" t="str">
        <f t="shared" si="8"/>
        <v/>
      </c>
      <c r="O139" s="11">
        <v>9.507067163</v>
      </c>
      <c r="P139" s="11">
        <v>9.835567931</v>
      </c>
      <c r="Q139" s="11">
        <v>9.904293959</v>
      </c>
      <c r="R139" s="11">
        <v>62.46644874</v>
      </c>
      <c r="S139" s="15">
        <f t="shared" si="9"/>
        <v>62</v>
      </c>
      <c r="T139" s="17" t="str">
        <f t="shared" si="10"/>
        <v/>
      </c>
      <c r="U139" s="17" t="str">
        <f t="shared" si="11"/>
        <v/>
      </c>
      <c r="V139" s="17" t="str">
        <f t="shared" si="12"/>
        <v/>
      </c>
      <c r="W139" s="17" t="str">
        <f t="shared" si="13"/>
        <v>ARC&gt;0</v>
      </c>
      <c r="X139" s="13" t="str">
        <f t="shared" si="14"/>
        <v/>
      </c>
      <c r="Y139" s="11">
        <v>12.29969513</v>
      </c>
      <c r="Z139" s="11">
        <v>12.45046093</v>
      </c>
      <c r="AA139" s="11">
        <v>12.78339519</v>
      </c>
      <c r="AB139" s="11">
        <v>96.74976305</v>
      </c>
      <c r="AC139" s="15">
        <f t="shared" si="15"/>
        <v>97</v>
      </c>
      <c r="AD139" s="16" t="str">
        <f t="shared" si="16"/>
        <v/>
      </c>
      <c r="AE139" s="16" t="str">
        <f t="shared" si="17"/>
        <v/>
      </c>
      <c r="AF139" s="16" t="str">
        <f t="shared" si="18"/>
        <v/>
      </c>
      <c r="AG139" s="16" t="str">
        <f t="shared" si="19"/>
        <v>ARC&gt;0</v>
      </c>
      <c r="AH139" s="13" t="str">
        <f t="shared" si="20"/>
        <v/>
      </c>
      <c r="AI139" s="11">
        <v>0.7460644731</v>
      </c>
      <c r="AJ139" s="11">
        <v>1.632164244</v>
      </c>
      <c r="AK139" s="11" t="s">
        <v>293</v>
      </c>
      <c r="AL139" s="18" t="str">
        <f t="shared" si="21"/>
        <v/>
      </c>
    </row>
    <row r="140" ht="15.75" customHeight="1">
      <c r="A140" s="11" t="s">
        <v>294</v>
      </c>
      <c r="B140" s="11">
        <v>2015.0</v>
      </c>
      <c r="C140" s="12" t="str">
        <f>VLOOKUP(A140, Regions!A:B, 2, FALSE)
</f>
        <v>Sub-Saharan Africa</v>
      </c>
      <c r="D140" s="13">
        <f t="shared" si="1"/>
        <v>5</v>
      </c>
      <c r="E140" s="14">
        <f t="shared" si="2"/>
        <v>2017.5</v>
      </c>
      <c r="F140" s="11" t="s">
        <v>295</v>
      </c>
      <c r="G140" s="11">
        <v>19.4280014</v>
      </c>
      <c r="H140" s="11">
        <v>42.0700672</v>
      </c>
      <c r="I140" s="15">
        <f t="shared" si="3"/>
        <v>42</v>
      </c>
      <c r="J140" s="16" t="str">
        <f t="shared" si="4"/>
        <v/>
      </c>
      <c r="K140" s="16" t="str">
        <f t="shared" si="5"/>
        <v/>
      </c>
      <c r="L140" s="16" t="str">
        <f t="shared" si="6"/>
        <v/>
      </c>
      <c r="M140" s="16" t="str">
        <f t="shared" si="7"/>
        <v>ARC&gt;0</v>
      </c>
      <c r="N140" s="13">
        <f t="shared" si="8"/>
        <v>1.509101108</v>
      </c>
      <c r="O140" s="11">
        <v>21.73879027</v>
      </c>
      <c r="P140" s="11">
        <v>24.47785615</v>
      </c>
      <c r="Q140" s="11">
        <v>11.71328639</v>
      </c>
      <c r="R140" s="11">
        <v>32.45176743</v>
      </c>
      <c r="S140" s="15">
        <f t="shared" si="9"/>
        <v>32</v>
      </c>
      <c r="T140" s="17" t="str">
        <f t="shared" si="10"/>
        <v/>
      </c>
      <c r="U140" s="17" t="str">
        <f t="shared" si="11"/>
        <v/>
      </c>
      <c r="V140" s="17" t="str">
        <f t="shared" si="12"/>
        <v/>
      </c>
      <c r="W140" s="17" t="str">
        <f t="shared" si="13"/>
        <v>ARC&gt;0</v>
      </c>
      <c r="X140" s="13">
        <f t="shared" si="14"/>
        <v>1.515674352</v>
      </c>
      <c r="Y140" s="11">
        <v>23.5985521</v>
      </c>
      <c r="Z140" s="11">
        <v>29.78155581</v>
      </c>
      <c r="AA140" s="11">
        <v>14.16812467</v>
      </c>
      <c r="AB140" s="11">
        <v>81.95917654</v>
      </c>
      <c r="AC140" s="15">
        <f t="shared" si="15"/>
        <v>82</v>
      </c>
      <c r="AD140" s="16" t="str">
        <f t="shared" si="16"/>
        <v/>
      </c>
      <c r="AE140" s="16" t="str">
        <f t="shared" si="17"/>
        <v/>
      </c>
      <c r="AF140" s="16" t="str">
        <f t="shared" si="18"/>
        <v/>
      </c>
      <c r="AG140" s="16" t="str">
        <f t="shared" si="19"/>
        <v>ARC&gt;0</v>
      </c>
      <c r="AH140" s="13">
        <f t="shared" si="20"/>
        <v>0.450730324</v>
      </c>
      <c r="AI140" s="11">
        <v>14.02596733</v>
      </c>
      <c r="AJ140" s="11">
        <v>2.482299691</v>
      </c>
      <c r="AK140" s="11" t="s">
        <v>296</v>
      </c>
      <c r="AL140" s="18">
        <f t="shared" si="21"/>
        <v>1.064944028</v>
      </c>
    </row>
    <row r="141" ht="15.75" customHeight="1">
      <c r="A141" s="11" t="s">
        <v>294</v>
      </c>
      <c r="B141" s="11">
        <v>2020.0</v>
      </c>
      <c r="C141" s="12" t="str">
        <f>VLOOKUP(A141, Regions!A:B, 2, FALSE)
</f>
        <v>Sub-Saharan Africa</v>
      </c>
      <c r="D141" s="13" t="str">
        <f t="shared" si="1"/>
        <v/>
      </c>
      <c r="E141" s="14" t="str">
        <f t="shared" si="2"/>
        <v/>
      </c>
      <c r="F141" s="11" t="s">
        <v>297</v>
      </c>
      <c r="G141" s="11">
        <v>21.69499969</v>
      </c>
      <c r="H141" s="11">
        <v>49.61557274</v>
      </c>
      <c r="I141" s="15">
        <f t="shared" si="3"/>
        <v>50</v>
      </c>
      <c r="J141" s="16" t="str">
        <f t="shared" si="4"/>
        <v/>
      </c>
      <c r="K141" s="16" t="str">
        <f t="shared" si="5"/>
        <v/>
      </c>
      <c r="L141" s="16" t="str">
        <f t="shared" si="6"/>
        <v/>
      </c>
      <c r="M141" s="16" t="str">
        <f t="shared" si="7"/>
        <v>ARC&gt;0</v>
      </c>
      <c r="N141" s="13" t="str">
        <f t="shared" si="8"/>
        <v/>
      </c>
      <c r="O141" s="11">
        <v>26.74071964</v>
      </c>
      <c r="P141" s="11">
        <v>18.63506013</v>
      </c>
      <c r="Q141" s="11">
        <v>5.008647486</v>
      </c>
      <c r="R141" s="11">
        <v>40.03013919</v>
      </c>
      <c r="S141" s="15">
        <f t="shared" si="9"/>
        <v>40</v>
      </c>
      <c r="T141" s="17" t="str">
        <f t="shared" si="10"/>
        <v/>
      </c>
      <c r="U141" s="17" t="str">
        <f t="shared" si="11"/>
        <v/>
      </c>
      <c r="V141" s="17" t="str">
        <f t="shared" si="12"/>
        <v/>
      </c>
      <c r="W141" s="17" t="str">
        <f t="shared" si="13"/>
        <v>ARC&gt;0</v>
      </c>
      <c r="X141" s="13" t="str">
        <f t="shared" si="14"/>
        <v/>
      </c>
      <c r="Y141" s="11">
        <v>30.18668334</v>
      </c>
      <c r="Z141" s="11">
        <v>23.49561327</v>
      </c>
      <c r="AA141" s="11">
        <v>6.287564203</v>
      </c>
      <c r="AB141" s="11">
        <v>84.21282816</v>
      </c>
      <c r="AC141" s="15">
        <f t="shared" si="15"/>
        <v>84</v>
      </c>
      <c r="AD141" s="16" t="str">
        <f t="shared" si="16"/>
        <v/>
      </c>
      <c r="AE141" s="16" t="str">
        <f t="shared" si="17"/>
        <v/>
      </c>
      <c r="AF141" s="16" t="str">
        <f t="shared" si="18"/>
        <v/>
      </c>
      <c r="AG141" s="16" t="str">
        <f t="shared" si="19"/>
        <v>ARC&gt;0</v>
      </c>
      <c r="AH141" s="13" t="str">
        <f t="shared" si="20"/>
        <v/>
      </c>
      <c r="AI141" s="11">
        <v>14.30300858</v>
      </c>
      <c r="AJ141" s="11">
        <v>1.091582355</v>
      </c>
      <c r="AK141" s="11" t="s">
        <v>298</v>
      </c>
      <c r="AL141" s="18" t="str">
        <f t="shared" si="21"/>
        <v/>
      </c>
    </row>
    <row r="142" ht="15.75" customHeight="1">
      <c r="A142" s="11" t="s">
        <v>299</v>
      </c>
      <c r="B142" s="11">
        <v>2015.0</v>
      </c>
      <c r="C142" s="12" t="str">
        <f>VLOOKUP(A142, Regions!A:B, 2, FALSE)
</f>
        <v>Europe &amp; Central Asia</v>
      </c>
      <c r="D142" s="13">
        <f t="shared" si="1"/>
        <v>5</v>
      </c>
      <c r="E142" s="14">
        <f t="shared" si="2"/>
        <v>2017.5</v>
      </c>
      <c r="F142" s="11" t="s">
        <v>300</v>
      </c>
      <c r="G142" s="11">
        <v>41.63799667</v>
      </c>
      <c r="H142" s="11">
        <v>100.0</v>
      </c>
      <c r="I142" s="15">
        <f t="shared" si="3"/>
        <v>100</v>
      </c>
      <c r="J142" s="16" t="str">
        <f t="shared" si="4"/>
        <v>full access</v>
      </c>
      <c r="K142" s="16" t="str">
        <f t="shared" si="5"/>
        <v/>
      </c>
      <c r="L142" s="16" t="str">
        <f t="shared" si="6"/>
        <v/>
      </c>
      <c r="M142" s="16" t="str">
        <f t="shared" si="7"/>
        <v/>
      </c>
      <c r="N142" s="13">
        <f t="shared" si="8"/>
        <v>0</v>
      </c>
      <c r="O142" s="11">
        <v>0.0</v>
      </c>
      <c r="P142" s="11">
        <v>0.0</v>
      </c>
      <c r="Q142" s="11">
        <v>0.0</v>
      </c>
      <c r="S142" s="15">
        <f t="shared" si="9"/>
        <v>0</v>
      </c>
      <c r="T142" s="17" t="str">
        <f t="shared" si="10"/>
        <v/>
      </c>
      <c r="U142" s="17" t="str">
        <f t="shared" si="11"/>
        <v>ARC=0</v>
      </c>
      <c r="V142" s="17" t="str">
        <f t="shared" si="12"/>
        <v/>
      </c>
      <c r="W142" s="17" t="str">
        <f t="shared" si="13"/>
        <v/>
      </c>
      <c r="X142" s="13">
        <f t="shared" si="14"/>
        <v>0</v>
      </c>
      <c r="AC142" s="15">
        <f t="shared" si="15"/>
        <v>0</v>
      </c>
      <c r="AD142" s="16" t="str">
        <f t="shared" si="16"/>
        <v/>
      </c>
      <c r="AE142" s="16" t="str">
        <f t="shared" si="17"/>
        <v>ARC=0</v>
      </c>
      <c r="AF142" s="16" t="str">
        <f t="shared" si="18"/>
        <v/>
      </c>
      <c r="AG142" s="16" t="str">
        <f t="shared" si="19"/>
        <v/>
      </c>
      <c r="AH142" s="13">
        <f t="shared" si="20"/>
        <v>0</v>
      </c>
      <c r="AL142" s="18">
        <f t="shared" si="21"/>
        <v>0</v>
      </c>
    </row>
    <row r="143" ht="15.75" customHeight="1">
      <c r="A143" s="11" t="s">
        <v>299</v>
      </c>
      <c r="B143" s="11">
        <v>2020.0</v>
      </c>
      <c r="C143" s="12" t="str">
        <f>VLOOKUP(A143, Regions!A:B, 2, FALSE)
</f>
        <v>Europe &amp; Central Asia</v>
      </c>
      <c r="D143" s="13" t="str">
        <f t="shared" si="1"/>
        <v/>
      </c>
      <c r="E143" s="14" t="str">
        <f t="shared" si="2"/>
        <v/>
      </c>
      <c r="F143" s="11" t="s">
        <v>301</v>
      </c>
      <c r="G143" s="11">
        <v>42.39799881</v>
      </c>
      <c r="H143" s="11">
        <v>100.0</v>
      </c>
      <c r="I143" s="15">
        <f t="shared" si="3"/>
        <v>100</v>
      </c>
      <c r="J143" s="16" t="str">
        <f t="shared" si="4"/>
        <v/>
      </c>
      <c r="K143" s="16" t="str">
        <f t="shared" si="5"/>
        <v/>
      </c>
      <c r="L143" s="16" t="str">
        <f t="shared" si="6"/>
        <v/>
      </c>
      <c r="M143" s="16" t="str">
        <f t="shared" si="7"/>
        <v>ARC&gt;0</v>
      </c>
      <c r="N143" s="13" t="str">
        <f t="shared" si="8"/>
        <v/>
      </c>
      <c r="O143" s="11">
        <v>0.0</v>
      </c>
      <c r="P143" s="11">
        <v>0.0</v>
      </c>
      <c r="Q143" s="11">
        <v>0.0</v>
      </c>
      <c r="S143" s="15">
        <f t="shared" si="9"/>
        <v>0</v>
      </c>
      <c r="T143" s="17" t="str">
        <f t="shared" si="10"/>
        <v/>
      </c>
      <c r="U143" s="17" t="str">
        <f t="shared" si="11"/>
        <v>ARC=0</v>
      </c>
      <c r="V143" s="17" t="str">
        <f t="shared" si="12"/>
        <v/>
      </c>
      <c r="W143" s="17" t="str">
        <f t="shared" si="13"/>
        <v/>
      </c>
      <c r="X143" s="13" t="str">
        <f t="shared" si="14"/>
        <v/>
      </c>
      <c r="AC143" s="15">
        <f t="shared" si="15"/>
        <v>0</v>
      </c>
      <c r="AD143" s="16" t="str">
        <f t="shared" si="16"/>
        <v/>
      </c>
      <c r="AE143" s="16" t="str">
        <f t="shared" si="17"/>
        <v>ARC=0</v>
      </c>
      <c r="AF143" s="16" t="str">
        <f t="shared" si="18"/>
        <v/>
      </c>
      <c r="AG143" s="16" t="str">
        <f t="shared" si="19"/>
        <v/>
      </c>
      <c r="AH143" s="13" t="str">
        <f t="shared" si="20"/>
        <v/>
      </c>
      <c r="AL143" s="18" t="str">
        <f t="shared" si="21"/>
        <v/>
      </c>
    </row>
    <row r="144" ht="15.75" customHeight="1">
      <c r="A144" s="11" t="s">
        <v>302</v>
      </c>
      <c r="B144" s="11">
        <v>2015.0</v>
      </c>
      <c r="C144" s="12" t="str">
        <f>VLOOKUP(A144, Regions!A:B, 2, FALSE)
</f>
        <v>Latin America &amp; Caribbean</v>
      </c>
      <c r="D144" s="13">
        <f t="shared" si="1"/>
        <v>5</v>
      </c>
      <c r="E144" s="14">
        <f t="shared" si="2"/>
        <v>2017.5</v>
      </c>
      <c r="F144" s="11" t="s">
        <v>303</v>
      </c>
      <c r="G144" s="11">
        <v>76.26800537</v>
      </c>
      <c r="H144" s="11">
        <v>94.82000666</v>
      </c>
      <c r="I144" s="15">
        <f t="shared" si="3"/>
        <v>95</v>
      </c>
      <c r="J144" s="16" t="str">
        <f t="shared" si="4"/>
        <v/>
      </c>
      <c r="K144" s="16" t="str">
        <f t="shared" si="5"/>
        <v/>
      </c>
      <c r="L144" s="16" t="str">
        <f t="shared" si="6"/>
        <v/>
      </c>
      <c r="M144" s="16" t="str">
        <f t="shared" si="7"/>
        <v>ARC&gt;0</v>
      </c>
      <c r="N144" s="13">
        <f t="shared" si="8"/>
        <v>0.097784148</v>
      </c>
      <c r="O144" s="11">
        <v>0.0</v>
      </c>
      <c r="P144" s="11">
        <v>5.179993343</v>
      </c>
      <c r="Q144" s="11">
        <v>0.0</v>
      </c>
      <c r="R144" s="11">
        <v>78.17294282</v>
      </c>
      <c r="S144" s="15">
        <f t="shared" si="9"/>
        <v>78</v>
      </c>
      <c r="T144" s="17" t="str">
        <f t="shared" si="10"/>
        <v/>
      </c>
      <c r="U144" s="17" t="str">
        <f t="shared" si="11"/>
        <v/>
      </c>
      <c r="V144" s="17" t="str">
        <f t="shared" si="12"/>
        <v/>
      </c>
      <c r="W144" s="17" t="str">
        <f t="shared" si="13"/>
        <v>ARC&gt;0</v>
      </c>
      <c r="X144" s="13">
        <f t="shared" si="14"/>
        <v>0</v>
      </c>
      <c r="Y144" s="11">
        <v>0.0</v>
      </c>
      <c r="Z144" s="11">
        <v>21.82705718</v>
      </c>
      <c r="AA144" s="11">
        <v>0.0</v>
      </c>
      <c r="AB144" s="11">
        <v>100.0</v>
      </c>
      <c r="AC144" s="15">
        <f t="shared" si="15"/>
        <v>100</v>
      </c>
      <c r="AD144" s="16" t="str">
        <f t="shared" si="16"/>
        <v>full access</v>
      </c>
      <c r="AE144" s="16" t="str">
        <f t="shared" si="17"/>
        <v/>
      </c>
      <c r="AF144" s="16" t="str">
        <f t="shared" si="18"/>
        <v/>
      </c>
      <c r="AG144" s="16" t="str">
        <f t="shared" si="19"/>
        <v>ARC&gt;0</v>
      </c>
      <c r="AH144" s="13">
        <f t="shared" si="20"/>
        <v>0</v>
      </c>
      <c r="AI144" s="11">
        <v>0.0</v>
      </c>
      <c r="AJ144" s="11">
        <v>0.0</v>
      </c>
      <c r="AK144" s="11" t="s">
        <v>43</v>
      </c>
      <c r="AL144" s="18">
        <f t="shared" si="21"/>
        <v>0</v>
      </c>
    </row>
    <row r="145" ht="15.75" customHeight="1">
      <c r="A145" s="11" t="s">
        <v>302</v>
      </c>
      <c r="B145" s="11">
        <v>2020.0</v>
      </c>
      <c r="C145" s="12" t="str">
        <f>VLOOKUP(A145, Regions!A:B, 2, FALSE)
</f>
        <v>Latin America &amp; Caribbean</v>
      </c>
      <c r="D145" s="13" t="str">
        <f t="shared" si="1"/>
        <v/>
      </c>
      <c r="E145" s="14" t="str">
        <f t="shared" si="2"/>
        <v/>
      </c>
      <c r="F145" s="11" t="s">
        <v>304</v>
      </c>
      <c r="G145" s="11">
        <v>78.50799561</v>
      </c>
      <c r="H145" s="11">
        <v>95.3089274</v>
      </c>
      <c r="I145" s="15">
        <f t="shared" si="3"/>
        <v>95</v>
      </c>
      <c r="J145" s="16" t="str">
        <f t="shared" si="4"/>
        <v/>
      </c>
      <c r="K145" s="16" t="str">
        <f t="shared" si="5"/>
        <v/>
      </c>
      <c r="L145" s="16" t="str">
        <f t="shared" si="6"/>
        <v/>
      </c>
      <c r="M145" s="16" t="str">
        <f t="shared" si="7"/>
        <v>ARC&gt;0</v>
      </c>
      <c r="N145" s="13" t="str">
        <f t="shared" si="8"/>
        <v/>
      </c>
      <c r="O145" s="11">
        <v>0.0</v>
      </c>
      <c r="P145" s="11">
        <v>4.691072596</v>
      </c>
      <c r="Q145" s="11">
        <v>0.0</v>
      </c>
      <c r="R145" s="11">
        <v>78.17294282</v>
      </c>
      <c r="S145" s="15">
        <f t="shared" si="9"/>
        <v>78</v>
      </c>
      <c r="T145" s="17" t="str">
        <f t="shared" si="10"/>
        <v/>
      </c>
      <c r="U145" s="17" t="str">
        <f t="shared" si="11"/>
        <v/>
      </c>
      <c r="V145" s="17" t="str">
        <f t="shared" si="12"/>
        <v/>
      </c>
      <c r="W145" s="17" t="str">
        <f t="shared" si="13"/>
        <v>ARC&gt;0</v>
      </c>
      <c r="X145" s="13" t="str">
        <f t="shared" si="14"/>
        <v/>
      </c>
      <c r="Y145" s="11">
        <v>0.0</v>
      </c>
      <c r="Z145" s="11">
        <v>21.82705718</v>
      </c>
      <c r="AA145" s="11">
        <v>0.0</v>
      </c>
      <c r="AB145" s="11">
        <v>100.0</v>
      </c>
      <c r="AC145" s="15">
        <f t="shared" si="15"/>
        <v>100</v>
      </c>
      <c r="AD145" s="16" t="str">
        <f t="shared" si="16"/>
        <v/>
      </c>
      <c r="AE145" s="16" t="str">
        <f t="shared" si="17"/>
        <v/>
      </c>
      <c r="AF145" s="16" t="str">
        <f t="shared" si="18"/>
        <v/>
      </c>
      <c r="AG145" s="16" t="str">
        <f t="shared" si="19"/>
        <v>ARC&gt;0</v>
      </c>
      <c r="AH145" s="13" t="str">
        <f t="shared" si="20"/>
        <v/>
      </c>
      <c r="AI145" s="11">
        <v>0.0</v>
      </c>
      <c r="AJ145" s="11">
        <v>0.0</v>
      </c>
      <c r="AK145" s="11" t="s">
        <v>43</v>
      </c>
      <c r="AL145" s="18" t="str">
        <f t="shared" si="21"/>
        <v/>
      </c>
    </row>
    <row r="146" ht="15.75" customHeight="1">
      <c r="A146" s="11" t="s">
        <v>305</v>
      </c>
      <c r="B146" s="11">
        <v>2015.0</v>
      </c>
      <c r="C146" s="12" t="str">
        <f>VLOOKUP(A146, Regions!A:B, 2, FALSE)
</f>
        <v>East Asia &amp; Pacific</v>
      </c>
      <c r="D146" s="13">
        <f t="shared" si="1"/>
        <v>5</v>
      </c>
      <c r="E146" s="14">
        <f t="shared" si="2"/>
        <v>2017.5</v>
      </c>
      <c r="F146" s="11" t="s">
        <v>306</v>
      </c>
      <c r="G146" s="11">
        <v>54.72599792</v>
      </c>
      <c r="H146" s="11">
        <v>94.26255867</v>
      </c>
      <c r="I146" s="15">
        <f t="shared" si="3"/>
        <v>94</v>
      </c>
      <c r="J146" s="16" t="str">
        <f t="shared" si="4"/>
        <v/>
      </c>
      <c r="K146" s="16" t="str">
        <f t="shared" si="5"/>
        <v/>
      </c>
      <c r="L146" s="16" t="str">
        <f t="shared" si="6"/>
        <v/>
      </c>
      <c r="M146" s="16" t="str">
        <f t="shared" si="7"/>
        <v>ARC&gt;0</v>
      </c>
      <c r="N146" s="13">
        <f t="shared" si="8"/>
        <v>0.007701314</v>
      </c>
      <c r="O146" s="11">
        <v>0.0</v>
      </c>
      <c r="P146" s="11">
        <v>3.419365936</v>
      </c>
      <c r="Q146" s="11">
        <v>2.318075395</v>
      </c>
      <c r="R146" s="11">
        <v>89.37852739</v>
      </c>
      <c r="S146" s="15">
        <f t="shared" si="9"/>
        <v>89</v>
      </c>
      <c r="T146" s="17" t="str">
        <f t="shared" si="10"/>
        <v/>
      </c>
      <c r="U146" s="17" t="str">
        <f t="shared" si="11"/>
        <v/>
      </c>
      <c r="V146" s="17" t="str">
        <f t="shared" si="12"/>
        <v/>
      </c>
      <c r="W146" s="17" t="str">
        <f t="shared" si="13"/>
        <v>ARC&gt;0</v>
      </c>
      <c r="X146" s="13">
        <f t="shared" si="14"/>
        <v>-0.058100668</v>
      </c>
      <c r="Y146" s="11">
        <v>0.0</v>
      </c>
      <c r="Z146" s="11">
        <v>5.829467811</v>
      </c>
      <c r="AA146" s="11">
        <v>4.792004795</v>
      </c>
      <c r="AB146" s="11">
        <v>98.30304467</v>
      </c>
      <c r="AC146" s="15">
        <f t="shared" si="15"/>
        <v>98</v>
      </c>
      <c r="AD146" s="16" t="str">
        <f t="shared" si="16"/>
        <v/>
      </c>
      <c r="AE146" s="16" t="str">
        <f t="shared" si="17"/>
        <v/>
      </c>
      <c r="AF146" s="16" t="str">
        <f t="shared" si="18"/>
        <v/>
      </c>
      <c r="AG146" s="16" t="str">
        <f t="shared" si="19"/>
        <v>ARC&gt;0</v>
      </c>
      <c r="AH146" s="13">
        <f t="shared" si="20"/>
        <v>-0.021760122</v>
      </c>
      <c r="AI146" s="11">
        <v>0.0</v>
      </c>
      <c r="AJ146" s="11">
        <v>1.425524712</v>
      </c>
      <c r="AK146" s="11" t="s">
        <v>307</v>
      </c>
      <c r="AL146" s="18">
        <f t="shared" si="21"/>
        <v>-0.036340546</v>
      </c>
    </row>
    <row r="147" ht="15.75" customHeight="1">
      <c r="A147" s="11" t="s">
        <v>305</v>
      </c>
      <c r="B147" s="11">
        <v>2020.0</v>
      </c>
      <c r="C147" s="12" t="str">
        <f>VLOOKUP(A147, Regions!A:B, 2, FALSE)
</f>
        <v>East Asia &amp; Pacific</v>
      </c>
      <c r="D147" s="13" t="str">
        <f t="shared" si="1"/>
        <v/>
      </c>
      <c r="E147" s="14" t="str">
        <f t="shared" si="2"/>
        <v/>
      </c>
      <c r="F147" s="11" t="s">
        <v>308</v>
      </c>
      <c r="G147" s="11">
        <v>57.24700546</v>
      </c>
      <c r="H147" s="11">
        <v>94.30106524</v>
      </c>
      <c r="I147" s="15">
        <f t="shared" si="3"/>
        <v>94</v>
      </c>
      <c r="J147" s="16" t="str">
        <f t="shared" si="4"/>
        <v/>
      </c>
      <c r="K147" s="16" t="str">
        <f t="shared" si="5"/>
        <v/>
      </c>
      <c r="L147" s="16" t="str">
        <f t="shared" si="6"/>
        <v/>
      </c>
      <c r="M147" s="16" t="str">
        <f t="shared" si="7"/>
        <v>ARC&gt;0</v>
      </c>
      <c r="N147" s="13" t="str">
        <f t="shared" si="8"/>
        <v/>
      </c>
      <c r="O147" s="11">
        <v>0.0</v>
      </c>
      <c r="P147" s="11">
        <v>3.318602766</v>
      </c>
      <c r="Q147" s="11">
        <v>2.380331999</v>
      </c>
      <c r="R147" s="11">
        <v>89.08802405</v>
      </c>
      <c r="S147" s="15">
        <f t="shared" si="9"/>
        <v>89</v>
      </c>
      <c r="T147" s="17" t="str">
        <f t="shared" si="10"/>
        <v/>
      </c>
      <c r="U147" s="17" t="str">
        <f t="shared" si="11"/>
        <v/>
      </c>
      <c r="V147" s="17" t="str">
        <f t="shared" si="12"/>
        <v/>
      </c>
      <c r="W147" s="17" t="str">
        <f t="shared" si="13"/>
        <v>ARC&gt;0</v>
      </c>
      <c r="X147" s="13" t="str">
        <f t="shared" si="14"/>
        <v/>
      </c>
      <c r="Y147" s="11">
        <v>0.0</v>
      </c>
      <c r="Z147" s="11">
        <v>5.759897938</v>
      </c>
      <c r="AA147" s="11">
        <v>5.152078012</v>
      </c>
      <c r="AB147" s="11">
        <v>98.19424406</v>
      </c>
      <c r="AC147" s="15">
        <f t="shared" si="15"/>
        <v>98</v>
      </c>
      <c r="AD147" s="16" t="str">
        <f t="shared" si="16"/>
        <v/>
      </c>
      <c r="AE147" s="16" t="str">
        <f t="shared" si="17"/>
        <v/>
      </c>
      <c r="AF147" s="16" t="str">
        <f t="shared" si="18"/>
        <v/>
      </c>
      <c r="AG147" s="16" t="str">
        <f t="shared" si="19"/>
        <v>ARC&gt;0</v>
      </c>
      <c r="AH147" s="13" t="str">
        <f t="shared" si="20"/>
        <v/>
      </c>
      <c r="AI147" s="11">
        <v>0.0</v>
      </c>
      <c r="AJ147" s="11">
        <v>1.495409344</v>
      </c>
      <c r="AK147" s="11" t="s">
        <v>309</v>
      </c>
      <c r="AL147" s="18" t="str">
        <f t="shared" si="21"/>
        <v/>
      </c>
    </row>
    <row r="148" ht="15.75" customHeight="1">
      <c r="A148" s="11" t="s">
        <v>310</v>
      </c>
      <c r="B148" s="11">
        <v>2015.0</v>
      </c>
      <c r="C148" s="12" t="str">
        <f>VLOOKUP(A148, Regions!A:B, 2, FALSE)
</f>
        <v>Europe &amp; Central Asia</v>
      </c>
      <c r="D148" s="13">
        <f t="shared" si="1"/>
        <v>5</v>
      </c>
      <c r="E148" s="14">
        <f t="shared" si="2"/>
        <v>2017.5</v>
      </c>
      <c r="F148" s="11" t="s">
        <v>311</v>
      </c>
      <c r="G148" s="11">
        <v>85.22499847</v>
      </c>
      <c r="H148" s="11">
        <v>99.99999666</v>
      </c>
      <c r="I148" s="15">
        <f t="shared" si="3"/>
        <v>100</v>
      </c>
      <c r="J148" s="16" t="str">
        <f t="shared" si="4"/>
        <v>full access</v>
      </c>
      <c r="K148" s="16" t="str">
        <f t="shared" si="5"/>
        <v/>
      </c>
      <c r="L148" s="16" t="str">
        <f t="shared" si="6"/>
        <v/>
      </c>
      <c r="M148" s="16" t="str">
        <f t="shared" si="7"/>
        <v/>
      </c>
      <c r="N148" s="13">
        <f t="shared" si="8"/>
        <v>0.000001328000002</v>
      </c>
      <c r="O148" s="11">
        <v>0.0</v>
      </c>
      <c r="P148" s="11">
        <v>3.34065308E-6</v>
      </c>
      <c r="Q148" s="11">
        <v>0.0</v>
      </c>
      <c r="R148" s="11">
        <v>100.0</v>
      </c>
      <c r="S148" s="15">
        <f t="shared" si="9"/>
        <v>100</v>
      </c>
      <c r="T148" s="17" t="str">
        <f t="shared" si="10"/>
        <v>full access</v>
      </c>
      <c r="U148" s="17" t="str">
        <f t="shared" si="11"/>
        <v/>
      </c>
      <c r="V148" s="17" t="str">
        <f t="shared" si="12"/>
        <v/>
      </c>
      <c r="W148" s="17" t="str">
        <f t="shared" si="13"/>
        <v>ARC&gt;0</v>
      </c>
      <c r="X148" s="13">
        <f t="shared" si="14"/>
        <v>0</v>
      </c>
      <c r="Y148" s="11">
        <v>0.0</v>
      </c>
      <c r="Z148" s="11">
        <v>0.0</v>
      </c>
      <c r="AA148" s="11">
        <v>0.0</v>
      </c>
      <c r="AB148" s="11">
        <v>100.0</v>
      </c>
      <c r="AC148" s="15">
        <f t="shared" si="15"/>
        <v>100</v>
      </c>
      <c r="AD148" s="16" t="str">
        <f t="shared" si="16"/>
        <v>full access</v>
      </c>
      <c r="AE148" s="16" t="str">
        <f t="shared" si="17"/>
        <v/>
      </c>
      <c r="AF148" s="16" t="str">
        <f t="shared" si="18"/>
        <v/>
      </c>
      <c r="AG148" s="16" t="str">
        <f t="shared" si="19"/>
        <v>ARC&gt;0</v>
      </c>
      <c r="AH148" s="13">
        <f t="shared" si="20"/>
        <v>0</v>
      </c>
      <c r="AI148" s="11">
        <v>0.0</v>
      </c>
      <c r="AJ148" s="11">
        <v>0.0</v>
      </c>
      <c r="AK148" s="11" t="s">
        <v>43</v>
      </c>
      <c r="AL148" s="18">
        <f t="shared" si="21"/>
        <v>0</v>
      </c>
    </row>
    <row r="149" ht="15.75" customHeight="1">
      <c r="A149" s="11" t="s">
        <v>310</v>
      </c>
      <c r="B149" s="11">
        <v>2020.0</v>
      </c>
      <c r="C149" s="12" t="str">
        <f>VLOOKUP(A149, Regions!A:B, 2, FALSE)
</f>
        <v>Europe &amp; Central Asia</v>
      </c>
      <c r="D149" s="13" t="str">
        <f t="shared" si="1"/>
        <v/>
      </c>
      <c r="E149" s="14" t="str">
        <f t="shared" si="2"/>
        <v/>
      </c>
      <c r="F149" s="11" t="s">
        <v>312</v>
      </c>
      <c r="G149" s="11">
        <v>85.51700592</v>
      </c>
      <c r="H149" s="11">
        <v>100.0000033</v>
      </c>
      <c r="I149" s="15">
        <f t="shared" si="3"/>
        <v>100</v>
      </c>
      <c r="J149" s="16" t="str">
        <f t="shared" si="4"/>
        <v/>
      </c>
      <c r="K149" s="16" t="str">
        <f t="shared" si="5"/>
        <v/>
      </c>
      <c r="L149" s="16" t="str">
        <f t="shared" si="6"/>
        <v/>
      </c>
      <c r="M149" s="16" t="str">
        <f t="shared" si="7"/>
        <v>ARC&gt;0</v>
      </c>
      <c r="N149" s="13" t="str">
        <f t="shared" si="8"/>
        <v/>
      </c>
      <c r="O149" s="11">
        <v>0.0</v>
      </c>
      <c r="P149" s="11">
        <v>0.0</v>
      </c>
      <c r="Q149" s="11">
        <v>0.0</v>
      </c>
      <c r="R149" s="11">
        <v>100.0</v>
      </c>
      <c r="S149" s="15">
        <f t="shared" si="9"/>
        <v>100</v>
      </c>
      <c r="T149" s="17" t="str">
        <f t="shared" si="10"/>
        <v/>
      </c>
      <c r="U149" s="17" t="str">
        <f t="shared" si="11"/>
        <v/>
      </c>
      <c r="V149" s="17" t="str">
        <f t="shared" si="12"/>
        <v/>
      </c>
      <c r="W149" s="17" t="str">
        <f t="shared" si="13"/>
        <v>ARC&gt;0</v>
      </c>
      <c r="X149" s="13" t="str">
        <f t="shared" si="14"/>
        <v/>
      </c>
      <c r="Y149" s="11">
        <v>0.0</v>
      </c>
      <c r="Z149" s="11">
        <v>0.0</v>
      </c>
      <c r="AA149" s="11">
        <v>0.0</v>
      </c>
      <c r="AB149" s="11">
        <v>100.0</v>
      </c>
      <c r="AC149" s="15">
        <f t="shared" si="15"/>
        <v>100</v>
      </c>
      <c r="AD149" s="16" t="str">
        <f t="shared" si="16"/>
        <v/>
      </c>
      <c r="AE149" s="16" t="str">
        <f t="shared" si="17"/>
        <v/>
      </c>
      <c r="AF149" s="16" t="str">
        <f t="shared" si="18"/>
        <v/>
      </c>
      <c r="AG149" s="16" t="str">
        <f t="shared" si="19"/>
        <v>ARC&gt;0</v>
      </c>
      <c r="AH149" s="13" t="str">
        <f t="shared" si="20"/>
        <v/>
      </c>
      <c r="AI149" s="11">
        <v>0.0</v>
      </c>
      <c r="AJ149" s="11">
        <v>0.0</v>
      </c>
      <c r="AK149" s="11" t="s">
        <v>43</v>
      </c>
      <c r="AL149" s="18" t="str">
        <f t="shared" si="21"/>
        <v/>
      </c>
    </row>
    <row r="150" ht="15.75" customHeight="1">
      <c r="A150" s="11" t="s">
        <v>313</v>
      </c>
      <c r="B150" s="11">
        <v>2015.0</v>
      </c>
      <c r="C150" s="12" t="str">
        <f>VLOOKUP(A150, Regions!A:B, 2, FALSE)
</f>
        <v>Europe &amp; Central Asia</v>
      </c>
      <c r="D150" s="13">
        <f t="shared" si="1"/>
        <v>5</v>
      </c>
      <c r="E150" s="14">
        <f t="shared" si="2"/>
        <v>2017.5</v>
      </c>
      <c r="F150" s="11" t="s">
        <v>314</v>
      </c>
      <c r="G150" s="11">
        <v>79.65499878</v>
      </c>
      <c r="H150" s="11">
        <v>100.0</v>
      </c>
      <c r="I150" s="15">
        <f t="shared" si="3"/>
        <v>100</v>
      </c>
      <c r="J150" s="16" t="str">
        <f t="shared" si="4"/>
        <v>full access</v>
      </c>
      <c r="K150" s="16" t="str">
        <f t="shared" si="5"/>
        <v/>
      </c>
      <c r="L150" s="16" t="str">
        <f t="shared" si="6"/>
        <v/>
      </c>
      <c r="M150" s="16" t="str">
        <f t="shared" si="7"/>
        <v/>
      </c>
      <c r="N150" s="13">
        <f t="shared" si="8"/>
        <v>-0.0000002999999992</v>
      </c>
      <c r="O150" s="11">
        <v>0.0</v>
      </c>
      <c r="P150" s="11">
        <v>0.0</v>
      </c>
      <c r="Q150" s="11">
        <v>0.0</v>
      </c>
      <c r="R150" s="11">
        <v>100.0</v>
      </c>
      <c r="S150" s="15">
        <f t="shared" si="9"/>
        <v>100</v>
      </c>
      <c r="T150" s="17" t="str">
        <f t="shared" si="10"/>
        <v>full access</v>
      </c>
      <c r="U150" s="17" t="str">
        <f t="shared" si="11"/>
        <v/>
      </c>
      <c r="V150" s="17" t="str">
        <f t="shared" si="12"/>
        <v/>
      </c>
      <c r="W150" s="17" t="str">
        <f t="shared" si="13"/>
        <v>ARC&gt;0</v>
      </c>
      <c r="X150" s="13">
        <f t="shared" si="14"/>
        <v>0</v>
      </c>
      <c r="Y150" s="11">
        <v>0.0</v>
      </c>
      <c r="Z150" s="11">
        <v>0.0</v>
      </c>
      <c r="AA150" s="11">
        <v>0.0</v>
      </c>
      <c r="AB150" s="11">
        <v>100.0</v>
      </c>
      <c r="AC150" s="15">
        <f t="shared" si="15"/>
        <v>100</v>
      </c>
      <c r="AD150" s="16" t="str">
        <f t="shared" si="16"/>
        <v>full access</v>
      </c>
      <c r="AE150" s="16" t="str">
        <f t="shared" si="17"/>
        <v/>
      </c>
      <c r="AF150" s="16" t="str">
        <f t="shared" si="18"/>
        <v/>
      </c>
      <c r="AG150" s="16" t="str">
        <f t="shared" si="19"/>
        <v>ARC&gt;0</v>
      </c>
      <c r="AH150" s="13">
        <f t="shared" si="20"/>
        <v>0</v>
      </c>
      <c r="AI150" s="11">
        <v>0.0</v>
      </c>
      <c r="AJ150" s="11">
        <v>0.0</v>
      </c>
      <c r="AK150" s="11" t="s">
        <v>43</v>
      </c>
      <c r="AL150" s="18">
        <f t="shared" si="21"/>
        <v>0</v>
      </c>
    </row>
    <row r="151" ht="15.75" customHeight="1">
      <c r="A151" s="11" t="s">
        <v>313</v>
      </c>
      <c r="B151" s="11">
        <v>2020.0</v>
      </c>
      <c r="C151" s="12" t="str">
        <f>VLOOKUP(A151, Regions!A:B, 2, FALSE)
</f>
        <v>Europe &amp; Central Asia</v>
      </c>
      <c r="D151" s="13" t="str">
        <f t="shared" si="1"/>
        <v/>
      </c>
      <c r="E151" s="14" t="str">
        <f t="shared" si="2"/>
        <v/>
      </c>
      <c r="F151" s="11" t="s">
        <v>315</v>
      </c>
      <c r="G151" s="11">
        <v>80.97499847</v>
      </c>
      <c r="H151" s="11">
        <v>99.9999985</v>
      </c>
      <c r="I151" s="15">
        <f t="shared" si="3"/>
        <v>100</v>
      </c>
      <c r="J151" s="16" t="str">
        <f t="shared" si="4"/>
        <v/>
      </c>
      <c r="K151" s="16" t="str">
        <f t="shared" si="5"/>
        <v/>
      </c>
      <c r="L151" s="16" t="str">
        <f t="shared" si="6"/>
        <v/>
      </c>
      <c r="M151" s="16" t="str">
        <f t="shared" si="7"/>
        <v>ARC&gt;0</v>
      </c>
      <c r="N151" s="13" t="str">
        <f t="shared" si="8"/>
        <v/>
      </c>
      <c r="O151" s="11">
        <v>0.0</v>
      </c>
      <c r="P151" s="11">
        <v>1.49610841E-6</v>
      </c>
      <c r="Q151" s="11">
        <v>0.0</v>
      </c>
      <c r="R151" s="11">
        <v>100.0</v>
      </c>
      <c r="S151" s="15">
        <f t="shared" si="9"/>
        <v>100</v>
      </c>
      <c r="T151" s="17" t="str">
        <f t="shared" si="10"/>
        <v/>
      </c>
      <c r="U151" s="17" t="str">
        <f t="shared" si="11"/>
        <v/>
      </c>
      <c r="V151" s="17" t="str">
        <f t="shared" si="12"/>
        <v/>
      </c>
      <c r="W151" s="17" t="str">
        <f t="shared" si="13"/>
        <v>ARC&gt;0</v>
      </c>
      <c r="X151" s="13" t="str">
        <f t="shared" si="14"/>
        <v/>
      </c>
      <c r="Y151" s="11">
        <v>0.0</v>
      </c>
      <c r="Z151" s="11">
        <v>0.0</v>
      </c>
      <c r="AA151" s="11">
        <v>0.0</v>
      </c>
      <c r="AB151" s="11">
        <v>100.0</v>
      </c>
      <c r="AC151" s="15">
        <f t="shared" si="15"/>
        <v>100</v>
      </c>
      <c r="AD151" s="16" t="str">
        <f t="shared" si="16"/>
        <v/>
      </c>
      <c r="AE151" s="16" t="str">
        <f t="shared" si="17"/>
        <v/>
      </c>
      <c r="AF151" s="16" t="str">
        <f t="shared" si="18"/>
        <v/>
      </c>
      <c r="AG151" s="16" t="str">
        <f t="shared" si="19"/>
        <v>ARC&gt;0</v>
      </c>
      <c r="AH151" s="13" t="str">
        <f t="shared" si="20"/>
        <v/>
      </c>
      <c r="AI151" s="11">
        <v>0.0</v>
      </c>
      <c r="AJ151" s="11">
        <v>0.0</v>
      </c>
      <c r="AK151" s="11" t="s">
        <v>43</v>
      </c>
      <c r="AL151" s="18" t="str">
        <f t="shared" si="21"/>
        <v/>
      </c>
    </row>
    <row r="152" ht="15.75" customHeight="1">
      <c r="A152" s="11" t="s">
        <v>316</v>
      </c>
      <c r="B152" s="11">
        <v>2015.0</v>
      </c>
      <c r="C152" s="12" t="str">
        <f>VLOOKUP(A152, Regions!A:B, 2, FALSE)
</f>
        <v>Latin America &amp; Caribbean</v>
      </c>
      <c r="D152" s="13">
        <f t="shared" si="1"/>
        <v>5</v>
      </c>
      <c r="E152" s="14">
        <f t="shared" si="2"/>
        <v>2017.5</v>
      </c>
      <c r="F152" s="11" t="s">
        <v>317</v>
      </c>
      <c r="G152" s="11">
        <v>84.48200226</v>
      </c>
      <c r="H152" s="11">
        <v>93.56205657</v>
      </c>
      <c r="I152" s="15">
        <f t="shared" si="3"/>
        <v>94</v>
      </c>
      <c r="J152" s="16" t="str">
        <f t="shared" si="4"/>
        <v/>
      </c>
      <c r="K152" s="16" t="str">
        <f t="shared" si="5"/>
        <v/>
      </c>
      <c r="L152" s="16" t="str">
        <f t="shared" si="6"/>
        <v/>
      </c>
      <c r="M152" s="16" t="str">
        <f t="shared" si="7"/>
        <v>ARC&gt;0</v>
      </c>
      <c r="N152" s="13">
        <f t="shared" si="8"/>
        <v>0.044031956</v>
      </c>
      <c r="O152" s="11">
        <v>0.0</v>
      </c>
      <c r="P152" s="11">
        <v>6.437943425</v>
      </c>
      <c r="Q152" s="11">
        <v>0.0</v>
      </c>
      <c r="S152" s="15">
        <f t="shared" si="9"/>
        <v>0</v>
      </c>
      <c r="T152" s="17" t="str">
        <f t="shared" si="10"/>
        <v/>
      </c>
      <c r="U152" s="17" t="str">
        <f t="shared" si="11"/>
        <v>ARC=0</v>
      </c>
      <c r="V152" s="17" t="str">
        <f t="shared" si="12"/>
        <v/>
      </c>
      <c r="W152" s="17" t="str">
        <f t="shared" si="13"/>
        <v/>
      </c>
      <c r="X152" s="13">
        <f t="shared" si="14"/>
        <v>0</v>
      </c>
      <c r="AC152" s="15">
        <f t="shared" si="15"/>
        <v>0</v>
      </c>
      <c r="AD152" s="16" t="str">
        <f t="shared" si="16"/>
        <v/>
      </c>
      <c r="AE152" s="16" t="str">
        <f t="shared" si="17"/>
        <v>ARC=0</v>
      </c>
      <c r="AF152" s="16" t="str">
        <f t="shared" si="18"/>
        <v/>
      </c>
      <c r="AG152" s="16" t="str">
        <f t="shared" si="19"/>
        <v/>
      </c>
      <c r="AH152" s="13">
        <f t="shared" si="20"/>
        <v>0</v>
      </c>
      <c r="AL152" s="18">
        <f t="shared" si="21"/>
        <v>0</v>
      </c>
    </row>
    <row r="153" ht="15.75" customHeight="1">
      <c r="A153" s="11" t="s">
        <v>316</v>
      </c>
      <c r="B153" s="11">
        <v>2020.0</v>
      </c>
      <c r="C153" s="12" t="str">
        <f>VLOOKUP(A153, Regions!A:B, 2, FALSE)
</f>
        <v>Latin America &amp; Caribbean</v>
      </c>
      <c r="D153" s="13" t="str">
        <f t="shared" si="1"/>
        <v/>
      </c>
      <c r="E153" s="14" t="str">
        <f t="shared" si="2"/>
        <v/>
      </c>
      <c r="F153" s="11" t="s">
        <v>318</v>
      </c>
      <c r="G153" s="11">
        <v>85.81999969</v>
      </c>
      <c r="H153" s="11">
        <v>93.78221635</v>
      </c>
      <c r="I153" s="15">
        <f t="shared" si="3"/>
        <v>94</v>
      </c>
      <c r="J153" s="16" t="str">
        <f t="shared" si="4"/>
        <v/>
      </c>
      <c r="K153" s="16" t="str">
        <f t="shared" si="5"/>
        <v/>
      </c>
      <c r="L153" s="16" t="str">
        <f t="shared" si="6"/>
        <v/>
      </c>
      <c r="M153" s="16" t="str">
        <f t="shared" si="7"/>
        <v>ARC&gt;0</v>
      </c>
      <c r="N153" s="13" t="str">
        <f t="shared" si="8"/>
        <v/>
      </c>
      <c r="O153" s="11">
        <v>0.0</v>
      </c>
      <c r="P153" s="11">
        <v>6.217783652</v>
      </c>
      <c r="Q153" s="11">
        <v>0.0</v>
      </c>
      <c r="S153" s="15">
        <f t="shared" si="9"/>
        <v>0</v>
      </c>
      <c r="T153" s="17" t="str">
        <f t="shared" si="10"/>
        <v/>
      </c>
      <c r="U153" s="17" t="str">
        <f t="shared" si="11"/>
        <v>ARC=0</v>
      </c>
      <c r="V153" s="17" t="str">
        <f t="shared" si="12"/>
        <v/>
      </c>
      <c r="W153" s="17" t="str">
        <f t="shared" si="13"/>
        <v/>
      </c>
      <c r="X153" s="13" t="str">
        <f t="shared" si="14"/>
        <v/>
      </c>
      <c r="AC153" s="15">
        <f t="shared" si="15"/>
        <v>0</v>
      </c>
      <c r="AD153" s="16" t="str">
        <f t="shared" si="16"/>
        <v/>
      </c>
      <c r="AE153" s="16" t="str">
        <f t="shared" si="17"/>
        <v>ARC=0</v>
      </c>
      <c r="AF153" s="16" t="str">
        <f t="shared" si="18"/>
        <v/>
      </c>
      <c r="AG153" s="16" t="str">
        <f t="shared" si="19"/>
        <v/>
      </c>
      <c r="AH153" s="13" t="str">
        <f t="shared" si="20"/>
        <v/>
      </c>
      <c r="AL153" s="18" t="str">
        <f t="shared" si="21"/>
        <v/>
      </c>
    </row>
    <row r="154" ht="15.75" customHeight="1">
      <c r="A154" s="11" t="s">
        <v>319</v>
      </c>
      <c r="B154" s="11">
        <v>2015.0</v>
      </c>
      <c r="C154" s="12" t="str">
        <f>VLOOKUP(A154, Regions!A:B, 2, FALSE)
</f>
        <v>East Asia &amp; Pacific</v>
      </c>
      <c r="D154" s="13">
        <f t="shared" si="1"/>
        <v>5</v>
      </c>
      <c r="E154" s="14">
        <f t="shared" si="2"/>
        <v>2017.5</v>
      </c>
      <c r="F154" s="11" t="s">
        <v>320</v>
      </c>
      <c r="G154" s="11">
        <v>61.68300247</v>
      </c>
      <c r="H154" s="11">
        <v>100.0</v>
      </c>
      <c r="I154" s="15">
        <f t="shared" si="3"/>
        <v>100</v>
      </c>
      <c r="J154" s="16" t="str">
        <f t="shared" si="4"/>
        <v>full access</v>
      </c>
      <c r="K154" s="16" t="str">
        <f t="shared" si="5"/>
        <v/>
      </c>
      <c r="L154" s="16" t="str">
        <f t="shared" si="6"/>
        <v/>
      </c>
      <c r="M154" s="16" t="str">
        <f t="shared" si="7"/>
        <v/>
      </c>
      <c r="N154" s="13">
        <f t="shared" si="8"/>
        <v>0</v>
      </c>
      <c r="O154" s="11">
        <v>0.0</v>
      </c>
      <c r="P154" s="11">
        <v>0.0</v>
      </c>
      <c r="Q154" s="11">
        <v>0.0</v>
      </c>
      <c r="S154" s="15">
        <f t="shared" si="9"/>
        <v>0</v>
      </c>
      <c r="T154" s="17" t="str">
        <f t="shared" si="10"/>
        <v/>
      </c>
      <c r="U154" s="17" t="str">
        <f t="shared" si="11"/>
        <v>ARC=0</v>
      </c>
      <c r="V154" s="17" t="str">
        <f t="shared" si="12"/>
        <v/>
      </c>
      <c r="W154" s="17" t="str">
        <f t="shared" si="13"/>
        <v/>
      </c>
      <c r="X154" s="13">
        <f t="shared" si="14"/>
        <v>0</v>
      </c>
      <c r="AC154" s="15">
        <f t="shared" si="15"/>
        <v>0</v>
      </c>
      <c r="AD154" s="16" t="str">
        <f t="shared" si="16"/>
        <v/>
      </c>
      <c r="AE154" s="16" t="str">
        <f t="shared" si="17"/>
        <v>ARC=0</v>
      </c>
      <c r="AF154" s="16" t="str">
        <f t="shared" si="18"/>
        <v/>
      </c>
      <c r="AG154" s="16" t="str">
        <f t="shared" si="19"/>
        <v/>
      </c>
      <c r="AH154" s="13">
        <f t="shared" si="20"/>
        <v>0</v>
      </c>
      <c r="AL154" s="18">
        <f t="shared" si="21"/>
        <v>0</v>
      </c>
    </row>
    <row r="155" ht="15.75" customHeight="1">
      <c r="A155" s="11" t="s">
        <v>319</v>
      </c>
      <c r="B155" s="11">
        <v>2020.0</v>
      </c>
      <c r="C155" s="12" t="str">
        <f>VLOOKUP(A155, Regions!A:B, 2, FALSE)
</f>
        <v>East Asia &amp; Pacific</v>
      </c>
      <c r="D155" s="13" t="str">
        <f t="shared" si="1"/>
        <v/>
      </c>
      <c r="E155" s="14" t="str">
        <f t="shared" si="2"/>
        <v/>
      </c>
      <c r="F155" s="11" t="s">
        <v>321</v>
      </c>
      <c r="G155" s="11">
        <v>61.97500229</v>
      </c>
      <c r="H155" s="11">
        <v>100.0</v>
      </c>
      <c r="I155" s="15">
        <f t="shared" si="3"/>
        <v>100</v>
      </c>
      <c r="J155" s="16" t="str">
        <f t="shared" si="4"/>
        <v/>
      </c>
      <c r="K155" s="16" t="str">
        <f t="shared" si="5"/>
        <v/>
      </c>
      <c r="L155" s="16" t="str">
        <f t="shared" si="6"/>
        <v/>
      </c>
      <c r="M155" s="16" t="str">
        <f t="shared" si="7"/>
        <v>ARC&gt;0</v>
      </c>
      <c r="N155" s="13" t="str">
        <f t="shared" si="8"/>
        <v/>
      </c>
      <c r="O155" s="11">
        <v>0.0</v>
      </c>
      <c r="P155" s="11">
        <v>0.0</v>
      </c>
      <c r="Q155" s="11">
        <v>0.0</v>
      </c>
      <c r="S155" s="15">
        <f t="shared" si="9"/>
        <v>0</v>
      </c>
      <c r="T155" s="17" t="str">
        <f t="shared" si="10"/>
        <v/>
      </c>
      <c r="U155" s="17" t="str">
        <f t="shared" si="11"/>
        <v>ARC=0</v>
      </c>
      <c r="V155" s="17" t="str">
        <f t="shared" si="12"/>
        <v/>
      </c>
      <c r="W155" s="17" t="str">
        <f t="shared" si="13"/>
        <v/>
      </c>
      <c r="X155" s="13" t="str">
        <f t="shared" si="14"/>
        <v/>
      </c>
      <c r="AC155" s="15">
        <f t="shared" si="15"/>
        <v>0</v>
      </c>
      <c r="AD155" s="16" t="str">
        <f t="shared" si="16"/>
        <v/>
      </c>
      <c r="AE155" s="16" t="str">
        <f t="shared" si="17"/>
        <v>ARC=0</v>
      </c>
      <c r="AF155" s="16" t="str">
        <f t="shared" si="18"/>
        <v/>
      </c>
      <c r="AG155" s="16" t="str">
        <f t="shared" si="19"/>
        <v/>
      </c>
      <c r="AH155" s="13" t="str">
        <f t="shared" si="20"/>
        <v/>
      </c>
      <c r="AL155" s="18" t="str">
        <f t="shared" si="21"/>
        <v/>
      </c>
    </row>
    <row r="156" ht="15.75" customHeight="1">
      <c r="A156" s="11" t="s">
        <v>322</v>
      </c>
      <c r="B156" s="11">
        <v>2015.0</v>
      </c>
      <c r="C156" s="12" t="str">
        <f>VLOOKUP(A156, Regions!A:B, 2, FALSE)
</f>
        <v>Sub-Saharan Africa</v>
      </c>
      <c r="D156" s="13">
        <f t="shared" si="1"/>
        <v>5</v>
      </c>
      <c r="E156" s="14">
        <f t="shared" si="2"/>
        <v>2017.5</v>
      </c>
      <c r="F156" s="11" t="s">
        <v>323</v>
      </c>
      <c r="G156" s="11">
        <v>88.11799622</v>
      </c>
      <c r="H156" s="11">
        <v>83.85848655</v>
      </c>
      <c r="I156" s="15">
        <f t="shared" si="3"/>
        <v>84</v>
      </c>
      <c r="J156" s="16" t="str">
        <f t="shared" si="4"/>
        <v/>
      </c>
      <c r="K156" s="16" t="str">
        <f t="shared" si="5"/>
        <v/>
      </c>
      <c r="L156" s="16" t="str">
        <f t="shared" si="6"/>
        <v/>
      </c>
      <c r="M156" s="16" t="str">
        <f t="shared" si="7"/>
        <v>ARC&gt;0</v>
      </c>
      <c r="N156" s="13">
        <f t="shared" si="8"/>
        <v>0.29668881</v>
      </c>
      <c r="O156" s="11">
        <v>7.722430434</v>
      </c>
      <c r="P156" s="11">
        <v>4.92418211</v>
      </c>
      <c r="Q156" s="11">
        <v>3.494900901</v>
      </c>
      <c r="R156" s="11">
        <v>43.39003316</v>
      </c>
      <c r="S156" s="15">
        <f t="shared" si="9"/>
        <v>43</v>
      </c>
      <c r="T156" s="17" t="str">
        <f t="shared" si="10"/>
        <v/>
      </c>
      <c r="U156" s="17" t="str">
        <f t="shared" si="11"/>
        <v/>
      </c>
      <c r="V156" s="17" t="str">
        <f t="shared" si="12"/>
        <v/>
      </c>
      <c r="W156" s="17" t="str">
        <f t="shared" si="13"/>
        <v>ARC&gt;0</v>
      </c>
      <c r="X156" s="13">
        <f t="shared" si="14"/>
        <v>0.27117117</v>
      </c>
      <c r="Y156" s="11">
        <v>10.19264777</v>
      </c>
      <c r="Z156" s="11">
        <v>21.81093263</v>
      </c>
      <c r="AA156" s="11">
        <v>24.60638644</v>
      </c>
      <c r="AB156" s="11">
        <v>89.31533187</v>
      </c>
      <c r="AC156" s="15">
        <f t="shared" si="15"/>
        <v>89</v>
      </c>
      <c r="AD156" s="16" t="str">
        <f t="shared" si="16"/>
        <v/>
      </c>
      <c r="AE156" s="16" t="str">
        <f t="shared" si="17"/>
        <v/>
      </c>
      <c r="AF156" s="16" t="str">
        <f t="shared" si="18"/>
        <v/>
      </c>
      <c r="AG156" s="16" t="str">
        <f t="shared" si="19"/>
        <v>ARC&gt;0</v>
      </c>
      <c r="AH156" s="13">
        <f t="shared" si="20"/>
        <v>0.09824146</v>
      </c>
      <c r="AI156" s="11">
        <v>7.389341617</v>
      </c>
      <c r="AJ156" s="11">
        <v>2.647139145</v>
      </c>
      <c r="AK156" s="11" t="s">
        <v>324</v>
      </c>
      <c r="AL156" s="18">
        <f t="shared" si="21"/>
        <v>0.17292971</v>
      </c>
    </row>
    <row r="157" ht="15.75" customHeight="1">
      <c r="A157" s="11" t="s">
        <v>322</v>
      </c>
      <c r="B157" s="11">
        <v>2020.0</v>
      </c>
      <c r="C157" s="12" t="str">
        <f>VLOOKUP(A157, Regions!A:B, 2, FALSE)
</f>
        <v>Sub-Saharan Africa</v>
      </c>
      <c r="D157" s="13" t="str">
        <f t="shared" si="1"/>
        <v/>
      </c>
      <c r="E157" s="14" t="str">
        <f t="shared" si="2"/>
        <v/>
      </c>
      <c r="F157" s="11" t="s">
        <v>325</v>
      </c>
      <c r="G157" s="11">
        <v>90.09200287</v>
      </c>
      <c r="H157" s="11">
        <v>85.3419306</v>
      </c>
      <c r="I157" s="15">
        <f t="shared" si="3"/>
        <v>85</v>
      </c>
      <c r="J157" s="16" t="str">
        <f t="shared" si="4"/>
        <v/>
      </c>
      <c r="K157" s="16" t="str">
        <f t="shared" si="5"/>
        <v/>
      </c>
      <c r="L157" s="16" t="str">
        <f t="shared" si="6"/>
        <v/>
      </c>
      <c r="M157" s="16" t="str">
        <f t="shared" si="7"/>
        <v>ARC&gt;0</v>
      </c>
      <c r="N157" s="13" t="str">
        <f t="shared" si="8"/>
        <v/>
      </c>
      <c r="O157" s="11">
        <v>7.735263103</v>
      </c>
      <c r="P157" s="11">
        <v>6.922808357</v>
      </c>
      <c r="R157" s="11">
        <v>44.74588901</v>
      </c>
      <c r="S157" s="15">
        <f t="shared" si="9"/>
        <v>45</v>
      </c>
      <c r="T157" s="17" t="str">
        <f t="shared" si="10"/>
        <v/>
      </c>
      <c r="U157" s="17" t="str">
        <f t="shared" si="11"/>
        <v/>
      </c>
      <c r="V157" s="17" t="str">
        <f t="shared" si="12"/>
        <v/>
      </c>
      <c r="W157" s="17" t="str">
        <f t="shared" si="13"/>
        <v>ARC&gt;0</v>
      </c>
      <c r="X157" s="13" t="str">
        <f t="shared" si="14"/>
        <v/>
      </c>
      <c r="Y157" s="11">
        <v>10.51114859</v>
      </c>
      <c r="Z157" s="11">
        <v>44.7429624</v>
      </c>
      <c r="AB157" s="11">
        <v>89.80653917</v>
      </c>
      <c r="AC157" s="15">
        <f t="shared" si="15"/>
        <v>90</v>
      </c>
      <c r="AD157" s="16" t="str">
        <f t="shared" si="16"/>
        <v/>
      </c>
      <c r="AE157" s="16" t="str">
        <f t="shared" si="17"/>
        <v/>
      </c>
      <c r="AF157" s="16" t="str">
        <f t="shared" si="18"/>
        <v/>
      </c>
      <c r="AG157" s="16" t="str">
        <f t="shared" si="19"/>
        <v>ARC&gt;0</v>
      </c>
      <c r="AH157" s="13" t="str">
        <f t="shared" si="20"/>
        <v/>
      </c>
      <c r="AI157" s="11">
        <v>7.42998076</v>
      </c>
      <c r="AJ157" s="11">
        <v>2.763480072</v>
      </c>
      <c r="AL157" s="18" t="str">
        <f t="shared" si="21"/>
        <v/>
      </c>
    </row>
    <row r="158" ht="15.75" customHeight="1">
      <c r="A158" s="11" t="s">
        <v>326</v>
      </c>
      <c r="B158" s="11">
        <v>2015.0</v>
      </c>
      <c r="C158" s="12" t="str">
        <f>VLOOKUP(A158, Regions!A:B, 2, FALSE)
</f>
        <v>Sub-Saharan Africa</v>
      </c>
      <c r="D158" s="13">
        <f t="shared" si="1"/>
        <v>5</v>
      </c>
      <c r="E158" s="14">
        <f t="shared" si="2"/>
        <v>2017.5</v>
      </c>
      <c r="F158" s="11" t="s">
        <v>327</v>
      </c>
      <c r="G158" s="11">
        <v>59.22800064</v>
      </c>
      <c r="H158" s="11">
        <v>79.2101665</v>
      </c>
      <c r="I158" s="15">
        <f t="shared" si="3"/>
        <v>79</v>
      </c>
      <c r="J158" s="16" t="str">
        <f t="shared" si="4"/>
        <v/>
      </c>
      <c r="K158" s="16" t="str">
        <f t="shared" si="5"/>
        <v/>
      </c>
      <c r="L158" s="16" t="str">
        <f t="shared" si="6"/>
        <v/>
      </c>
      <c r="M158" s="16" t="str">
        <f t="shared" si="7"/>
        <v>ARC&gt;0</v>
      </c>
      <c r="N158" s="13">
        <f t="shared" si="8"/>
        <v>0.346048128</v>
      </c>
      <c r="O158" s="11">
        <v>9.073370006</v>
      </c>
      <c r="P158" s="11">
        <v>11.62401462</v>
      </c>
      <c r="Q158" s="11">
        <v>0.09244887038</v>
      </c>
      <c r="R158" s="11">
        <v>68.25489257</v>
      </c>
      <c r="S158" s="15">
        <f t="shared" si="9"/>
        <v>68</v>
      </c>
      <c r="T158" s="17" t="str">
        <f t="shared" si="10"/>
        <v/>
      </c>
      <c r="U158" s="17" t="str">
        <f t="shared" si="11"/>
        <v/>
      </c>
      <c r="V158" s="17" t="str">
        <f t="shared" si="12"/>
        <v/>
      </c>
      <c r="W158" s="17" t="str">
        <f t="shared" si="13"/>
        <v>ARC&gt;0</v>
      </c>
      <c r="X158" s="13">
        <f t="shared" si="14"/>
        <v>0.186726128</v>
      </c>
      <c r="Y158" s="11">
        <v>15.34008454</v>
      </c>
      <c r="Z158" s="11">
        <v>16.32238996</v>
      </c>
      <c r="AA158" s="11">
        <v>0.08263292471</v>
      </c>
      <c r="AB158" s="11">
        <v>86.75167126</v>
      </c>
      <c r="AC158" s="15">
        <f t="shared" si="15"/>
        <v>87</v>
      </c>
      <c r="AD158" s="16" t="str">
        <f t="shared" si="16"/>
        <v/>
      </c>
      <c r="AE158" s="16" t="str">
        <f t="shared" si="17"/>
        <v/>
      </c>
      <c r="AF158" s="16" t="str">
        <f t="shared" si="18"/>
        <v/>
      </c>
      <c r="AG158" s="16" t="str">
        <f t="shared" si="19"/>
        <v>ARC&gt;0</v>
      </c>
      <c r="AH158" s="13">
        <f t="shared" si="20"/>
        <v>0.243046602</v>
      </c>
      <c r="AI158" s="11">
        <v>4.759421567</v>
      </c>
      <c r="AJ158" s="11">
        <v>8.389701102</v>
      </c>
      <c r="AK158" s="11" t="s">
        <v>328</v>
      </c>
      <c r="AL158" s="18">
        <f t="shared" si="21"/>
        <v>-0.056320474</v>
      </c>
    </row>
    <row r="159" ht="15.75" customHeight="1">
      <c r="A159" s="11" t="s">
        <v>326</v>
      </c>
      <c r="B159" s="11">
        <v>2020.0</v>
      </c>
      <c r="C159" s="12" t="str">
        <f>VLOOKUP(A159, Regions!A:B, 2, FALSE)
</f>
        <v>Sub-Saharan Africa</v>
      </c>
      <c r="D159" s="13" t="str">
        <f t="shared" si="1"/>
        <v/>
      </c>
      <c r="E159" s="14" t="str">
        <f t="shared" si="2"/>
        <v/>
      </c>
      <c r="F159" s="11" t="s">
        <v>329</v>
      </c>
      <c r="G159" s="11">
        <v>62.58199692</v>
      </c>
      <c r="H159" s="11">
        <v>80.94040714</v>
      </c>
      <c r="I159" s="15">
        <f t="shared" si="3"/>
        <v>81</v>
      </c>
      <c r="J159" s="16" t="str">
        <f t="shared" si="4"/>
        <v/>
      </c>
      <c r="K159" s="16" t="str">
        <f t="shared" si="5"/>
        <v/>
      </c>
      <c r="L159" s="16" t="str">
        <f t="shared" si="6"/>
        <v/>
      </c>
      <c r="M159" s="16" t="str">
        <f t="shared" si="7"/>
        <v>ARC&gt;0</v>
      </c>
      <c r="N159" s="13" t="str">
        <f t="shared" si="8"/>
        <v/>
      </c>
      <c r="O159" s="11">
        <v>8.597391391</v>
      </c>
      <c r="P159" s="11">
        <v>10.35285207</v>
      </c>
      <c r="Q159" s="11">
        <v>0.1093493927</v>
      </c>
      <c r="R159" s="11">
        <v>69.18852321</v>
      </c>
      <c r="S159" s="15">
        <f t="shared" si="9"/>
        <v>69</v>
      </c>
      <c r="T159" s="17" t="str">
        <f t="shared" si="10"/>
        <v/>
      </c>
      <c r="U159" s="17" t="str">
        <f t="shared" si="11"/>
        <v/>
      </c>
      <c r="V159" s="17" t="str">
        <f t="shared" si="12"/>
        <v/>
      </c>
      <c r="W159" s="17" t="str">
        <f t="shared" si="13"/>
        <v>ARC&gt;0</v>
      </c>
      <c r="X159" s="13" t="str">
        <f t="shared" si="14"/>
        <v/>
      </c>
      <c r="Y159" s="11">
        <v>16.49783239</v>
      </c>
      <c r="Z159" s="11">
        <v>14.24376547</v>
      </c>
      <c r="AA159" s="11">
        <v>0.0698789368</v>
      </c>
      <c r="AB159" s="11">
        <v>87.96690427</v>
      </c>
      <c r="AC159" s="15">
        <f t="shared" si="15"/>
        <v>88</v>
      </c>
      <c r="AD159" s="16" t="str">
        <f t="shared" si="16"/>
        <v/>
      </c>
      <c r="AE159" s="16" t="str">
        <f t="shared" si="17"/>
        <v/>
      </c>
      <c r="AF159" s="16" t="str">
        <f t="shared" si="18"/>
        <v/>
      </c>
      <c r="AG159" s="16" t="str">
        <f t="shared" si="19"/>
        <v>ARC&gt;0</v>
      </c>
      <c r="AH159" s="13" t="str">
        <f t="shared" si="20"/>
        <v/>
      </c>
      <c r="AI159" s="11">
        <v>3.873689522</v>
      </c>
      <c r="AJ159" s="11">
        <v>8.026457278</v>
      </c>
      <c r="AK159" s="11" t="s">
        <v>330</v>
      </c>
      <c r="AL159" s="18" t="str">
        <f t="shared" si="21"/>
        <v/>
      </c>
    </row>
    <row r="160" ht="15.75" customHeight="1">
      <c r="A160" s="11" t="s">
        <v>331</v>
      </c>
      <c r="B160" s="11">
        <v>2015.0</v>
      </c>
      <c r="C160" s="12" t="str">
        <f>VLOOKUP(A160, Regions!A:B, 2, FALSE)
</f>
        <v>Europe &amp; Central Asia</v>
      </c>
      <c r="D160" s="13">
        <f t="shared" si="1"/>
        <v>5</v>
      </c>
      <c r="E160" s="14">
        <f t="shared" si="2"/>
        <v>2017.5</v>
      </c>
      <c r="F160" s="11" t="s">
        <v>332</v>
      </c>
      <c r="G160" s="11">
        <v>57.44799805</v>
      </c>
      <c r="H160" s="11">
        <v>95.75472951</v>
      </c>
      <c r="I160" s="15">
        <f t="shared" si="3"/>
        <v>96</v>
      </c>
      <c r="J160" s="16" t="str">
        <f t="shared" si="4"/>
        <v/>
      </c>
      <c r="K160" s="16" t="str">
        <f t="shared" si="5"/>
        <v/>
      </c>
      <c r="L160" s="16" t="str">
        <f t="shared" si="6"/>
        <v/>
      </c>
      <c r="M160" s="16" t="str">
        <f t="shared" si="7"/>
        <v>ARC&gt;0</v>
      </c>
      <c r="N160" s="13">
        <f t="shared" si="8"/>
        <v>0.318682038</v>
      </c>
      <c r="O160" s="11">
        <v>0.9519645583</v>
      </c>
      <c r="P160" s="11">
        <v>3.239894931</v>
      </c>
      <c r="Q160" s="11">
        <v>0.0534109954</v>
      </c>
      <c r="R160" s="11">
        <v>91.29515059</v>
      </c>
      <c r="S160" s="15">
        <f t="shared" si="9"/>
        <v>91</v>
      </c>
      <c r="T160" s="17" t="str">
        <f t="shared" si="10"/>
        <v/>
      </c>
      <c r="U160" s="17" t="str">
        <f t="shared" si="11"/>
        <v/>
      </c>
      <c r="V160" s="17" t="str">
        <f t="shared" si="12"/>
        <v/>
      </c>
      <c r="W160" s="17" t="str">
        <f t="shared" si="13"/>
        <v>ARC&gt;0</v>
      </c>
      <c r="X160" s="13">
        <f t="shared" si="14"/>
        <v>0.595346722</v>
      </c>
      <c r="Y160" s="11">
        <v>1.893756292</v>
      </c>
      <c r="Z160" s="11">
        <v>6.700216388</v>
      </c>
      <c r="AA160" s="11">
        <v>0.1108767321</v>
      </c>
      <c r="AB160" s="11">
        <v>99.05796545</v>
      </c>
      <c r="AC160" s="15">
        <f t="shared" si="15"/>
        <v>99</v>
      </c>
      <c r="AD160" s="16" t="str">
        <f t="shared" si="16"/>
        <v/>
      </c>
      <c r="AE160" s="16" t="str">
        <f t="shared" si="17"/>
        <v/>
      </c>
      <c r="AF160" s="16" t="str">
        <f t="shared" si="18"/>
        <v/>
      </c>
      <c r="AG160" s="16" t="str">
        <f t="shared" si="19"/>
        <v>ARC&gt;0</v>
      </c>
      <c r="AH160" s="13">
        <f t="shared" si="20"/>
        <v>0.077637698</v>
      </c>
      <c r="AI160" s="11">
        <v>0.2543750856</v>
      </c>
      <c r="AJ160" s="11">
        <v>0.6768136054</v>
      </c>
      <c r="AK160" s="11" t="s">
        <v>333</v>
      </c>
      <c r="AL160" s="18">
        <f t="shared" si="21"/>
        <v>0.517709024</v>
      </c>
    </row>
    <row r="161" ht="15.75" customHeight="1">
      <c r="A161" s="11" t="s">
        <v>331</v>
      </c>
      <c r="B161" s="11">
        <v>2020.0</v>
      </c>
      <c r="C161" s="12" t="str">
        <f>VLOOKUP(A161, Regions!A:B, 2, FALSE)
</f>
        <v>Europe &amp; Central Asia</v>
      </c>
      <c r="D161" s="13" t="str">
        <f t="shared" si="1"/>
        <v/>
      </c>
      <c r="E161" s="14" t="str">
        <f t="shared" si="2"/>
        <v/>
      </c>
      <c r="F161" s="11" t="s">
        <v>334</v>
      </c>
      <c r="G161" s="11">
        <v>59.4529953</v>
      </c>
      <c r="H161" s="11">
        <v>97.3481397</v>
      </c>
      <c r="I161" s="15">
        <f t="shared" si="3"/>
        <v>97</v>
      </c>
      <c r="J161" s="16" t="str">
        <f t="shared" si="4"/>
        <v/>
      </c>
      <c r="K161" s="16" t="str">
        <f t="shared" si="5"/>
        <v/>
      </c>
      <c r="L161" s="16" t="str">
        <f t="shared" si="6"/>
        <v/>
      </c>
      <c r="M161" s="16" t="str">
        <f t="shared" si="7"/>
        <v>ARC&gt;0</v>
      </c>
      <c r="N161" s="13" t="str">
        <f t="shared" si="8"/>
        <v/>
      </c>
      <c r="O161" s="11">
        <v>0.0</v>
      </c>
      <c r="P161" s="11">
        <v>2.632761379</v>
      </c>
      <c r="Q161" s="11">
        <v>0.01909892327</v>
      </c>
      <c r="R161" s="11">
        <v>94.2718842</v>
      </c>
      <c r="S161" s="15">
        <f t="shared" si="9"/>
        <v>94</v>
      </c>
      <c r="T161" s="17" t="str">
        <f t="shared" si="10"/>
        <v/>
      </c>
      <c r="U161" s="17" t="str">
        <f t="shared" si="11"/>
        <v/>
      </c>
      <c r="V161" s="17" t="str">
        <f t="shared" si="12"/>
        <v/>
      </c>
      <c r="W161" s="17" t="str">
        <f t="shared" si="13"/>
        <v>ARC&gt;0</v>
      </c>
      <c r="X161" s="13" t="str">
        <f t="shared" si="14"/>
        <v/>
      </c>
      <c r="Y161" s="11">
        <v>0.0</v>
      </c>
      <c r="Z161" s="11">
        <v>5.703923618</v>
      </c>
      <c r="AA161" s="11">
        <v>0.02419218345</v>
      </c>
      <c r="AB161" s="11">
        <v>99.44615394</v>
      </c>
      <c r="AC161" s="15">
        <f t="shared" si="15"/>
        <v>99</v>
      </c>
      <c r="AD161" s="16" t="str">
        <f t="shared" si="16"/>
        <v/>
      </c>
      <c r="AE161" s="16" t="str">
        <f t="shared" si="17"/>
        <v/>
      </c>
      <c r="AF161" s="16" t="str">
        <f t="shared" si="18"/>
        <v/>
      </c>
      <c r="AG161" s="16" t="str">
        <f t="shared" si="19"/>
        <v>ARC&gt;0</v>
      </c>
      <c r="AH161" s="13" t="str">
        <f t="shared" si="20"/>
        <v/>
      </c>
      <c r="AI161" s="11">
        <v>0.0</v>
      </c>
      <c r="AJ161" s="11">
        <v>0.538220742</v>
      </c>
      <c r="AK161" s="11" t="s">
        <v>335</v>
      </c>
      <c r="AL161" s="18" t="str">
        <f t="shared" si="21"/>
        <v/>
      </c>
    </row>
    <row r="162" ht="15.75" customHeight="1">
      <c r="A162" s="11" t="s">
        <v>336</v>
      </c>
      <c r="B162" s="11">
        <v>2015.0</v>
      </c>
      <c r="C162" s="12" t="str">
        <f>VLOOKUP(A162, Regions!A:B, 2, FALSE)
</f>
        <v>Europe &amp; Central Asia</v>
      </c>
      <c r="D162" s="13">
        <f t="shared" si="1"/>
        <v>5</v>
      </c>
      <c r="E162" s="14">
        <f t="shared" si="2"/>
        <v>2017.5</v>
      </c>
      <c r="F162" s="11" t="s">
        <v>337</v>
      </c>
      <c r="G162" s="11">
        <v>77.20000458</v>
      </c>
      <c r="H162" s="11">
        <v>100.0000024</v>
      </c>
      <c r="I162" s="15">
        <f t="shared" si="3"/>
        <v>100</v>
      </c>
      <c r="J162" s="16" t="str">
        <f t="shared" si="4"/>
        <v>full access</v>
      </c>
      <c r="K162" s="16" t="str">
        <f t="shared" si="5"/>
        <v/>
      </c>
      <c r="L162" s="16" t="str">
        <f t="shared" si="6"/>
        <v/>
      </c>
      <c r="M162" s="16" t="str">
        <f t="shared" si="7"/>
        <v/>
      </c>
      <c r="N162" s="13">
        <f t="shared" si="8"/>
        <v>-0.00000001999999881</v>
      </c>
      <c r="O162" s="11">
        <v>0.0</v>
      </c>
      <c r="P162" s="11">
        <v>0.0</v>
      </c>
      <c r="Q162" s="11">
        <v>0.0</v>
      </c>
      <c r="R162" s="11">
        <v>100.0</v>
      </c>
      <c r="S162" s="15">
        <f t="shared" si="9"/>
        <v>100</v>
      </c>
      <c r="T162" s="17" t="str">
        <f t="shared" si="10"/>
        <v>full access</v>
      </c>
      <c r="U162" s="17" t="str">
        <f t="shared" si="11"/>
        <v/>
      </c>
      <c r="V162" s="17" t="str">
        <f t="shared" si="12"/>
        <v/>
      </c>
      <c r="W162" s="17" t="str">
        <f t="shared" si="13"/>
        <v>ARC&gt;0</v>
      </c>
      <c r="X162" s="13">
        <f t="shared" si="14"/>
        <v>0</v>
      </c>
      <c r="Y162" s="11">
        <v>0.0</v>
      </c>
      <c r="Z162" s="11">
        <v>0.0</v>
      </c>
      <c r="AA162" s="11">
        <v>0.0</v>
      </c>
      <c r="AB162" s="11">
        <v>100.0</v>
      </c>
      <c r="AC162" s="15">
        <f t="shared" si="15"/>
        <v>100</v>
      </c>
      <c r="AD162" s="16" t="str">
        <f t="shared" si="16"/>
        <v>full access</v>
      </c>
      <c r="AE162" s="16" t="str">
        <f t="shared" si="17"/>
        <v/>
      </c>
      <c r="AF162" s="16" t="str">
        <f t="shared" si="18"/>
        <v/>
      </c>
      <c r="AG162" s="16" t="str">
        <f t="shared" si="19"/>
        <v>ARC&gt;0</v>
      </c>
      <c r="AH162" s="13">
        <f t="shared" si="20"/>
        <v>0</v>
      </c>
      <c r="AI162" s="11">
        <v>0.0</v>
      </c>
      <c r="AJ162" s="11">
        <v>0.0</v>
      </c>
      <c r="AK162" s="11" t="s">
        <v>43</v>
      </c>
      <c r="AL162" s="18">
        <f t="shared" si="21"/>
        <v>0</v>
      </c>
    </row>
    <row r="163" ht="15.75" customHeight="1">
      <c r="A163" s="11" t="s">
        <v>336</v>
      </c>
      <c r="B163" s="11">
        <v>2020.0</v>
      </c>
      <c r="C163" s="12" t="str">
        <f>VLOOKUP(A163, Regions!A:B, 2, FALSE)
</f>
        <v>Europe &amp; Central Asia</v>
      </c>
      <c r="D163" s="13" t="str">
        <f t="shared" si="1"/>
        <v/>
      </c>
      <c r="E163" s="14" t="str">
        <f t="shared" si="2"/>
        <v/>
      </c>
      <c r="F163" s="11" t="s">
        <v>338</v>
      </c>
      <c r="G163" s="11">
        <v>77.45300293</v>
      </c>
      <c r="H163" s="11">
        <v>100.0000023</v>
      </c>
      <c r="I163" s="15">
        <f t="shared" si="3"/>
        <v>100</v>
      </c>
      <c r="J163" s="16" t="str">
        <f t="shared" si="4"/>
        <v/>
      </c>
      <c r="K163" s="16" t="str">
        <f t="shared" si="5"/>
        <v/>
      </c>
      <c r="L163" s="16" t="str">
        <f t="shared" si="6"/>
        <v/>
      </c>
      <c r="M163" s="16" t="str">
        <f t="shared" si="7"/>
        <v>ARC&gt;0</v>
      </c>
      <c r="N163" s="13" t="str">
        <f t="shared" si="8"/>
        <v/>
      </c>
      <c r="O163" s="11">
        <v>0.0</v>
      </c>
      <c r="P163" s="11">
        <v>0.0</v>
      </c>
      <c r="Q163" s="11">
        <v>0.0</v>
      </c>
      <c r="R163" s="11">
        <v>100.0</v>
      </c>
      <c r="S163" s="15">
        <f t="shared" si="9"/>
        <v>100</v>
      </c>
      <c r="T163" s="17" t="str">
        <f t="shared" si="10"/>
        <v/>
      </c>
      <c r="U163" s="17" t="str">
        <f t="shared" si="11"/>
        <v/>
      </c>
      <c r="V163" s="17" t="str">
        <f t="shared" si="12"/>
        <v/>
      </c>
      <c r="W163" s="17" t="str">
        <f t="shared" si="13"/>
        <v>ARC&gt;0</v>
      </c>
      <c r="X163" s="13" t="str">
        <f t="shared" si="14"/>
        <v/>
      </c>
      <c r="Y163" s="11">
        <v>0.0</v>
      </c>
      <c r="Z163" s="11">
        <v>0.0</v>
      </c>
      <c r="AA163" s="11">
        <v>0.0</v>
      </c>
      <c r="AB163" s="11">
        <v>100.0</v>
      </c>
      <c r="AC163" s="15">
        <f t="shared" si="15"/>
        <v>100</v>
      </c>
      <c r="AD163" s="16" t="str">
        <f t="shared" si="16"/>
        <v/>
      </c>
      <c r="AE163" s="16" t="str">
        <f t="shared" si="17"/>
        <v/>
      </c>
      <c r="AF163" s="16" t="str">
        <f t="shared" si="18"/>
        <v/>
      </c>
      <c r="AG163" s="16" t="str">
        <f t="shared" si="19"/>
        <v>ARC&gt;0</v>
      </c>
      <c r="AH163" s="13" t="str">
        <f t="shared" si="20"/>
        <v/>
      </c>
      <c r="AI163" s="11">
        <v>0.0</v>
      </c>
      <c r="AJ163" s="11">
        <v>0.0</v>
      </c>
      <c r="AK163" s="11" t="s">
        <v>43</v>
      </c>
      <c r="AL163" s="18" t="str">
        <f t="shared" si="21"/>
        <v/>
      </c>
    </row>
    <row r="164" ht="15.75" customHeight="1">
      <c r="A164" s="11" t="s">
        <v>339</v>
      </c>
      <c r="B164" s="11">
        <v>2015.0</v>
      </c>
      <c r="C164" s="12" t="str">
        <f>VLOOKUP(A164, Regions!A:B, 2, FALSE)
</f>
        <v>Sub-Saharan Africa</v>
      </c>
      <c r="D164" s="13">
        <f t="shared" si="1"/>
        <v>5</v>
      </c>
      <c r="E164" s="14">
        <f t="shared" si="2"/>
        <v>2017.5</v>
      </c>
      <c r="F164" s="11" t="s">
        <v>340</v>
      </c>
      <c r="G164" s="11">
        <v>54.08599854</v>
      </c>
      <c r="H164" s="11">
        <v>80.15796123</v>
      </c>
      <c r="I164" s="15">
        <f t="shared" si="3"/>
        <v>80</v>
      </c>
      <c r="J164" s="16" t="str">
        <f t="shared" si="4"/>
        <v/>
      </c>
      <c r="K164" s="16" t="str">
        <f t="shared" si="5"/>
        <v/>
      </c>
      <c r="L164" s="16" t="str">
        <f t="shared" si="6"/>
        <v/>
      </c>
      <c r="M164" s="16" t="str">
        <f t="shared" si="7"/>
        <v>ARC&gt;0</v>
      </c>
      <c r="N164" s="13">
        <f t="shared" si="8"/>
        <v>1.126607084</v>
      </c>
      <c r="O164" s="11">
        <v>7.89759919</v>
      </c>
      <c r="P164" s="11">
        <v>4.426643676</v>
      </c>
      <c r="Q164" s="11">
        <v>7.517795899</v>
      </c>
      <c r="R164" s="11">
        <v>67.20830477</v>
      </c>
      <c r="S164" s="15">
        <f t="shared" si="9"/>
        <v>67</v>
      </c>
      <c r="T164" s="17" t="str">
        <f t="shared" si="10"/>
        <v/>
      </c>
      <c r="U164" s="17" t="str">
        <f t="shared" si="11"/>
        <v/>
      </c>
      <c r="V164" s="17" t="str">
        <f t="shared" si="12"/>
        <v/>
      </c>
      <c r="W164" s="17" t="str">
        <f t="shared" si="13"/>
        <v>ARC&gt;0</v>
      </c>
      <c r="X164" s="13">
        <f t="shared" si="14"/>
        <v>0.936889056</v>
      </c>
      <c r="Y164" s="11">
        <v>11.1534648</v>
      </c>
      <c r="Z164" s="11">
        <v>6.335259242</v>
      </c>
      <c r="AA164" s="11">
        <v>15.30297119</v>
      </c>
      <c r="AB164" s="11">
        <v>91.15101984</v>
      </c>
      <c r="AC164" s="15">
        <f t="shared" si="15"/>
        <v>91</v>
      </c>
      <c r="AD164" s="16" t="str">
        <f t="shared" si="16"/>
        <v/>
      </c>
      <c r="AE164" s="16" t="str">
        <f t="shared" si="17"/>
        <v/>
      </c>
      <c r="AF164" s="16" t="str">
        <f t="shared" si="18"/>
        <v/>
      </c>
      <c r="AG164" s="16" t="str">
        <f t="shared" si="19"/>
        <v>ARC&gt;0</v>
      </c>
      <c r="AH164" s="13">
        <f t="shared" si="20"/>
        <v>0.995247936</v>
      </c>
      <c r="AI164" s="11">
        <v>5.133670929</v>
      </c>
      <c r="AJ164" s="11">
        <v>2.806405888</v>
      </c>
      <c r="AK164" s="11" t="s">
        <v>341</v>
      </c>
      <c r="AL164" s="18">
        <f t="shared" si="21"/>
        <v>-0.05835888</v>
      </c>
    </row>
    <row r="165" ht="15.75" customHeight="1">
      <c r="A165" s="11" t="s">
        <v>339</v>
      </c>
      <c r="B165" s="11">
        <v>2020.0</v>
      </c>
      <c r="C165" s="12" t="str">
        <f>VLOOKUP(A165, Regions!A:B, 2, FALSE)
</f>
        <v>Sub-Saharan Africa</v>
      </c>
      <c r="D165" s="13" t="str">
        <f t="shared" si="1"/>
        <v/>
      </c>
      <c r="E165" s="14" t="str">
        <f t="shared" si="2"/>
        <v/>
      </c>
      <c r="F165" s="11" t="s">
        <v>342</v>
      </c>
      <c r="G165" s="11">
        <v>57.34899902</v>
      </c>
      <c r="H165" s="11">
        <v>85.79099665</v>
      </c>
      <c r="I165" s="15">
        <f t="shared" si="3"/>
        <v>86</v>
      </c>
      <c r="J165" s="16" t="str">
        <f t="shared" si="4"/>
        <v/>
      </c>
      <c r="K165" s="16" t="str">
        <f t="shared" si="5"/>
        <v/>
      </c>
      <c r="L165" s="16" t="str">
        <f t="shared" si="6"/>
        <v/>
      </c>
      <c r="M165" s="16" t="str">
        <f t="shared" si="7"/>
        <v>ARC&gt;0</v>
      </c>
      <c r="N165" s="13" t="str">
        <f t="shared" si="8"/>
        <v/>
      </c>
      <c r="O165" s="11">
        <v>6.586062113</v>
      </c>
      <c r="P165" s="11">
        <v>2.812216176</v>
      </c>
      <c r="Q165" s="11">
        <v>4.810725058</v>
      </c>
      <c r="R165" s="11">
        <v>71.89275005</v>
      </c>
      <c r="S165" s="15">
        <f t="shared" si="9"/>
        <v>72</v>
      </c>
      <c r="T165" s="17" t="str">
        <f t="shared" si="10"/>
        <v/>
      </c>
      <c r="U165" s="17" t="str">
        <f t="shared" si="11"/>
        <v/>
      </c>
      <c r="V165" s="17" t="str">
        <f t="shared" si="12"/>
        <v/>
      </c>
      <c r="W165" s="17" t="str">
        <f t="shared" si="13"/>
        <v>ARC&gt;0</v>
      </c>
      <c r="X165" s="13" t="str">
        <f t="shared" si="14"/>
        <v/>
      </c>
      <c r="Y165" s="11">
        <v>11.93454827</v>
      </c>
      <c r="Z165" s="11">
        <v>4.999356483</v>
      </c>
      <c r="AA165" s="11">
        <v>11.17334519</v>
      </c>
      <c r="AB165" s="11">
        <v>96.12725952</v>
      </c>
      <c r="AC165" s="15">
        <f t="shared" si="15"/>
        <v>96</v>
      </c>
      <c r="AD165" s="16" t="str">
        <f t="shared" si="16"/>
        <v/>
      </c>
      <c r="AE165" s="16" t="str">
        <f t="shared" si="17"/>
        <v/>
      </c>
      <c r="AF165" s="16" t="str">
        <f t="shared" si="18"/>
        <v/>
      </c>
      <c r="AG165" s="16" t="str">
        <f t="shared" si="19"/>
        <v>ARC&gt;0</v>
      </c>
      <c r="AH165" s="13" t="str">
        <f t="shared" si="20"/>
        <v/>
      </c>
      <c r="AI165" s="11">
        <v>2.608342455</v>
      </c>
      <c r="AJ165" s="11">
        <v>1.185613803</v>
      </c>
      <c r="AK165" s="11" t="s">
        <v>343</v>
      </c>
      <c r="AL165" s="18" t="str">
        <f t="shared" si="21"/>
        <v/>
      </c>
    </row>
    <row r="166" ht="15.75" customHeight="1">
      <c r="A166" s="11" t="s">
        <v>344</v>
      </c>
      <c r="B166" s="11">
        <v>2015.0</v>
      </c>
      <c r="C166" s="12" t="str">
        <f>VLOOKUP(A166, Regions!A:B, 2, FALSE)
</f>
        <v>Europe &amp; Central Asia</v>
      </c>
      <c r="D166" s="13">
        <f t="shared" si="1"/>
        <v>5</v>
      </c>
      <c r="E166" s="14">
        <f t="shared" si="2"/>
        <v>2017.5</v>
      </c>
      <c r="F166" s="11" t="s">
        <v>345</v>
      </c>
      <c r="G166" s="11">
        <v>100.0</v>
      </c>
      <c r="H166" s="11">
        <v>100.0</v>
      </c>
      <c r="I166" s="15">
        <f t="shared" si="3"/>
        <v>100</v>
      </c>
      <c r="J166" s="16" t="str">
        <f t="shared" si="4"/>
        <v>full access</v>
      </c>
      <c r="K166" s="16" t="str">
        <f t="shared" si="5"/>
        <v/>
      </c>
      <c r="L166" s="16" t="str">
        <f t="shared" si="6"/>
        <v/>
      </c>
      <c r="M166" s="16" t="str">
        <f t="shared" si="7"/>
        <v/>
      </c>
      <c r="N166" s="13">
        <f t="shared" si="8"/>
        <v>0</v>
      </c>
      <c r="O166" s="11">
        <v>0.0</v>
      </c>
      <c r="P166" s="11">
        <v>0.0</v>
      </c>
      <c r="Q166" s="11">
        <v>0.0</v>
      </c>
      <c r="S166" s="15">
        <f t="shared" si="9"/>
        <v>0</v>
      </c>
      <c r="T166" s="17" t="str">
        <f t="shared" si="10"/>
        <v/>
      </c>
      <c r="U166" s="17" t="str">
        <f t="shared" si="11"/>
        <v>ARC=0</v>
      </c>
      <c r="V166" s="17" t="str">
        <f t="shared" si="12"/>
        <v/>
      </c>
      <c r="W166" s="17" t="str">
        <f t="shared" si="13"/>
        <v/>
      </c>
      <c r="X166" s="13">
        <f t="shared" si="14"/>
        <v>0</v>
      </c>
      <c r="AB166" s="11">
        <v>100.0</v>
      </c>
      <c r="AC166" s="15">
        <f t="shared" si="15"/>
        <v>100</v>
      </c>
      <c r="AD166" s="16" t="str">
        <f t="shared" si="16"/>
        <v>full access</v>
      </c>
      <c r="AE166" s="16" t="str">
        <f t="shared" si="17"/>
        <v/>
      </c>
      <c r="AF166" s="16" t="str">
        <f t="shared" si="18"/>
        <v/>
      </c>
      <c r="AG166" s="16" t="str">
        <f t="shared" si="19"/>
        <v>ARC&gt;0</v>
      </c>
      <c r="AH166" s="13">
        <f t="shared" si="20"/>
        <v>0</v>
      </c>
      <c r="AI166" s="11">
        <v>0.0</v>
      </c>
      <c r="AJ166" s="11">
        <v>0.0</v>
      </c>
      <c r="AK166" s="11" t="s">
        <v>43</v>
      </c>
      <c r="AL166" s="18">
        <f t="shared" si="21"/>
        <v>0</v>
      </c>
    </row>
    <row r="167" ht="15.75" customHeight="1">
      <c r="A167" s="11" t="s">
        <v>344</v>
      </c>
      <c r="B167" s="11">
        <v>2020.0</v>
      </c>
      <c r="C167" s="12" t="str">
        <f>VLOOKUP(A167, Regions!A:B, 2, FALSE)
</f>
        <v>Europe &amp; Central Asia</v>
      </c>
      <c r="D167" s="13" t="str">
        <f t="shared" si="1"/>
        <v/>
      </c>
      <c r="E167" s="14" t="str">
        <f t="shared" si="2"/>
        <v/>
      </c>
      <c r="F167" s="11" t="s">
        <v>346</v>
      </c>
      <c r="G167" s="11">
        <v>100.0</v>
      </c>
      <c r="H167" s="11">
        <v>100.0</v>
      </c>
      <c r="I167" s="15">
        <f t="shared" si="3"/>
        <v>100</v>
      </c>
      <c r="J167" s="16" t="str">
        <f t="shared" si="4"/>
        <v/>
      </c>
      <c r="K167" s="16" t="str">
        <f t="shared" si="5"/>
        <v/>
      </c>
      <c r="L167" s="16" t="str">
        <f t="shared" si="6"/>
        <v/>
      </c>
      <c r="M167" s="16" t="str">
        <f t="shared" si="7"/>
        <v>ARC&gt;0</v>
      </c>
      <c r="N167" s="13" t="str">
        <f t="shared" si="8"/>
        <v/>
      </c>
      <c r="O167" s="11">
        <v>0.0</v>
      </c>
      <c r="P167" s="11">
        <v>0.0</v>
      </c>
      <c r="Q167" s="11">
        <v>0.0</v>
      </c>
      <c r="S167" s="15">
        <f t="shared" si="9"/>
        <v>0</v>
      </c>
      <c r="T167" s="17" t="str">
        <f t="shared" si="10"/>
        <v/>
      </c>
      <c r="U167" s="17" t="str">
        <f t="shared" si="11"/>
        <v>ARC=0</v>
      </c>
      <c r="V167" s="17" t="str">
        <f t="shared" si="12"/>
        <v/>
      </c>
      <c r="W167" s="17" t="str">
        <f t="shared" si="13"/>
        <v/>
      </c>
      <c r="X167" s="13" t="str">
        <f t="shared" si="14"/>
        <v/>
      </c>
      <c r="AB167" s="11">
        <v>100.0</v>
      </c>
      <c r="AC167" s="15">
        <f t="shared" si="15"/>
        <v>100</v>
      </c>
      <c r="AD167" s="16" t="str">
        <f t="shared" si="16"/>
        <v/>
      </c>
      <c r="AE167" s="16" t="str">
        <f t="shared" si="17"/>
        <v/>
      </c>
      <c r="AF167" s="16" t="str">
        <f t="shared" si="18"/>
        <v/>
      </c>
      <c r="AG167" s="16" t="str">
        <f t="shared" si="19"/>
        <v>ARC&gt;0</v>
      </c>
      <c r="AH167" s="13" t="str">
        <f t="shared" si="20"/>
        <v/>
      </c>
      <c r="AI167" s="11">
        <v>0.0</v>
      </c>
      <c r="AJ167" s="11">
        <v>0.0</v>
      </c>
      <c r="AK167" s="11" t="s">
        <v>43</v>
      </c>
      <c r="AL167" s="18" t="str">
        <f t="shared" si="21"/>
        <v/>
      </c>
    </row>
    <row r="168" ht="15.75" customHeight="1">
      <c r="A168" s="11" t="s">
        <v>347</v>
      </c>
      <c r="B168" s="11">
        <v>2015.0</v>
      </c>
      <c r="C168" s="12" t="str">
        <f>VLOOKUP(A168, Regions!A:B, 2, FALSE)
</f>
        <v>Europe &amp; Central Asia</v>
      </c>
      <c r="D168" s="13">
        <f t="shared" si="1"/>
        <v>5</v>
      </c>
      <c r="E168" s="14">
        <f t="shared" si="2"/>
        <v>2017.5</v>
      </c>
      <c r="F168" s="11" t="s">
        <v>348</v>
      </c>
      <c r="G168" s="11">
        <v>78.04600525</v>
      </c>
      <c r="H168" s="11">
        <v>100.0000046</v>
      </c>
      <c r="I168" s="15">
        <f t="shared" si="3"/>
        <v>100</v>
      </c>
      <c r="J168" s="16" t="str">
        <f t="shared" si="4"/>
        <v>full access</v>
      </c>
      <c r="K168" s="16" t="str">
        <f t="shared" si="5"/>
        <v/>
      </c>
      <c r="L168" s="16" t="str">
        <f t="shared" si="6"/>
        <v/>
      </c>
      <c r="M168" s="16" t="str">
        <f t="shared" si="7"/>
        <v/>
      </c>
      <c r="N168" s="13">
        <f t="shared" si="8"/>
        <v>-0.0000004599999983</v>
      </c>
      <c r="O168" s="11">
        <v>0.0</v>
      </c>
      <c r="P168" s="11">
        <v>0.0</v>
      </c>
      <c r="Q168" s="11">
        <v>0.0</v>
      </c>
      <c r="R168" s="11">
        <v>100.0</v>
      </c>
      <c r="S168" s="15">
        <f t="shared" si="9"/>
        <v>100</v>
      </c>
      <c r="T168" s="17" t="str">
        <f t="shared" si="10"/>
        <v>full access</v>
      </c>
      <c r="U168" s="17" t="str">
        <f t="shared" si="11"/>
        <v/>
      </c>
      <c r="V168" s="17" t="str">
        <f t="shared" si="12"/>
        <v/>
      </c>
      <c r="W168" s="17" t="str">
        <f t="shared" si="13"/>
        <v>ARC&gt;0</v>
      </c>
      <c r="X168" s="13">
        <f t="shared" si="14"/>
        <v>0</v>
      </c>
      <c r="Y168" s="11">
        <v>0.0</v>
      </c>
      <c r="Z168" s="11">
        <v>0.0</v>
      </c>
      <c r="AA168" s="11">
        <v>0.0</v>
      </c>
      <c r="AB168" s="11">
        <v>100.0</v>
      </c>
      <c r="AC168" s="15">
        <f t="shared" si="15"/>
        <v>100</v>
      </c>
      <c r="AD168" s="16" t="str">
        <f t="shared" si="16"/>
        <v>full access</v>
      </c>
      <c r="AE168" s="16" t="str">
        <f t="shared" si="17"/>
        <v/>
      </c>
      <c r="AF168" s="16" t="str">
        <f t="shared" si="18"/>
        <v/>
      </c>
      <c r="AG168" s="16" t="str">
        <f t="shared" si="19"/>
        <v>ARC&gt;0</v>
      </c>
      <c r="AH168" s="13">
        <f t="shared" si="20"/>
        <v>0</v>
      </c>
      <c r="AI168" s="11">
        <v>0.0</v>
      </c>
      <c r="AJ168" s="11">
        <v>0.0</v>
      </c>
      <c r="AK168" s="11" t="s">
        <v>43</v>
      </c>
      <c r="AL168" s="18">
        <f t="shared" si="21"/>
        <v>0</v>
      </c>
    </row>
    <row r="169" ht="15.75" customHeight="1">
      <c r="A169" s="11" t="s">
        <v>347</v>
      </c>
      <c r="B169" s="11">
        <v>2020.0</v>
      </c>
      <c r="C169" s="12" t="str">
        <f>VLOOKUP(A169, Regions!A:B, 2, FALSE)
</f>
        <v>Europe &amp; Central Asia</v>
      </c>
      <c r="D169" s="13" t="str">
        <f t="shared" si="1"/>
        <v/>
      </c>
      <c r="E169" s="14" t="str">
        <f t="shared" si="2"/>
        <v/>
      </c>
      <c r="F169" s="11" t="s">
        <v>349</v>
      </c>
      <c r="G169" s="11">
        <v>79.71500397</v>
      </c>
      <c r="H169" s="11">
        <v>100.0000023</v>
      </c>
      <c r="I169" s="15">
        <f t="shared" si="3"/>
        <v>100</v>
      </c>
      <c r="J169" s="16" t="str">
        <f t="shared" si="4"/>
        <v/>
      </c>
      <c r="K169" s="16" t="str">
        <f t="shared" si="5"/>
        <v/>
      </c>
      <c r="L169" s="16" t="str">
        <f t="shared" si="6"/>
        <v/>
      </c>
      <c r="M169" s="16" t="str">
        <f t="shared" si="7"/>
        <v>ARC&gt;0</v>
      </c>
      <c r="N169" s="13" t="str">
        <f t="shared" si="8"/>
        <v/>
      </c>
      <c r="O169" s="11">
        <v>0.0</v>
      </c>
      <c r="P169" s="11">
        <v>0.0</v>
      </c>
      <c r="Q169" s="11">
        <v>0.0</v>
      </c>
      <c r="R169" s="11">
        <v>100.0</v>
      </c>
      <c r="S169" s="15">
        <f t="shared" si="9"/>
        <v>100</v>
      </c>
      <c r="T169" s="17" t="str">
        <f t="shared" si="10"/>
        <v/>
      </c>
      <c r="U169" s="17" t="str">
        <f t="shared" si="11"/>
        <v/>
      </c>
      <c r="V169" s="17" t="str">
        <f t="shared" si="12"/>
        <v/>
      </c>
      <c r="W169" s="17" t="str">
        <f t="shared" si="13"/>
        <v>ARC&gt;0</v>
      </c>
      <c r="X169" s="13" t="str">
        <f t="shared" si="14"/>
        <v/>
      </c>
      <c r="Y169" s="11">
        <v>0.0</v>
      </c>
      <c r="Z169" s="11">
        <v>0.0</v>
      </c>
      <c r="AA169" s="11">
        <v>0.0</v>
      </c>
      <c r="AB169" s="11">
        <v>100.0</v>
      </c>
      <c r="AC169" s="15">
        <f t="shared" si="15"/>
        <v>100</v>
      </c>
      <c r="AD169" s="16" t="str">
        <f t="shared" si="16"/>
        <v/>
      </c>
      <c r="AE169" s="16" t="str">
        <f t="shared" si="17"/>
        <v/>
      </c>
      <c r="AF169" s="16" t="str">
        <f t="shared" si="18"/>
        <v/>
      </c>
      <c r="AG169" s="16" t="str">
        <f t="shared" si="19"/>
        <v>ARC&gt;0</v>
      </c>
      <c r="AH169" s="13" t="str">
        <f t="shared" si="20"/>
        <v/>
      </c>
      <c r="AI169" s="11">
        <v>0.0</v>
      </c>
      <c r="AJ169" s="11">
        <v>0.0</v>
      </c>
      <c r="AK169" s="11" t="s">
        <v>43</v>
      </c>
      <c r="AL169" s="18" t="str">
        <f t="shared" si="21"/>
        <v/>
      </c>
    </row>
    <row r="170" ht="15.75" customHeight="1">
      <c r="A170" s="11" t="s">
        <v>350</v>
      </c>
      <c r="B170" s="11">
        <v>2015.0</v>
      </c>
      <c r="C170" s="12" t="str">
        <f>VLOOKUP(A170, Regions!A:B, 2, FALSE)
</f>
        <v>North America</v>
      </c>
      <c r="D170" s="13">
        <f t="shared" si="1"/>
        <v>5</v>
      </c>
      <c r="E170" s="14">
        <f t="shared" si="2"/>
        <v>2017.5</v>
      </c>
      <c r="F170" s="11" t="s">
        <v>351</v>
      </c>
      <c r="G170" s="11">
        <v>86.07099915</v>
      </c>
      <c r="H170" s="11">
        <v>100.0</v>
      </c>
      <c r="I170" s="15">
        <f t="shared" si="3"/>
        <v>100</v>
      </c>
      <c r="J170" s="16" t="str">
        <f t="shared" si="4"/>
        <v>full access</v>
      </c>
      <c r="K170" s="16" t="str">
        <f t="shared" si="5"/>
        <v/>
      </c>
      <c r="L170" s="16" t="str">
        <f t="shared" si="6"/>
        <v/>
      </c>
      <c r="M170" s="16" t="str">
        <f t="shared" si="7"/>
        <v/>
      </c>
      <c r="N170" s="13">
        <f t="shared" si="8"/>
        <v>0.0000003399999997</v>
      </c>
      <c r="O170" s="11">
        <v>0.0</v>
      </c>
      <c r="P170" s="11">
        <v>0.0</v>
      </c>
      <c r="Q170" s="11">
        <v>0.0</v>
      </c>
      <c r="R170" s="11">
        <v>100.0</v>
      </c>
      <c r="S170" s="15">
        <f t="shared" si="9"/>
        <v>100</v>
      </c>
      <c r="T170" s="17" t="str">
        <f t="shared" si="10"/>
        <v>full access</v>
      </c>
      <c r="U170" s="17" t="str">
        <f t="shared" si="11"/>
        <v/>
      </c>
      <c r="V170" s="17" t="str">
        <f t="shared" si="12"/>
        <v/>
      </c>
      <c r="W170" s="17" t="str">
        <f t="shared" si="13"/>
        <v>ARC&gt;0</v>
      </c>
      <c r="X170" s="13">
        <f t="shared" si="14"/>
        <v>0</v>
      </c>
      <c r="Y170" s="11">
        <v>0.0</v>
      </c>
      <c r="Z170" s="11">
        <v>0.0</v>
      </c>
      <c r="AA170" s="11">
        <v>0.0</v>
      </c>
      <c r="AB170" s="11">
        <v>100.0</v>
      </c>
      <c r="AC170" s="15">
        <f t="shared" si="15"/>
        <v>100</v>
      </c>
      <c r="AD170" s="16" t="str">
        <f t="shared" si="16"/>
        <v>full access</v>
      </c>
      <c r="AE170" s="16" t="str">
        <f t="shared" si="17"/>
        <v/>
      </c>
      <c r="AF170" s="16" t="str">
        <f t="shared" si="18"/>
        <v/>
      </c>
      <c r="AG170" s="16" t="str">
        <f t="shared" si="19"/>
        <v>ARC&gt;0</v>
      </c>
      <c r="AH170" s="13">
        <f t="shared" si="20"/>
        <v>0</v>
      </c>
      <c r="AI170" s="11">
        <v>0.0</v>
      </c>
      <c r="AJ170" s="11">
        <v>0.0</v>
      </c>
      <c r="AK170" s="11" t="s">
        <v>43</v>
      </c>
      <c r="AL170" s="18">
        <f t="shared" si="21"/>
        <v>0</v>
      </c>
    </row>
    <row r="171" ht="15.75" customHeight="1">
      <c r="A171" s="11" t="s">
        <v>350</v>
      </c>
      <c r="B171" s="11">
        <v>2020.0</v>
      </c>
      <c r="C171" s="12" t="str">
        <f>VLOOKUP(A171, Regions!A:B, 2, FALSE)
</f>
        <v>North America</v>
      </c>
      <c r="D171" s="13" t="str">
        <f t="shared" si="1"/>
        <v/>
      </c>
      <c r="E171" s="14" t="str">
        <f t="shared" si="2"/>
        <v/>
      </c>
      <c r="F171" s="11" t="s">
        <v>352</v>
      </c>
      <c r="G171" s="11">
        <v>87.28200531</v>
      </c>
      <c r="H171" s="11">
        <v>100.0000017</v>
      </c>
      <c r="I171" s="15">
        <f t="shared" si="3"/>
        <v>100</v>
      </c>
      <c r="J171" s="16" t="str">
        <f t="shared" si="4"/>
        <v/>
      </c>
      <c r="K171" s="16" t="str">
        <f t="shared" si="5"/>
        <v/>
      </c>
      <c r="L171" s="16" t="str">
        <f t="shared" si="6"/>
        <v/>
      </c>
      <c r="M171" s="16" t="str">
        <f t="shared" si="7"/>
        <v>ARC&gt;0</v>
      </c>
      <c r="N171" s="13" t="str">
        <f t="shared" si="8"/>
        <v/>
      </c>
      <c r="O171" s="11">
        <v>0.0</v>
      </c>
      <c r="P171" s="11">
        <v>0.0</v>
      </c>
      <c r="Q171" s="11">
        <v>0.0</v>
      </c>
      <c r="R171" s="11">
        <v>100.0</v>
      </c>
      <c r="S171" s="15">
        <f t="shared" si="9"/>
        <v>100</v>
      </c>
      <c r="T171" s="17" t="str">
        <f t="shared" si="10"/>
        <v/>
      </c>
      <c r="U171" s="17" t="str">
        <f t="shared" si="11"/>
        <v/>
      </c>
      <c r="V171" s="17" t="str">
        <f t="shared" si="12"/>
        <v/>
      </c>
      <c r="W171" s="17" t="str">
        <f t="shared" si="13"/>
        <v>ARC&gt;0</v>
      </c>
      <c r="X171" s="13" t="str">
        <f t="shared" si="14"/>
        <v/>
      </c>
      <c r="Y171" s="11">
        <v>0.0</v>
      </c>
      <c r="Z171" s="11">
        <v>0.0</v>
      </c>
      <c r="AA171" s="11">
        <v>0.0</v>
      </c>
      <c r="AB171" s="11">
        <v>100.0</v>
      </c>
      <c r="AC171" s="15">
        <f t="shared" si="15"/>
        <v>100</v>
      </c>
      <c r="AD171" s="16" t="str">
        <f t="shared" si="16"/>
        <v/>
      </c>
      <c r="AE171" s="16" t="str">
        <f t="shared" si="17"/>
        <v/>
      </c>
      <c r="AF171" s="16" t="str">
        <f t="shared" si="18"/>
        <v/>
      </c>
      <c r="AG171" s="16" t="str">
        <f t="shared" si="19"/>
        <v>ARC&gt;0</v>
      </c>
      <c r="AH171" s="13" t="str">
        <f t="shared" si="20"/>
        <v/>
      </c>
      <c r="AI171" s="11">
        <v>0.0</v>
      </c>
      <c r="AJ171" s="11">
        <v>0.0</v>
      </c>
      <c r="AK171" s="11" t="s">
        <v>43</v>
      </c>
      <c r="AL171" s="18" t="str">
        <f t="shared" si="21"/>
        <v/>
      </c>
    </row>
    <row r="172" ht="15.75" customHeight="1">
      <c r="A172" s="11" t="s">
        <v>353</v>
      </c>
      <c r="B172" s="11">
        <v>2015.0</v>
      </c>
      <c r="C172" s="12" t="str">
        <f>VLOOKUP(A172, Regions!A:B, 2, FALSE)
</f>
        <v>Latin America &amp; Caribbean</v>
      </c>
      <c r="D172" s="13">
        <f t="shared" si="1"/>
        <v>2</v>
      </c>
      <c r="E172" s="14">
        <f t="shared" si="2"/>
        <v>2016</v>
      </c>
      <c r="F172" s="11" t="s">
        <v>354</v>
      </c>
      <c r="G172" s="11">
        <v>35.99700165</v>
      </c>
      <c r="H172" s="11">
        <v>95.62865044</v>
      </c>
      <c r="I172" s="15">
        <f t="shared" si="3"/>
        <v>96</v>
      </c>
      <c r="J172" s="16" t="str">
        <f t="shared" si="4"/>
        <v/>
      </c>
      <c r="K172" s="16" t="str">
        <f t="shared" si="5"/>
        <v/>
      </c>
      <c r="L172" s="16" t="str">
        <f t="shared" si="6"/>
        <v/>
      </c>
      <c r="M172" s="16" t="str">
        <f t="shared" si="7"/>
        <v>ARC&gt;0</v>
      </c>
      <c r="N172" s="13">
        <f t="shared" si="8"/>
        <v>0</v>
      </c>
      <c r="O172" s="11">
        <v>1.161481584</v>
      </c>
      <c r="P172" s="11">
        <v>0.0</v>
      </c>
      <c r="Q172" s="11">
        <v>3.209867972</v>
      </c>
      <c r="S172" s="15">
        <f t="shared" si="9"/>
        <v>0</v>
      </c>
      <c r="T172" s="17" t="str">
        <f t="shared" si="10"/>
        <v/>
      </c>
      <c r="U172" s="17" t="str">
        <f t="shared" si="11"/>
        <v>ARC=0</v>
      </c>
      <c r="V172" s="17" t="str">
        <f t="shared" si="12"/>
        <v/>
      </c>
      <c r="W172" s="17" t="str">
        <f t="shared" si="13"/>
        <v/>
      </c>
      <c r="X172" s="13">
        <f t="shared" si="14"/>
        <v>0</v>
      </c>
      <c r="AC172" s="15">
        <f t="shared" si="15"/>
        <v>0</v>
      </c>
      <c r="AD172" s="16" t="str">
        <f t="shared" si="16"/>
        <v/>
      </c>
      <c r="AE172" s="16" t="str">
        <f t="shared" si="17"/>
        <v>ARC=0</v>
      </c>
      <c r="AF172" s="16" t="str">
        <f t="shared" si="18"/>
        <v/>
      </c>
      <c r="AG172" s="16" t="str">
        <f t="shared" si="19"/>
        <v/>
      </c>
      <c r="AH172" s="13">
        <f t="shared" si="20"/>
        <v>0</v>
      </c>
      <c r="AL172" s="18">
        <f t="shared" si="21"/>
        <v>0</v>
      </c>
    </row>
    <row r="173" ht="15.75" customHeight="1">
      <c r="A173" s="11" t="s">
        <v>353</v>
      </c>
      <c r="B173" s="11">
        <v>2017.0</v>
      </c>
      <c r="C173" s="12" t="str">
        <f>VLOOKUP(A173, Regions!A:B, 2, FALSE)
</f>
        <v>Latin America &amp; Caribbean</v>
      </c>
      <c r="D173" s="13" t="str">
        <f t="shared" si="1"/>
        <v/>
      </c>
      <c r="E173" s="14" t="str">
        <f t="shared" si="2"/>
        <v/>
      </c>
      <c r="F173" s="11" t="s">
        <v>355</v>
      </c>
      <c r="G173" s="11">
        <v>36.16400146</v>
      </c>
      <c r="H173" s="11">
        <v>95.62865044</v>
      </c>
      <c r="I173" s="15">
        <f t="shared" si="3"/>
        <v>96</v>
      </c>
      <c r="J173" s="16" t="str">
        <f t="shared" si="4"/>
        <v/>
      </c>
      <c r="K173" s="16" t="str">
        <f t="shared" si="5"/>
        <v/>
      </c>
      <c r="L173" s="16" t="str">
        <f t="shared" si="6"/>
        <v/>
      </c>
      <c r="M173" s="16" t="str">
        <f t="shared" si="7"/>
        <v>ARC&gt;0</v>
      </c>
      <c r="N173" s="13" t="str">
        <f t="shared" si="8"/>
        <v/>
      </c>
      <c r="O173" s="11">
        <v>1.161481584</v>
      </c>
      <c r="P173" s="11">
        <v>0.0</v>
      </c>
      <c r="Q173" s="11">
        <v>3.209867972</v>
      </c>
      <c r="S173" s="15">
        <f t="shared" si="9"/>
        <v>0</v>
      </c>
      <c r="T173" s="17" t="str">
        <f t="shared" si="10"/>
        <v/>
      </c>
      <c r="U173" s="17" t="str">
        <f t="shared" si="11"/>
        <v>ARC=0</v>
      </c>
      <c r="V173" s="17" t="str">
        <f t="shared" si="12"/>
        <v/>
      </c>
      <c r="W173" s="17" t="str">
        <f t="shared" si="13"/>
        <v/>
      </c>
      <c r="X173" s="13" t="str">
        <f t="shared" si="14"/>
        <v/>
      </c>
      <c r="AC173" s="15">
        <f t="shared" si="15"/>
        <v>0</v>
      </c>
      <c r="AD173" s="16" t="str">
        <f t="shared" si="16"/>
        <v/>
      </c>
      <c r="AE173" s="16" t="str">
        <f t="shared" si="17"/>
        <v>ARC=0</v>
      </c>
      <c r="AF173" s="16" t="str">
        <f t="shared" si="18"/>
        <v/>
      </c>
      <c r="AG173" s="16" t="str">
        <f t="shared" si="19"/>
        <v/>
      </c>
      <c r="AH173" s="13" t="str">
        <f t="shared" si="20"/>
        <v/>
      </c>
      <c r="AL173" s="18" t="str">
        <f t="shared" si="21"/>
        <v/>
      </c>
    </row>
    <row r="174" ht="15.75" customHeight="1">
      <c r="A174" s="11" t="s">
        <v>356</v>
      </c>
      <c r="B174" s="11">
        <v>2015.0</v>
      </c>
      <c r="C174" s="12" t="str">
        <f>VLOOKUP(A174, Regions!A:B, 2, FALSE)
</f>
        <v>Latin America &amp; Caribbean</v>
      </c>
      <c r="D174" s="13">
        <f t="shared" si="1"/>
        <v>5</v>
      </c>
      <c r="E174" s="14">
        <f t="shared" si="2"/>
        <v>2017.5</v>
      </c>
      <c r="F174" s="11" t="s">
        <v>357</v>
      </c>
      <c r="G174" s="11">
        <v>98.44300079</v>
      </c>
      <c r="H174" s="11">
        <v>99.61102813</v>
      </c>
      <c r="I174" s="15">
        <f t="shared" si="3"/>
        <v>100</v>
      </c>
      <c r="J174" s="16" t="str">
        <f t="shared" si="4"/>
        <v>full access</v>
      </c>
      <c r="K174" s="16" t="str">
        <f t="shared" si="5"/>
        <v/>
      </c>
      <c r="L174" s="16" t="str">
        <f t="shared" si="6"/>
        <v/>
      </c>
      <c r="M174" s="16" t="str">
        <f t="shared" si="7"/>
        <v/>
      </c>
      <c r="N174" s="13">
        <f t="shared" si="8"/>
        <v>0.038419582</v>
      </c>
      <c r="O174" s="11">
        <v>0.0</v>
      </c>
      <c r="P174" s="11">
        <v>0.3889718724</v>
      </c>
      <c r="Q174" s="11">
        <v>0.0</v>
      </c>
      <c r="S174" s="15">
        <f t="shared" si="9"/>
        <v>0</v>
      </c>
      <c r="T174" s="17" t="str">
        <f t="shared" si="10"/>
        <v/>
      </c>
      <c r="U174" s="17" t="str">
        <f t="shared" si="11"/>
        <v>ARC=0</v>
      </c>
      <c r="V174" s="17" t="str">
        <f t="shared" si="12"/>
        <v/>
      </c>
      <c r="W174" s="17" t="str">
        <f t="shared" si="13"/>
        <v/>
      </c>
      <c r="X174" s="13">
        <f t="shared" si="14"/>
        <v>0</v>
      </c>
      <c r="AC174" s="15">
        <f t="shared" si="15"/>
        <v>0</v>
      </c>
      <c r="AD174" s="16" t="str">
        <f t="shared" si="16"/>
        <v/>
      </c>
      <c r="AE174" s="16" t="str">
        <f t="shared" si="17"/>
        <v>ARC=0</v>
      </c>
      <c r="AF174" s="16" t="str">
        <f t="shared" si="18"/>
        <v/>
      </c>
      <c r="AG174" s="16" t="str">
        <f t="shared" si="19"/>
        <v/>
      </c>
      <c r="AH174" s="13">
        <f t="shared" si="20"/>
        <v>0</v>
      </c>
      <c r="AL174" s="18">
        <f t="shared" si="21"/>
        <v>0</v>
      </c>
    </row>
    <row r="175" ht="15.75" customHeight="1">
      <c r="A175" s="11" t="s">
        <v>356</v>
      </c>
      <c r="B175" s="11">
        <v>2020.0</v>
      </c>
      <c r="C175" s="12" t="str">
        <f>VLOOKUP(A175, Regions!A:B, 2, FALSE)
</f>
        <v>Latin America &amp; Caribbean</v>
      </c>
      <c r="D175" s="13" t="str">
        <f t="shared" si="1"/>
        <v/>
      </c>
      <c r="E175" s="14" t="str">
        <f t="shared" si="2"/>
        <v/>
      </c>
      <c r="F175" s="11" t="s">
        <v>358</v>
      </c>
      <c r="G175" s="11">
        <v>98.49899292</v>
      </c>
      <c r="H175" s="11">
        <v>99.80312604</v>
      </c>
      <c r="I175" s="15">
        <f t="shared" si="3"/>
        <v>100</v>
      </c>
      <c r="J175" s="16" t="str">
        <f t="shared" si="4"/>
        <v/>
      </c>
      <c r="K175" s="16" t="str">
        <f t="shared" si="5"/>
        <v/>
      </c>
      <c r="L175" s="16" t="str">
        <f t="shared" si="6"/>
        <v/>
      </c>
      <c r="M175" s="16" t="str">
        <f t="shared" si="7"/>
        <v>ARC&gt;0</v>
      </c>
      <c r="N175" s="13" t="str">
        <f t="shared" si="8"/>
        <v/>
      </c>
      <c r="O175" s="11">
        <v>0.0</v>
      </c>
      <c r="P175" s="11">
        <v>0.1968739613</v>
      </c>
      <c r="Q175" s="11">
        <v>0.0</v>
      </c>
      <c r="S175" s="15">
        <f t="shared" si="9"/>
        <v>0</v>
      </c>
      <c r="T175" s="17" t="str">
        <f t="shared" si="10"/>
        <v/>
      </c>
      <c r="U175" s="17" t="str">
        <f t="shared" si="11"/>
        <v>ARC=0</v>
      </c>
      <c r="V175" s="17" t="str">
        <f t="shared" si="12"/>
        <v/>
      </c>
      <c r="W175" s="17" t="str">
        <f t="shared" si="13"/>
        <v/>
      </c>
      <c r="X175" s="13" t="str">
        <f t="shared" si="14"/>
        <v/>
      </c>
      <c r="AC175" s="15">
        <f t="shared" si="15"/>
        <v>0</v>
      </c>
      <c r="AD175" s="16" t="str">
        <f t="shared" si="16"/>
        <v/>
      </c>
      <c r="AE175" s="16" t="str">
        <f t="shared" si="17"/>
        <v>ARC=0</v>
      </c>
      <c r="AF175" s="16" t="str">
        <f t="shared" si="18"/>
        <v/>
      </c>
      <c r="AG175" s="16" t="str">
        <f t="shared" si="19"/>
        <v/>
      </c>
      <c r="AH175" s="13" t="str">
        <f t="shared" si="20"/>
        <v/>
      </c>
      <c r="AL175" s="18" t="str">
        <f t="shared" si="21"/>
        <v/>
      </c>
    </row>
    <row r="176" ht="15.75" customHeight="1">
      <c r="A176" s="11" t="s">
        <v>359</v>
      </c>
      <c r="B176" s="11">
        <v>2015.0</v>
      </c>
      <c r="C176" s="12" t="str">
        <f>VLOOKUP(A176, Regions!A:B, 2, FALSE)
</f>
        <v>East Asia &amp; Pacific</v>
      </c>
      <c r="D176" s="13">
        <f t="shared" si="1"/>
        <v>5</v>
      </c>
      <c r="E176" s="14">
        <f t="shared" si="2"/>
        <v>2017.5</v>
      </c>
      <c r="F176" s="11" t="s">
        <v>360</v>
      </c>
      <c r="G176" s="11">
        <v>94.53399658</v>
      </c>
      <c r="H176" s="11">
        <v>99.6952</v>
      </c>
      <c r="I176" s="15">
        <f t="shared" si="3"/>
        <v>100</v>
      </c>
      <c r="J176" s="16" t="str">
        <f t="shared" si="4"/>
        <v>full access</v>
      </c>
      <c r="K176" s="16" t="str">
        <f t="shared" si="5"/>
        <v/>
      </c>
      <c r="L176" s="16" t="str">
        <f t="shared" si="6"/>
        <v/>
      </c>
      <c r="M176" s="16" t="str">
        <f t="shared" si="7"/>
        <v/>
      </c>
      <c r="N176" s="13">
        <f t="shared" si="8"/>
        <v>0</v>
      </c>
      <c r="O176" s="11">
        <v>0.0</v>
      </c>
      <c r="P176" s="11">
        <v>0.3048</v>
      </c>
      <c r="Q176" s="11">
        <v>0.0</v>
      </c>
      <c r="S176" s="15">
        <f t="shared" si="9"/>
        <v>0</v>
      </c>
      <c r="T176" s="17" t="str">
        <f t="shared" si="10"/>
        <v/>
      </c>
      <c r="U176" s="17" t="str">
        <f t="shared" si="11"/>
        <v>ARC=0</v>
      </c>
      <c r="V176" s="17" t="str">
        <f t="shared" si="12"/>
        <v/>
      </c>
      <c r="W176" s="17" t="str">
        <f t="shared" si="13"/>
        <v/>
      </c>
      <c r="X176" s="13">
        <f t="shared" si="14"/>
        <v>0</v>
      </c>
      <c r="AC176" s="15">
        <f t="shared" si="15"/>
        <v>0</v>
      </c>
      <c r="AD176" s="16" t="str">
        <f t="shared" si="16"/>
        <v/>
      </c>
      <c r="AE176" s="16" t="str">
        <f t="shared" si="17"/>
        <v>ARC=0</v>
      </c>
      <c r="AF176" s="16" t="str">
        <f t="shared" si="18"/>
        <v/>
      </c>
      <c r="AG176" s="16" t="str">
        <f t="shared" si="19"/>
        <v/>
      </c>
      <c r="AH176" s="13">
        <f t="shared" si="20"/>
        <v>0</v>
      </c>
      <c r="AL176" s="18">
        <f t="shared" si="21"/>
        <v>0</v>
      </c>
    </row>
    <row r="177" ht="15.75" customHeight="1">
      <c r="A177" s="11" t="s">
        <v>359</v>
      </c>
      <c r="B177" s="11">
        <v>2020.0</v>
      </c>
      <c r="C177" s="12" t="str">
        <f>VLOOKUP(A177, Regions!A:B, 2, FALSE)
</f>
        <v>East Asia &amp; Pacific</v>
      </c>
      <c r="D177" s="13" t="str">
        <f t="shared" si="1"/>
        <v/>
      </c>
      <c r="E177" s="14" t="str">
        <f t="shared" si="2"/>
        <v/>
      </c>
      <c r="F177" s="11" t="s">
        <v>361</v>
      </c>
      <c r="G177" s="11">
        <v>94.93800354</v>
      </c>
      <c r="H177" s="11">
        <v>99.6952</v>
      </c>
      <c r="I177" s="15">
        <f t="shared" si="3"/>
        <v>100</v>
      </c>
      <c r="J177" s="16" t="str">
        <f t="shared" si="4"/>
        <v/>
      </c>
      <c r="K177" s="16" t="str">
        <f t="shared" si="5"/>
        <v/>
      </c>
      <c r="L177" s="16" t="str">
        <f t="shared" si="6"/>
        <v/>
      </c>
      <c r="M177" s="16" t="str">
        <f t="shared" si="7"/>
        <v>ARC&gt;0</v>
      </c>
      <c r="N177" s="13" t="str">
        <f t="shared" si="8"/>
        <v/>
      </c>
      <c r="O177" s="11">
        <v>0.0</v>
      </c>
      <c r="P177" s="11">
        <v>0.3048</v>
      </c>
      <c r="Q177" s="11">
        <v>0.0</v>
      </c>
      <c r="S177" s="15">
        <f t="shared" si="9"/>
        <v>0</v>
      </c>
      <c r="T177" s="17" t="str">
        <f t="shared" si="10"/>
        <v/>
      </c>
      <c r="U177" s="17" t="str">
        <f t="shared" si="11"/>
        <v>ARC=0</v>
      </c>
      <c r="V177" s="17" t="str">
        <f t="shared" si="12"/>
        <v/>
      </c>
      <c r="W177" s="17" t="str">
        <f t="shared" si="13"/>
        <v/>
      </c>
      <c r="X177" s="13" t="str">
        <f t="shared" si="14"/>
        <v/>
      </c>
      <c r="AC177" s="15">
        <f t="shared" si="15"/>
        <v>0</v>
      </c>
      <c r="AD177" s="16" t="str">
        <f t="shared" si="16"/>
        <v/>
      </c>
      <c r="AE177" s="16" t="str">
        <f t="shared" si="17"/>
        <v>ARC=0</v>
      </c>
      <c r="AF177" s="16" t="str">
        <f t="shared" si="18"/>
        <v/>
      </c>
      <c r="AG177" s="16" t="str">
        <f t="shared" si="19"/>
        <v/>
      </c>
      <c r="AH177" s="13" t="str">
        <f t="shared" si="20"/>
        <v/>
      </c>
      <c r="AL177" s="18" t="str">
        <f t="shared" si="21"/>
        <v/>
      </c>
    </row>
    <row r="178" ht="15.75" customHeight="1">
      <c r="A178" s="11" t="s">
        <v>362</v>
      </c>
      <c r="B178" s="11">
        <v>2015.0</v>
      </c>
      <c r="C178" s="12" t="str">
        <f>VLOOKUP(A178, Regions!A:B, 2, FALSE)
</f>
        <v>Latin America &amp; Caribbean</v>
      </c>
      <c r="D178" s="13">
        <f t="shared" si="1"/>
        <v>5</v>
      </c>
      <c r="E178" s="14">
        <f t="shared" si="2"/>
        <v>2017.5</v>
      </c>
      <c r="F178" s="11" t="s">
        <v>363</v>
      </c>
      <c r="G178" s="11">
        <v>49.97100067</v>
      </c>
      <c r="H178" s="11">
        <v>92.13403385</v>
      </c>
      <c r="I178" s="15">
        <f t="shared" si="3"/>
        <v>92</v>
      </c>
      <c r="J178" s="16" t="str">
        <f t="shared" si="4"/>
        <v/>
      </c>
      <c r="K178" s="16" t="str">
        <f t="shared" si="5"/>
        <v/>
      </c>
      <c r="L178" s="16" t="str">
        <f t="shared" si="6"/>
        <v/>
      </c>
      <c r="M178" s="16" t="str">
        <f t="shared" si="7"/>
        <v>ARC&gt;0</v>
      </c>
      <c r="N178" s="13">
        <f t="shared" si="8"/>
        <v>0.374478884</v>
      </c>
      <c r="O178" s="11">
        <v>0.9684517485</v>
      </c>
      <c r="P178" s="11">
        <v>4.765261087</v>
      </c>
      <c r="Q178" s="11">
        <v>2.132253313</v>
      </c>
      <c r="R178" s="11">
        <v>87.24275618</v>
      </c>
      <c r="S178" s="15">
        <f t="shared" si="9"/>
        <v>87</v>
      </c>
      <c r="T178" s="17" t="str">
        <f t="shared" si="10"/>
        <v/>
      </c>
      <c r="U178" s="17" t="str">
        <f t="shared" si="11"/>
        <v/>
      </c>
      <c r="V178" s="17" t="str">
        <f t="shared" si="12"/>
        <v/>
      </c>
      <c r="W178" s="17" t="str">
        <f t="shared" si="13"/>
        <v>ARC&gt;0</v>
      </c>
      <c r="X178" s="13">
        <f t="shared" si="14"/>
        <v>0.575314724</v>
      </c>
      <c r="Y178" s="11">
        <v>1.650901287</v>
      </c>
      <c r="Z178" s="11">
        <v>7.052091828</v>
      </c>
      <c r="AA178" s="11">
        <v>4.054250709</v>
      </c>
      <c r="AB178" s="11">
        <v>97.03098891</v>
      </c>
      <c r="AC178" s="15">
        <f t="shared" si="15"/>
        <v>97</v>
      </c>
      <c r="AD178" s="16" t="str">
        <f t="shared" si="16"/>
        <v/>
      </c>
      <c r="AE178" s="16" t="str">
        <f t="shared" si="17"/>
        <v/>
      </c>
      <c r="AF178" s="16" t="str">
        <f t="shared" si="18"/>
        <v/>
      </c>
      <c r="AG178" s="16" t="str">
        <f t="shared" si="19"/>
        <v>ARC&gt;0</v>
      </c>
      <c r="AH178" s="13">
        <f t="shared" si="20"/>
        <v>0.117436106</v>
      </c>
      <c r="AI178" s="11">
        <v>0.2852100796</v>
      </c>
      <c r="AJ178" s="11">
        <v>2.475775984</v>
      </c>
      <c r="AK178" s="11" t="s">
        <v>364</v>
      </c>
      <c r="AL178" s="18">
        <f t="shared" si="21"/>
        <v>0.457878618</v>
      </c>
    </row>
    <row r="179" ht="15.75" customHeight="1">
      <c r="A179" s="11" t="s">
        <v>362</v>
      </c>
      <c r="B179" s="11">
        <v>2020.0</v>
      </c>
      <c r="C179" s="12" t="str">
        <f>VLOOKUP(A179, Regions!A:B, 2, FALSE)
</f>
        <v>Latin America &amp; Caribbean</v>
      </c>
      <c r="D179" s="13" t="str">
        <f t="shared" si="1"/>
        <v/>
      </c>
      <c r="E179" s="14" t="str">
        <f t="shared" si="2"/>
        <v/>
      </c>
      <c r="F179" s="11" t="s">
        <v>365</v>
      </c>
      <c r="G179" s="11">
        <v>51.83599854</v>
      </c>
      <c r="H179" s="11">
        <v>94.00642827</v>
      </c>
      <c r="I179" s="15">
        <f t="shared" si="3"/>
        <v>94</v>
      </c>
      <c r="J179" s="16" t="str">
        <f t="shared" si="4"/>
        <v/>
      </c>
      <c r="K179" s="16" t="str">
        <f t="shared" si="5"/>
        <v/>
      </c>
      <c r="L179" s="16" t="str">
        <f t="shared" si="6"/>
        <v/>
      </c>
      <c r="M179" s="16" t="str">
        <f t="shared" si="7"/>
        <v>ARC&gt;0</v>
      </c>
      <c r="N179" s="13" t="str">
        <f t="shared" si="8"/>
        <v/>
      </c>
      <c r="O179" s="11">
        <v>1.034150511</v>
      </c>
      <c r="P179" s="11">
        <v>3.215911815</v>
      </c>
      <c r="Q179" s="11">
        <v>1.743509404</v>
      </c>
      <c r="R179" s="11">
        <v>90.1193298</v>
      </c>
      <c r="S179" s="15">
        <f t="shared" si="9"/>
        <v>90</v>
      </c>
      <c r="T179" s="17" t="str">
        <f t="shared" si="10"/>
        <v/>
      </c>
      <c r="U179" s="17" t="str">
        <f t="shared" si="11"/>
        <v/>
      </c>
      <c r="V179" s="17" t="str">
        <f t="shared" si="12"/>
        <v/>
      </c>
      <c r="W179" s="17" t="str">
        <f t="shared" si="13"/>
        <v>ARC&gt;0</v>
      </c>
      <c r="X179" s="13" t="str">
        <f t="shared" si="14"/>
        <v/>
      </c>
      <c r="Y179" s="11">
        <v>1.849169999</v>
      </c>
      <c r="Z179" s="11">
        <v>4.583438691</v>
      </c>
      <c r="AA179" s="11">
        <v>3.448061508</v>
      </c>
      <c r="AB179" s="11">
        <v>97.61816944</v>
      </c>
      <c r="AC179" s="15">
        <f t="shared" si="15"/>
        <v>98</v>
      </c>
      <c r="AD179" s="16" t="str">
        <f t="shared" si="16"/>
        <v/>
      </c>
      <c r="AE179" s="16" t="str">
        <f t="shared" si="17"/>
        <v/>
      </c>
      <c r="AF179" s="16" t="str">
        <f t="shared" si="18"/>
        <v/>
      </c>
      <c r="AG179" s="16" t="str">
        <f t="shared" si="19"/>
        <v>ARC&gt;0</v>
      </c>
      <c r="AH179" s="13" t="str">
        <f t="shared" si="20"/>
        <v/>
      </c>
      <c r="AI179" s="11">
        <v>0.2768660057</v>
      </c>
      <c r="AJ179" s="11">
        <v>1.94525887</v>
      </c>
      <c r="AK179" s="11" t="s">
        <v>366</v>
      </c>
      <c r="AL179" s="18" t="str">
        <f t="shared" si="21"/>
        <v/>
      </c>
    </row>
    <row r="180" ht="15.75" customHeight="1">
      <c r="A180" s="11" t="s">
        <v>367</v>
      </c>
      <c r="B180" s="11">
        <v>2015.0</v>
      </c>
      <c r="C180" s="12" t="str">
        <f>VLOOKUP(A180, Regions!A:B, 2, FALSE)
</f>
        <v>Sub-Saharan Africa</v>
      </c>
      <c r="D180" s="13">
        <f t="shared" si="1"/>
        <v>5</v>
      </c>
      <c r="E180" s="14">
        <f t="shared" si="2"/>
        <v>2017.5</v>
      </c>
      <c r="F180" s="11" t="s">
        <v>368</v>
      </c>
      <c r="G180" s="11">
        <v>35.14099884</v>
      </c>
      <c r="H180" s="11">
        <v>63.61538954</v>
      </c>
      <c r="I180" s="15">
        <f t="shared" si="3"/>
        <v>64</v>
      </c>
      <c r="J180" s="16" t="str">
        <f t="shared" si="4"/>
        <v/>
      </c>
      <c r="K180" s="16" t="str">
        <f t="shared" si="5"/>
        <v/>
      </c>
      <c r="L180" s="16" t="str">
        <f t="shared" si="6"/>
        <v/>
      </c>
      <c r="M180" s="16" t="str">
        <f t="shared" si="7"/>
        <v>ARC&gt;0</v>
      </c>
      <c r="N180" s="13">
        <f t="shared" si="8"/>
        <v>0.06927984</v>
      </c>
      <c r="O180" s="11">
        <v>16.09025603</v>
      </c>
      <c r="P180" s="11">
        <v>9.757980444</v>
      </c>
      <c r="Q180" s="11">
        <v>10.53637399</v>
      </c>
      <c r="R180" s="11">
        <v>51.94915534</v>
      </c>
      <c r="S180" s="15">
        <f t="shared" si="9"/>
        <v>52</v>
      </c>
      <c r="T180" s="17" t="str">
        <f t="shared" si="10"/>
        <v/>
      </c>
      <c r="U180" s="17" t="str">
        <f t="shared" si="11"/>
        <v/>
      </c>
      <c r="V180" s="17" t="str">
        <f t="shared" si="12"/>
        <v/>
      </c>
      <c r="W180" s="17" t="str">
        <f t="shared" si="13"/>
        <v>ARC&gt;0</v>
      </c>
      <c r="X180" s="13">
        <f t="shared" si="14"/>
        <v>-0.24019527</v>
      </c>
      <c r="Y180" s="11">
        <v>18.76062978</v>
      </c>
      <c r="Z180" s="11">
        <v>13.30971721</v>
      </c>
      <c r="AA180" s="11">
        <v>15.98049768</v>
      </c>
      <c r="AB180" s="11">
        <v>85.14750769</v>
      </c>
      <c r="AC180" s="15">
        <f t="shared" si="15"/>
        <v>85</v>
      </c>
      <c r="AD180" s="16" t="str">
        <f t="shared" si="16"/>
        <v/>
      </c>
      <c r="AE180" s="16" t="str">
        <f t="shared" si="17"/>
        <v/>
      </c>
      <c r="AF180" s="16" t="str">
        <f t="shared" si="18"/>
        <v/>
      </c>
      <c r="AG180" s="16" t="str">
        <f t="shared" si="19"/>
        <v>ARC&gt;0</v>
      </c>
      <c r="AH180" s="13">
        <f t="shared" si="20"/>
        <v>0.286836476</v>
      </c>
      <c r="AI180" s="11">
        <v>11.16160263</v>
      </c>
      <c r="AJ180" s="11">
        <v>3.202620418</v>
      </c>
      <c r="AK180" s="11" t="s">
        <v>369</v>
      </c>
      <c r="AL180" s="18">
        <f t="shared" si="21"/>
        <v>-0.527031746</v>
      </c>
    </row>
    <row r="181" ht="15.75" customHeight="1">
      <c r="A181" s="11" t="s">
        <v>367</v>
      </c>
      <c r="B181" s="11">
        <v>2020.0</v>
      </c>
      <c r="C181" s="12" t="str">
        <f>VLOOKUP(A181, Regions!A:B, 2, FALSE)
</f>
        <v>Sub-Saharan Africa</v>
      </c>
      <c r="D181" s="13" t="str">
        <f t="shared" si="1"/>
        <v/>
      </c>
      <c r="E181" s="14" t="str">
        <f t="shared" si="2"/>
        <v/>
      </c>
      <c r="F181" s="11" t="s">
        <v>370</v>
      </c>
      <c r="G181" s="11">
        <v>36.875</v>
      </c>
      <c r="H181" s="11">
        <v>63.96178874</v>
      </c>
      <c r="I181" s="15">
        <f t="shared" si="3"/>
        <v>64</v>
      </c>
      <c r="J181" s="16" t="str">
        <f t="shared" si="4"/>
        <v/>
      </c>
      <c r="K181" s="16" t="str">
        <f t="shared" si="5"/>
        <v/>
      </c>
      <c r="L181" s="16" t="str">
        <f t="shared" si="6"/>
        <v/>
      </c>
      <c r="M181" s="16" t="str">
        <f t="shared" si="7"/>
        <v>ARC&gt;0</v>
      </c>
      <c r="N181" s="13" t="str">
        <f t="shared" si="8"/>
        <v/>
      </c>
      <c r="O181" s="11">
        <v>21.2815915</v>
      </c>
      <c r="P181" s="11">
        <v>6.296119406</v>
      </c>
      <c r="Q181" s="11">
        <v>8.460500354</v>
      </c>
      <c r="R181" s="11">
        <v>50.74817899</v>
      </c>
      <c r="S181" s="15">
        <f t="shared" si="9"/>
        <v>51</v>
      </c>
      <c r="T181" s="17" t="str">
        <f t="shared" si="10"/>
        <v/>
      </c>
      <c r="U181" s="17" t="str">
        <f t="shared" si="11"/>
        <v/>
      </c>
      <c r="V181" s="17" t="str">
        <f t="shared" si="12"/>
        <v/>
      </c>
      <c r="W181" s="17" t="str">
        <f t="shared" si="13"/>
        <v>ARC&gt;0</v>
      </c>
      <c r="X181" s="13" t="str">
        <f t="shared" si="14"/>
        <v/>
      </c>
      <c r="Y181" s="11">
        <v>26.14432944</v>
      </c>
      <c r="Z181" s="11">
        <v>9.704719143</v>
      </c>
      <c r="AA181" s="11">
        <v>13.40277243</v>
      </c>
      <c r="AB181" s="11">
        <v>86.58169007</v>
      </c>
      <c r="AC181" s="15">
        <f t="shared" si="15"/>
        <v>87</v>
      </c>
      <c r="AD181" s="16" t="str">
        <f t="shared" si="16"/>
        <v/>
      </c>
      <c r="AE181" s="16" t="str">
        <f t="shared" si="17"/>
        <v/>
      </c>
      <c r="AF181" s="16" t="str">
        <f t="shared" si="18"/>
        <v/>
      </c>
      <c r="AG181" s="16" t="str">
        <f t="shared" si="19"/>
        <v>ARC&gt;0</v>
      </c>
      <c r="AH181" s="13" t="str">
        <f t="shared" si="20"/>
        <v/>
      </c>
      <c r="AI181" s="11">
        <v>12.95724153</v>
      </c>
      <c r="AJ181" s="11">
        <v>0.461068398</v>
      </c>
      <c r="AK181" s="11" t="s">
        <v>43</v>
      </c>
      <c r="AL181" s="18" t="str">
        <f t="shared" si="21"/>
        <v/>
      </c>
    </row>
    <row r="182" ht="15.75" customHeight="1">
      <c r="A182" s="11" t="s">
        <v>371</v>
      </c>
      <c r="B182" s="11">
        <v>2015.0</v>
      </c>
      <c r="C182" s="12" t="str">
        <f>VLOOKUP(A182, Regions!A:B, 2, FALSE)
</f>
        <v>Sub-Saharan Africa</v>
      </c>
      <c r="D182" s="13">
        <f t="shared" si="1"/>
        <v>5</v>
      </c>
      <c r="E182" s="14">
        <f t="shared" si="2"/>
        <v>2017.5</v>
      </c>
      <c r="F182" s="11" t="s">
        <v>372</v>
      </c>
      <c r="G182" s="11">
        <v>42.12299728</v>
      </c>
      <c r="H182" s="11">
        <v>58.76434762</v>
      </c>
      <c r="I182" s="15">
        <f t="shared" si="3"/>
        <v>59</v>
      </c>
      <c r="J182" s="16" t="str">
        <f t="shared" si="4"/>
        <v/>
      </c>
      <c r="K182" s="16" t="str">
        <f t="shared" si="5"/>
        <v/>
      </c>
      <c r="L182" s="16" t="str">
        <f t="shared" si="6"/>
        <v/>
      </c>
      <c r="M182" s="16" t="str">
        <f t="shared" si="7"/>
        <v>ARC&gt;0</v>
      </c>
      <c r="N182" s="13">
        <f t="shared" si="8"/>
        <v>0.050512918</v>
      </c>
      <c r="O182" s="11">
        <v>10.59149221</v>
      </c>
      <c r="P182" s="11">
        <v>29.74437907</v>
      </c>
      <c r="Q182" s="11">
        <v>0.8997810926</v>
      </c>
      <c r="R182" s="11">
        <v>48.42273005</v>
      </c>
      <c r="S182" s="15">
        <f t="shared" si="9"/>
        <v>48</v>
      </c>
      <c r="T182" s="17" t="str">
        <f t="shared" si="10"/>
        <v/>
      </c>
      <c r="U182" s="17" t="str">
        <f t="shared" si="11"/>
        <v/>
      </c>
      <c r="V182" s="17" t="str">
        <f t="shared" si="12"/>
        <v/>
      </c>
      <c r="W182" s="17" t="str">
        <f t="shared" si="13"/>
        <v>ARC&gt;0</v>
      </c>
      <c r="X182" s="13">
        <f t="shared" si="14"/>
        <v>0.28183505</v>
      </c>
      <c r="Y182" s="11">
        <v>7.566280361</v>
      </c>
      <c r="Z182" s="11">
        <v>42.58264827</v>
      </c>
      <c r="AA182" s="11">
        <v>1.428341318</v>
      </c>
      <c r="AB182" s="11">
        <v>72.97373122</v>
      </c>
      <c r="AC182" s="15">
        <f t="shared" si="15"/>
        <v>73</v>
      </c>
      <c r="AD182" s="16" t="str">
        <f t="shared" si="16"/>
        <v/>
      </c>
      <c r="AE182" s="16" t="str">
        <f t="shared" si="17"/>
        <v/>
      </c>
      <c r="AF182" s="16" t="str">
        <f t="shared" si="18"/>
        <v/>
      </c>
      <c r="AG182" s="16" t="str">
        <f t="shared" si="19"/>
        <v>ARC&gt;0</v>
      </c>
      <c r="AH182" s="13">
        <f t="shared" si="20"/>
        <v>-0.471876662</v>
      </c>
      <c r="AI182" s="11">
        <v>14.7481336</v>
      </c>
      <c r="AJ182" s="11">
        <v>12.10459589</v>
      </c>
      <c r="AK182" s="11" t="s">
        <v>373</v>
      </c>
      <c r="AL182" s="18">
        <f t="shared" si="21"/>
        <v>0.753711712</v>
      </c>
    </row>
    <row r="183" ht="15.75" customHeight="1">
      <c r="A183" s="11" t="s">
        <v>371</v>
      </c>
      <c r="B183" s="11">
        <v>2020.0</v>
      </c>
      <c r="C183" s="12" t="str">
        <f>VLOOKUP(A183, Regions!A:B, 2, FALSE)
</f>
        <v>Sub-Saharan Africa</v>
      </c>
      <c r="D183" s="13" t="str">
        <f t="shared" si="1"/>
        <v/>
      </c>
      <c r="E183" s="14" t="str">
        <f t="shared" si="2"/>
        <v/>
      </c>
      <c r="F183" s="11" t="s">
        <v>374</v>
      </c>
      <c r="G183" s="11">
        <v>44.19599915</v>
      </c>
      <c r="H183" s="11">
        <v>59.01691221</v>
      </c>
      <c r="I183" s="15">
        <f t="shared" si="3"/>
        <v>59</v>
      </c>
      <c r="J183" s="16" t="str">
        <f t="shared" si="4"/>
        <v/>
      </c>
      <c r="K183" s="16" t="str">
        <f t="shared" si="5"/>
        <v/>
      </c>
      <c r="L183" s="16" t="str">
        <f t="shared" si="6"/>
        <v/>
      </c>
      <c r="M183" s="16" t="str">
        <f t="shared" si="7"/>
        <v>ARC&gt;0</v>
      </c>
      <c r="N183" s="13" t="str">
        <f t="shared" si="8"/>
        <v/>
      </c>
      <c r="O183" s="11">
        <v>14.03457137</v>
      </c>
      <c r="P183" s="11">
        <v>26.6263769</v>
      </c>
      <c r="Q183" s="11">
        <v>0.3221395192</v>
      </c>
      <c r="R183" s="11">
        <v>49.8319053</v>
      </c>
      <c r="S183" s="15">
        <f t="shared" si="9"/>
        <v>50</v>
      </c>
      <c r="T183" s="17" t="str">
        <f t="shared" si="10"/>
        <v/>
      </c>
      <c r="U183" s="17" t="str">
        <f t="shared" si="11"/>
        <v/>
      </c>
      <c r="V183" s="17" t="str">
        <f t="shared" si="12"/>
        <v/>
      </c>
      <c r="W183" s="17" t="str">
        <f t="shared" si="13"/>
        <v>ARC&gt;0</v>
      </c>
      <c r="X183" s="13" t="str">
        <f t="shared" si="14"/>
        <v/>
      </c>
      <c r="Y183" s="11">
        <v>9.285773026</v>
      </c>
      <c r="Z183" s="11">
        <v>40.31645129</v>
      </c>
      <c r="AA183" s="11">
        <v>0.5658703845</v>
      </c>
      <c r="AB183" s="11">
        <v>70.61434791</v>
      </c>
      <c r="AC183" s="15">
        <f t="shared" si="15"/>
        <v>71</v>
      </c>
      <c r="AD183" s="16" t="str">
        <f t="shared" si="16"/>
        <v/>
      </c>
      <c r="AE183" s="16" t="str">
        <f t="shared" si="17"/>
        <v/>
      </c>
      <c r="AF183" s="16" t="str">
        <f t="shared" si="18"/>
        <v/>
      </c>
      <c r="AG183" s="16" t="str">
        <f t="shared" si="19"/>
        <v>ARC&gt;0</v>
      </c>
      <c r="AH183" s="13" t="str">
        <f t="shared" si="20"/>
        <v/>
      </c>
      <c r="AI183" s="11">
        <v>20.03063358</v>
      </c>
      <c r="AJ183" s="11">
        <v>9.340625284</v>
      </c>
      <c r="AK183" s="11" t="s">
        <v>375</v>
      </c>
      <c r="AL183" s="18" t="str">
        <f t="shared" si="21"/>
        <v/>
      </c>
    </row>
    <row r="184" ht="15.75" customHeight="1">
      <c r="A184" s="11" t="s">
        <v>376</v>
      </c>
      <c r="B184" s="11">
        <v>2015.0</v>
      </c>
      <c r="C184" s="12" t="str">
        <f>VLOOKUP(A184, Regions!A:B, 2, FALSE)
</f>
        <v>Latin America &amp; Caribbean</v>
      </c>
      <c r="D184" s="13">
        <f t="shared" si="1"/>
        <v>5</v>
      </c>
      <c r="E184" s="14">
        <f t="shared" si="2"/>
        <v>2017.5</v>
      </c>
      <c r="F184" s="11" t="s">
        <v>377</v>
      </c>
      <c r="G184" s="11">
        <v>26.44099808</v>
      </c>
      <c r="H184" s="11">
        <v>95.16185695</v>
      </c>
      <c r="I184" s="15">
        <f t="shared" si="3"/>
        <v>95</v>
      </c>
      <c r="J184" s="16" t="str">
        <f t="shared" si="4"/>
        <v/>
      </c>
      <c r="K184" s="16" t="str">
        <f t="shared" si="5"/>
        <v/>
      </c>
      <c r="L184" s="16" t="str">
        <f t="shared" si="6"/>
        <v/>
      </c>
      <c r="M184" s="16" t="str">
        <f t="shared" si="7"/>
        <v>ARC&gt;0</v>
      </c>
      <c r="N184" s="13">
        <f t="shared" si="8"/>
        <v>0.07858998</v>
      </c>
      <c r="O184" s="11">
        <v>1.233247953</v>
      </c>
      <c r="P184" s="11">
        <v>1.344803287</v>
      </c>
      <c r="Q184" s="11">
        <v>2.260091808</v>
      </c>
      <c r="R184" s="11">
        <v>93.42276971</v>
      </c>
      <c r="S184" s="15">
        <f t="shared" si="9"/>
        <v>93</v>
      </c>
      <c r="T184" s="17" t="str">
        <f t="shared" si="10"/>
        <v/>
      </c>
      <c r="U184" s="17" t="str">
        <f t="shared" si="11"/>
        <v/>
      </c>
      <c r="V184" s="17" t="str">
        <f t="shared" si="12"/>
        <v/>
      </c>
      <c r="W184" s="17" t="str">
        <f t="shared" si="13"/>
        <v>ARC&gt;0</v>
      </c>
      <c r="X184" s="13">
        <f t="shared" si="14"/>
        <v>0.101144158</v>
      </c>
      <c r="Y184" s="11">
        <v>1.676542504</v>
      </c>
      <c r="Z184" s="11">
        <v>1.82819943</v>
      </c>
      <c r="AA184" s="11">
        <v>3.072488358</v>
      </c>
      <c r="AB184" s="11">
        <v>100.0</v>
      </c>
      <c r="AC184" s="15">
        <f t="shared" si="15"/>
        <v>100</v>
      </c>
      <c r="AD184" s="16" t="str">
        <f t="shared" si="16"/>
        <v>full access</v>
      </c>
      <c r="AE184" s="16" t="str">
        <f t="shared" si="17"/>
        <v/>
      </c>
      <c r="AF184" s="16" t="str">
        <f t="shared" si="18"/>
        <v/>
      </c>
      <c r="AG184" s="16" t="str">
        <f t="shared" si="19"/>
        <v>ARC&gt;0</v>
      </c>
      <c r="AH184" s="13">
        <f t="shared" si="20"/>
        <v>0</v>
      </c>
      <c r="AI184" s="11">
        <v>0.0</v>
      </c>
      <c r="AJ184" s="11">
        <v>0.0</v>
      </c>
      <c r="AK184" s="11" t="s">
        <v>43</v>
      </c>
      <c r="AL184" s="18">
        <f t="shared" si="21"/>
        <v>0.101144158</v>
      </c>
    </row>
    <row r="185" ht="15.75" customHeight="1">
      <c r="A185" s="11" t="s">
        <v>376</v>
      </c>
      <c r="B185" s="11">
        <v>2020.0</v>
      </c>
      <c r="C185" s="12" t="str">
        <f>VLOOKUP(A185, Regions!A:B, 2, FALSE)
</f>
        <v>Latin America &amp; Caribbean</v>
      </c>
      <c r="D185" s="13" t="str">
        <f t="shared" si="1"/>
        <v/>
      </c>
      <c r="E185" s="14" t="str">
        <f t="shared" si="2"/>
        <v/>
      </c>
      <c r="F185" s="11" t="s">
        <v>378</v>
      </c>
      <c r="G185" s="11">
        <v>26.7859993</v>
      </c>
      <c r="H185" s="11">
        <v>95.55480685</v>
      </c>
      <c r="I185" s="15">
        <f t="shared" si="3"/>
        <v>96</v>
      </c>
      <c r="J185" s="16" t="str">
        <f t="shared" si="4"/>
        <v/>
      </c>
      <c r="K185" s="16" t="str">
        <f t="shared" si="5"/>
        <v/>
      </c>
      <c r="L185" s="16" t="str">
        <f t="shared" si="6"/>
        <v/>
      </c>
      <c r="M185" s="16" t="str">
        <f t="shared" si="7"/>
        <v>ARC&gt;0</v>
      </c>
      <c r="N185" s="13" t="str">
        <f t="shared" si="8"/>
        <v/>
      </c>
      <c r="O185" s="11">
        <v>1.205244408</v>
      </c>
      <c r="P185" s="11">
        <v>1.143069849</v>
      </c>
      <c r="Q185" s="11">
        <v>2.096878897</v>
      </c>
      <c r="R185" s="11">
        <v>93.9284905</v>
      </c>
      <c r="S185" s="15">
        <f t="shared" si="9"/>
        <v>94</v>
      </c>
      <c r="T185" s="17" t="str">
        <f t="shared" si="10"/>
        <v/>
      </c>
      <c r="U185" s="17" t="str">
        <f t="shared" si="11"/>
        <v/>
      </c>
      <c r="V185" s="17" t="str">
        <f t="shared" si="12"/>
        <v/>
      </c>
      <c r="W185" s="17" t="str">
        <f t="shared" si="13"/>
        <v>ARC&gt;0</v>
      </c>
      <c r="X185" s="13" t="str">
        <f t="shared" si="14"/>
        <v/>
      </c>
      <c r="Y185" s="11">
        <v>1.646193862</v>
      </c>
      <c r="Z185" s="11">
        <v>1.561274833</v>
      </c>
      <c r="AA185" s="11">
        <v>2.864040809</v>
      </c>
      <c r="AB185" s="11">
        <v>100.0</v>
      </c>
      <c r="AC185" s="15">
        <f t="shared" si="15"/>
        <v>100</v>
      </c>
      <c r="AD185" s="16" t="str">
        <f t="shared" si="16"/>
        <v/>
      </c>
      <c r="AE185" s="16" t="str">
        <f t="shared" si="17"/>
        <v/>
      </c>
      <c r="AF185" s="16" t="str">
        <f t="shared" si="18"/>
        <v/>
      </c>
      <c r="AG185" s="16" t="str">
        <f t="shared" si="19"/>
        <v>ARC&gt;0</v>
      </c>
      <c r="AH185" s="13" t="str">
        <f t="shared" si="20"/>
        <v/>
      </c>
      <c r="AI185" s="11">
        <v>0.0</v>
      </c>
      <c r="AJ185" s="11">
        <v>0.0</v>
      </c>
      <c r="AK185" s="11" t="s">
        <v>43</v>
      </c>
      <c r="AL185" s="18" t="str">
        <f t="shared" si="21"/>
        <v/>
      </c>
    </row>
    <row r="186" ht="15.75" customHeight="1">
      <c r="A186" s="11" t="s">
        <v>379</v>
      </c>
      <c r="B186" s="11">
        <v>2015.0</v>
      </c>
      <c r="C186" s="12" t="str">
        <f>VLOOKUP(A186, Regions!A:B, 2, FALSE)
</f>
        <v>Sub-Saharan Africa</v>
      </c>
      <c r="D186" s="13">
        <f t="shared" si="1"/>
        <v>5</v>
      </c>
      <c r="E186" s="14">
        <f t="shared" si="2"/>
        <v>2017.5</v>
      </c>
      <c r="F186" s="11" t="s">
        <v>380</v>
      </c>
      <c r="G186" s="11">
        <v>52.42699814</v>
      </c>
      <c r="H186" s="11">
        <v>64.56748594</v>
      </c>
      <c r="I186" s="15">
        <f t="shared" si="3"/>
        <v>65</v>
      </c>
      <c r="J186" s="16" t="str">
        <f t="shared" si="4"/>
        <v/>
      </c>
      <c r="K186" s="16" t="str">
        <f t="shared" si="5"/>
        <v/>
      </c>
      <c r="L186" s="16" t="str">
        <f t="shared" si="6"/>
        <v/>
      </c>
      <c r="M186" s="16" t="str">
        <f t="shared" si="7"/>
        <v>ARC&gt;0</v>
      </c>
      <c r="N186" s="13">
        <f t="shared" si="8"/>
        <v>0.425564492</v>
      </c>
      <c r="O186" s="11">
        <v>9.21848701</v>
      </c>
      <c r="P186" s="11">
        <v>25.47783945</v>
      </c>
      <c r="Q186" s="11">
        <v>0.7361875961</v>
      </c>
      <c r="R186" s="11">
        <v>42.41641805</v>
      </c>
      <c r="S186" s="15">
        <f t="shared" si="9"/>
        <v>42</v>
      </c>
      <c r="T186" s="17" t="str">
        <f t="shared" si="10"/>
        <v/>
      </c>
      <c r="U186" s="17" t="str">
        <f t="shared" si="11"/>
        <v/>
      </c>
      <c r="V186" s="17" t="str">
        <f t="shared" si="12"/>
        <v/>
      </c>
      <c r="W186" s="17" t="str">
        <f t="shared" si="13"/>
        <v>ARC&gt;0</v>
      </c>
      <c r="X186" s="13">
        <f t="shared" si="14"/>
        <v>0.08585641</v>
      </c>
      <c r="Y186" s="11">
        <v>12.22889789</v>
      </c>
      <c r="Z186" s="11">
        <v>43.80719375</v>
      </c>
      <c r="AA186" s="11">
        <v>1.547490317</v>
      </c>
      <c r="AB186" s="11">
        <v>84.66767913</v>
      </c>
      <c r="AC186" s="15">
        <f t="shared" si="15"/>
        <v>85</v>
      </c>
      <c r="AD186" s="16" t="str">
        <f t="shared" si="16"/>
        <v/>
      </c>
      <c r="AE186" s="16" t="str">
        <f t="shared" si="17"/>
        <v/>
      </c>
      <c r="AF186" s="16" t="str">
        <f t="shared" si="18"/>
        <v/>
      </c>
      <c r="AG186" s="16" t="str">
        <f t="shared" si="19"/>
        <v>ARC&gt;0</v>
      </c>
      <c r="AH186" s="13">
        <f t="shared" si="20"/>
        <v>-0.009011568</v>
      </c>
      <c r="AI186" s="11">
        <v>6.486797483</v>
      </c>
      <c r="AJ186" s="11">
        <v>8.845523388</v>
      </c>
      <c r="AK186" s="11" t="s">
        <v>43</v>
      </c>
      <c r="AL186" s="18">
        <f t="shared" si="21"/>
        <v>0.094867978</v>
      </c>
    </row>
    <row r="187" ht="15.75" customHeight="1">
      <c r="A187" s="11" t="s">
        <v>379</v>
      </c>
      <c r="B187" s="11">
        <v>2020.0</v>
      </c>
      <c r="C187" s="12" t="str">
        <f>VLOOKUP(A187, Regions!A:B, 2, FALSE)
</f>
        <v>Sub-Saharan Africa</v>
      </c>
      <c r="D187" s="13" t="str">
        <f t="shared" si="1"/>
        <v/>
      </c>
      <c r="E187" s="14" t="str">
        <f t="shared" si="2"/>
        <v/>
      </c>
      <c r="F187" s="11" t="s">
        <v>381</v>
      </c>
      <c r="G187" s="11">
        <v>57.08799744</v>
      </c>
      <c r="H187" s="11">
        <v>66.6953084</v>
      </c>
      <c r="I187" s="15">
        <f t="shared" si="3"/>
        <v>67</v>
      </c>
      <c r="J187" s="16" t="str">
        <f t="shared" si="4"/>
        <v/>
      </c>
      <c r="K187" s="16" t="str">
        <f t="shared" si="5"/>
        <v/>
      </c>
      <c r="L187" s="16" t="str">
        <f t="shared" si="6"/>
        <v/>
      </c>
      <c r="M187" s="16" t="str">
        <f t="shared" si="7"/>
        <v>ARC&gt;0</v>
      </c>
      <c r="N187" s="13" t="str">
        <f t="shared" si="8"/>
        <v/>
      </c>
      <c r="O187" s="11">
        <v>9.814543652</v>
      </c>
      <c r="P187" s="11">
        <v>23.49014795</v>
      </c>
      <c r="Q187" s="11">
        <v>0.0</v>
      </c>
      <c r="R187" s="11">
        <v>42.8457001</v>
      </c>
      <c r="S187" s="15">
        <f t="shared" si="9"/>
        <v>43</v>
      </c>
      <c r="T187" s="17" t="str">
        <f t="shared" si="10"/>
        <v/>
      </c>
      <c r="U187" s="17" t="str">
        <f t="shared" si="11"/>
        <v/>
      </c>
      <c r="V187" s="17" t="str">
        <f t="shared" si="12"/>
        <v/>
      </c>
      <c r="W187" s="17" t="str">
        <f t="shared" si="13"/>
        <v>ARC&gt;0</v>
      </c>
      <c r="X187" s="13" t="str">
        <f t="shared" si="14"/>
        <v/>
      </c>
      <c r="Y187" s="11">
        <v>13.25598695</v>
      </c>
      <c r="Z187" s="11">
        <v>43.89831295</v>
      </c>
      <c r="AA187" s="11">
        <v>0.0</v>
      </c>
      <c r="AB187" s="11">
        <v>84.62262129</v>
      </c>
      <c r="AC187" s="15">
        <f t="shared" si="15"/>
        <v>85</v>
      </c>
      <c r="AD187" s="16" t="str">
        <f t="shared" si="16"/>
        <v/>
      </c>
      <c r="AE187" s="16" t="str">
        <f t="shared" si="17"/>
        <v/>
      </c>
      <c r="AF187" s="16" t="str">
        <f t="shared" si="18"/>
        <v/>
      </c>
      <c r="AG187" s="16" t="str">
        <f t="shared" si="19"/>
        <v>ARC&gt;0</v>
      </c>
      <c r="AH187" s="13" t="str">
        <f t="shared" si="20"/>
        <v/>
      </c>
      <c r="AI187" s="11">
        <v>7.227673879</v>
      </c>
      <c r="AJ187" s="11">
        <v>8.149704835</v>
      </c>
      <c r="AK187" s="11" t="s">
        <v>43</v>
      </c>
      <c r="AL187" s="18" t="str">
        <f t="shared" si="21"/>
        <v/>
      </c>
    </row>
    <row r="188" ht="15.75" customHeight="1">
      <c r="A188" s="11" t="s">
        <v>382</v>
      </c>
      <c r="B188" s="11">
        <v>2015.0</v>
      </c>
      <c r="C188" s="12" t="str">
        <f>VLOOKUP(A188, Regions!A:B, 2, FALSE)
</f>
        <v>Latin America &amp; Caribbean</v>
      </c>
      <c r="D188" s="13">
        <f t="shared" si="1"/>
        <v>5</v>
      </c>
      <c r="E188" s="14">
        <f t="shared" si="2"/>
        <v>2017.5</v>
      </c>
      <c r="F188" s="11" t="s">
        <v>383</v>
      </c>
      <c r="G188" s="11">
        <v>55.1649971</v>
      </c>
      <c r="H188" s="11">
        <v>93.25441071</v>
      </c>
      <c r="I188" s="15">
        <f t="shared" si="3"/>
        <v>93</v>
      </c>
      <c r="J188" s="16" t="str">
        <f t="shared" si="4"/>
        <v/>
      </c>
      <c r="K188" s="16" t="str">
        <f t="shared" si="5"/>
        <v/>
      </c>
      <c r="L188" s="16" t="str">
        <f t="shared" si="6"/>
        <v/>
      </c>
      <c r="M188" s="16" t="str">
        <f t="shared" si="7"/>
        <v>ARC&gt;0</v>
      </c>
      <c r="N188" s="13">
        <f t="shared" si="8"/>
        <v>0.486962084</v>
      </c>
      <c r="O188" s="11">
        <v>0.4317541067</v>
      </c>
      <c r="P188" s="11">
        <v>6.022156156</v>
      </c>
      <c r="Q188" s="11">
        <v>0.2916790284</v>
      </c>
      <c r="R188" s="11">
        <v>86.43707375</v>
      </c>
      <c r="S188" s="15">
        <f t="shared" si="9"/>
        <v>86</v>
      </c>
      <c r="T188" s="17" t="str">
        <f t="shared" si="10"/>
        <v/>
      </c>
      <c r="U188" s="17" t="str">
        <f t="shared" si="11"/>
        <v/>
      </c>
      <c r="V188" s="17" t="str">
        <f t="shared" si="12"/>
        <v/>
      </c>
      <c r="W188" s="17" t="str">
        <f t="shared" si="13"/>
        <v>ARC&gt;0</v>
      </c>
      <c r="X188" s="13">
        <f t="shared" si="14"/>
        <v>0.68774516</v>
      </c>
      <c r="Y188" s="11">
        <v>0.7758441046</v>
      </c>
      <c r="Z188" s="11">
        <v>12.14597638</v>
      </c>
      <c r="AA188" s="11">
        <v>0.6411057671</v>
      </c>
      <c r="AB188" s="11">
        <v>98.79516268</v>
      </c>
      <c r="AC188" s="15">
        <f t="shared" si="15"/>
        <v>99</v>
      </c>
      <c r="AD188" s="16" t="str">
        <f t="shared" si="16"/>
        <v/>
      </c>
      <c r="AE188" s="16" t="str">
        <f t="shared" si="17"/>
        <v/>
      </c>
      <c r="AF188" s="16" t="str">
        <f t="shared" si="18"/>
        <v/>
      </c>
      <c r="AG188" s="16" t="str">
        <f t="shared" si="19"/>
        <v>ARC&gt;0</v>
      </c>
      <c r="AH188" s="13">
        <f t="shared" si="20"/>
        <v>0.208424026</v>
      </c>
      <c r="AI188" s="11">
        <v>0.152097161</v>
      </c>
      <c r="AJ188" s="11">
        <v>1.04505549</v>
      </c>
      <c r="AK188" s="11" t="s">
        <v>384</v>
      </c>
      <c r="AL188" s="18">
        <f t="shared" si="21"/>
        <v>0.479321134</v>
      </c>
    </row>
    <row r="189" ht="15.75" customHeight="1">
      <c r="A189" s="11" t="s">
        <v>382</v>
      </c>
      <c r="B189" s="11">
        <v>2020.0</v>
      </c>
      <c r="C189" s="12" t="str">
        <f>VLOOKUP(A189, Regions!A:B, 2, FALSE)
</f>
        <v>Latin America &amp; Caribbean</v>
      </c>
      <c r="D189" s="13" t="str">
        <f t="shared" si="1"/>
        <v/>
      </c>
      <c r="E189" s="14" t="str">
        <f t="shared" si="2"/>
        <v/>
      </c>
      <c r="F189" s="11" t="s">
        <v>385</v>
      </c>
      <c r="G189" s="11">
        <v>58.35899734</v>
      </c>
      <c r="H189" s="11">
        <v>95.68922113</v>
      </c>
      <c r="I189" s="15">
        <f t="shared" si="3"/>
        <v>96</v>
      </c>
      <c r="J189" s="16" t="str">
        <f t="shared" si="4"/>
        <v/>
      </c>
      <c r="K189" s="16" t="str">
        <f t="shared" si="5"/>
        <v/>
      </c>
      <c r="L189" s="16" t="str">
        <f t="shared" si="6"/>
        <v/>
      </c>
      <c r="M189" s="16" t="str">
        <f t="shared" si="7"/>
        <v>ARC&gt;0</v>
      </c>
      <c r="N189" s="13" t="str">
        <f t="shared" si="8"/>
        <v/>
      </c>
      <c r="O189" s="11">
        <v>0.4256206085</v>
      </c>
      <c r="P189" s="11">
        <v>3.885158264</v>
      </c>
      <c r="Q189" s="11">
        <v>0.0</v>
      </c>
      <c r="R189" s="11">
        <v>89.87579955</v>
      </c>
      <c r="S189" s="15">
        <f t="shared" si="9"/>
        <v>90</v>
      </c>
      <c r="T189" s="17" t="str">
        <f t="shared" si="10"/>
        <v/>
      </c>
      <c r="U189" s="17" t="str">
        <f t="shared" si="11"/>
        <v/>
      </c>
      <c r="V189" s="17" t="str">
        <f t="shared" si="12"/>
        <v/>
      </c>
      <c r="W189" s="17" t="str">
        <f t="shared" si="13"/>
        <v>ARC&gt;0</v>
      </c>
      <c r="X189" s="13" t="str">
        <f t="shared" si="14"/>
        <v/>
      </c>
      <c r="Y189" s="11">
        <v>0.8067095079</v>
      </c>
      <c r="Z189" s="11">
        <v>9.317490946</v>
      </c>
      <c r="AA189" s="11">
        <v>0.0</v>
      </c>
      <c r="AB189" s="11">
        <v>99.83728281</v>
      </c>
      <c r="AC189" s="15">
        <f t="shared" si="15"/>
        <v>100</v>
      </c>
      <c r="AD189" s="16" t="str">
        <f t="shared" si="16"/>
        <v/>
      </c>
      <c r="AE189" s="16" t="str">
        <f t="shared" si="17"/>
        <v/>
      </c>
      <c r="AF189" s="16" t="str">
        <f t="shared" si="18"/>
        <v/>
      </c>
      <c r="AG189" s="16" t="str">
        <f t="shared" si="19"/>
        <v>ARC&gt;0</v>
      </c>
      <c r="AH189" s="13" t="str">
        <f t="shared" si="20"/>
        <v/>
      </c>
      <c r="AI189" s="11">
        <v>0.1537015262</v>
      </c>
      <c r="AJ189" s="11">
        <v>0.009015663296</v>
      </c>
      <c r="AK189" s="11" t="s">
        <v>43</v>
      </c>
      <c r="AL189" s="18" t="str">
        <f t="shared" si="21"/>
        <v/>
      </c>
    </row>
    <row r="190" ht="15.75" customHeight="1">
      <c r="A190" s="11" t="s">
        <v>386</v>
      </c>
      <c r="B190" s="11">
        <v>2015.0</v>
      </c>
      <c r="C190" s="12" t="str">
        <f>VLOOKUP(A190, Regions!A:B, 2, FALSE)
</f>
        <v>Europe &amp; Central Asia</v>
      </c>
      <c r="D190" s="13">
        <f t="shared" si="1"/>
        <v>5</v>
      </c>
      <c r="E190" s="14">
        <f t="shared" si="2"/>
        <v>2017.5</v>
      </c>
      <c r="F190" s="11" t="s">
        <v>387</v>
      </c>
      <c r="G190" s="11">
        <v>70.5</v>
      </c>
      <c r="H190" s="11">
        <v>99.97052896</v>
      </c>
      <c r="I190" s="15">
        <f t="shared" si="3"/>
        <v>100</v>
      </c>
      <c r="J190" s="16" t="str">
        <f t="shared" si="4"/>
        <v>full access</v>
      </c>
      <c r="K190" s="16" t="str">
        <f t="shared" si="5"/>
        <v/>
      </c>
      <c r="L190" s="16" t="str">
        <f t="shared" si="6"/>
        <v/>
      </c>
      <c r="M190" s="16" t="str">
        <f t="shared" si="7"/>
        <v/>
      </c>
      <c r="N190" s="13">
        <f t="shared" si="8"/>
        <v>0.005893702</v>
      </c>
      <c r="O190" s="11">
        <v>0.0</v>
      </c>
      <c r="P190" s="11">
        <v>0.0294710394</v>
      </c>
      <c r="Q190" s="11">
        <v>0.0</v>
      </c>
      <c r="R190" s="11">
        <v>99.90008972</v>
      </c>
      <c r="S190" s="15">
        <f t="shared" si="9"/>
        <v>100</v>
      </c>
      <c r="T190" s="17" t="str">
        <f t="shared" si="10"/>
        <v>full access</v>
      </c>
      <c r="U190" s="17" t="str">
        <f t="shared" si="11"/>
        <v/>
      </c>
      <c r="V190" s="17" t="str">
        <f t="shared" si="12"/>
        <v/>
      </c>
      <c r="W190" s="17" t="str">
        <f t="shared" si="13"/>
        <v>ARC&gt;0</v>
      </c>
      <c r="X190" s="13">
        <f t="shared" si="14"/>
        <v>0.019982056</v>
      </c>
      <c r="Y190" s="11">
        <v>0.0</v>
      </c>
      <c r="Z190" s="11">
        <v>0.09991028479</v>
      </c>
      <c r="AA190" s="11">
        <v>0.0</v>
      </c>
      <c r="AB190" s="11">
        <v>100.0</v>
      </c>
      <c r="AC190" s="15">
        <f t="shared" si="15"/>
        <v>100</v>
      </c>
      <c r="AD190" s="16" t="str">
        <f t="shared" si="16"/>
        <v>full access</v>
      </c>
      <c r="AE190" s="16" t="str">
        <f t="shared" si="17"/>
        <v/>
      </c>
      <c r="AF190" s="16" t="str">
        <f t="shared" si="18"/>
        <v/>
      </c>
      <c r="AG190" s="16" t="str">
        <f t="shared" si="19"/>
        <v>ARC&gt;0</v>
      </c>
      <c r="AH190" s="13">
        <f t="shared" si="20"/>
        <v>0</v>
      </c>
      <c r="AI190" s="11">
        <v>0.0</v>
      </c>
      <c r="AJ190" s="11">
        <v>0.0</v>
      </c>
      <c r="AK190" s="11" t="s">
        <v>43</v>
      </c>
      <c r="AL190" s="18">
        <f t="shared" si="21"/>
        <v>0.019982056</v>
      </c>
    </row>
    <row r="191" ht="15.75" customHeight="1">
      <c r="A191" s="11" t="s">
        <v>386</v>
      </c>
      <c r="B191" s="11">
        <v>2020.0</v>
      </c>
      <c r="C191" s="12" t="str">
        <f>VLOOKUP(A191, Regions!A:B, 2, FALSE)
</f>
        <v>Europe &amp; Central Asia</v>
      </c>
      <c r="D191" s="13" t="str">
        <f t="shared" si="1"/>
        <v/>
      </c>
      <c r="E191" s="14" t="str">
        <f t="shared" si="2"/>
        <v/>
      </c>
      <c r="F191" s="11" t="s">
        <v>388</v>
      </c>
      <c r="G191" s="11">
        <v>71.94200134</v>
      </c>
      <c r="H191" s="11">
        <v>99.99999747</v>
      </c>
      <c r="I191" s="15">
        <f t="shared" si="3"/>
        <v>100</v>
      </c>
      <c r="J191" s="16" t="str">
        <f t="shared" si="4"/>
        <v/>
      </c>
      <c r="K191" s="16" t="str">
        <f t="shared" si="5"/>
        <v/>
      </c>
      <c r="L191" s="16" t="str">
        <f t="shared" si="6"/>
        <v/>
      </c>
      <c r="M191" s="16" t="str">
        <f t="shared" si="7"/>
        <v>ARC&gt;0</v>
      </c>
      <c r="N191" s="13" t="str">
        <f t="shared" si="8"/>
        <v/>
      </c>
      <c r="O191" s="11">
        <v>0.0</v>
      </c>
      <c r="P191" s="11">
        <v>2.527244192E-6</v>
      </c>
      <c r="Q191" s="11">
        <v>0.0</v>
      </c>
      <c r="R191" s="11">
        <v>100.0</v>
      </c>
      <c r="S191" s="15">
        <f t="shared" si="9"/>
        <v>100</v>
      </c>
      <c r="T191" s="17" t="str">
        <f t="shared" si="10"/>
        <v/>
      </c>
      <c r="U191" s="17" t="str">
        <f t="shared" si="11"/>
        <v/>
      </c>
      <c r="V191" s="17" t="str">
        <f t="shared" si="12"/>
        <v/>
      </c>
      <c r="W191" s="17" t="str">
        <f t="shared" si="13"/>
        <v>ARC&gt;0</v>
      </c>
      <c r="X191" s="13" t="str">
        <f t="shared" si="14"/>
        <v/>
      </c>
      <c r="Y191" s="11">
        <v>0.0</v>
      </c>
      <c r="Z191" s="11">
        <v>0.0</v>
      </c>
      <c r="AA191" s="11">
        <v>0.0</v>
      </c>
      <c r="AB191" s="11">
        <v>100.0</v>
      </c>
      <c r="AC191" s="15">
        <f t="shared" si="15"/>
        <v>100</v>
      </c>
      <c r="AD191" s="16" t="str">
        <f t="shared" si="16"/>
        <v/>
      </c>
      <c r="AE191" s="16" t="str">
        <f t="shared" si="17"/>
        <v/>
      </c>
      <c r="AF191" s="16" t="str">
        <f t="shared" si="18"/>
        <v/>
      </c>
      <c r="AG191" s="16" t="str">
        <f t="shared" si="19"/>
        <v>ARC&gt;0</v>
      </c>
      <c r="AH191" s="13" t="str">
        <f t="shared" si="20"/>
        <v/>
      </c>
      <c r="AI191" s="11">
        <v>0.0</v>
      </c>
      <c r="AJ191" s="11">
        <v>0.0</v>
      </c>
      <c r="AK191" s="11" t="s">
        <v>43</v>
      </c>
      <c r="AL191" s="18" t="str">
        <f t="shared" si="21"/>
        <v/>
      </c>
    </row>
    <row r="192" ht="15.75" customHeight="1">
      <c r="A192" s="11" t="s">
        <v>389</v>
      </c>
      <c r="B192" s="11">
        <v>2015.0</v>
      </c>
      <c r="C192" s="12" t="str">
        <f>VLOOKUP(A192, Regions!A:B, 2, FALSE)
</f>
        <v>Europe &amp; Central Asia</v>
      </c>
      <c r="D192" s="13">
        <f t="shared" si="1"/>
        <v>5</v>
      </c>
      <c r="E192" s="14">
        <f t="shared" si="2"/>
        <v>2017.5</v>
      </c>
      <c r="F192" s="11" t="s">
        <v>390</v>
      </c>
      <c r="G192" s="11">
        <v>93.69999695</v>
      </c>
      <c r="H192" s="11">
        <v>100.0000023</v>
      </c>
      <c r="I192" s="15">
        <f t="shared" si="3"/>
        <v>100</v>
      </c>
      <c r="J192" s="16" t="str">
        <f t="shared" si="4"/>
        <v>full access</v>
      </c>
      <c r="K192" s="16" t="str">
        <f t="shared" si="5"/>
        <v/>
      </c>
      <c r="L192" s="16" t="str">
        <f t="shared" si="6"/>
        <v/>
      </c>
      <c r="M192" s="16" t="str">
        <f t="shared" si="7"/>
        <v/>
      </c>
      <c r="N192" s="13">
        <f t="shared" si="8"/>
        <v>-0.000001018</v>
      </c>
      <c r="O192" s="11">
        <v>0.0</v>
      </c>
      <c r="P192" s="11">
        <v>0.0</v>
      </c>
      <c r="Q192" s="11">
        <v>0.0</v>
      </c>
      <c r="R192" s="11">
        <v>100.0</v>
      </c>
      <c r="S192" s="15">
        <f t="shared" si="9"/>
        <v>100</v>
      </c>
      <c r="T192" s="17" t="str">
        <f t="shared" si="10"/>
        <v>full access</v>
      </c>
      <c r="U192" s="17" t="str">
        <f t="shared" si="11"/>
        <v/>
      </c>
      <c r="V192" s="17" t="str">
        <f t="shared" si="12"/>
        <v/>
      </c>
      <c r="W192" s="17" t="str">
        <f t="shared" si="13"/>
        <v>ARC&gt;0</v>
      </c>
      <c r="X192" s="13">
        <f t="shared" si="14"/>
        <v>0</v>
      </c>
      <c r="Y192" s="11">
        <v>0.0</v>
      </c>
      <c r="Z192" s="11">
        <v>0.0</v>
      </c>
      <c r="AA192" s="11">
        <v>0.0</v>
      </c>
      <c r="AB192" s="11">
        <v>100.0</v>
      </c>
      <c r="AC192" s="15">
        <f t="shared" si="15"/>
        <v>100</v>
      </c>
      <c r="AD192" s="16" t="str">
        <f t="shared" si="16"/>
        <v>full access</v>
      </c>
      <c r="AE192" s="16" t="str">
        <f t="shared" si="17"/>
        <v/>
      </c>
      <c r="AF192" s="16" t="str">
        <f t="shared" si="18"/>
        <v/>
      </c>
      <c r="AG192" s="16" t="str">
        <f t="shared" si="19"/>
        <v>ARC&gt;0</v>
      </c>
      <c r="AH192" s="13">
        <f t="shared" si="20"/>
        <v>0</v>
      </c>
      <c r="AI192" s="11">
        <v>0.0</v>
      </c>
      <c r="AJ192" s="11">
        <v>0.0</v>
      </c>
      <c r="AK192" s="11" t="s">
        <v>43</v>
      </c>
      <c r="AL192" s="18">
        <f t="shared" si="21"/>
        <v>0</v>
      </c>
    </row>
    <row r="193" ht="15.75" customHeight="1">
      <c r="A193" s="11" t="s">
        <v>389</v>
      </c>
      <c r="B193" s="11">
        <v>2020.0</v>
      </c>
      <c r="C193" s="12" t="str">
        <f>VLOOKUP(A193, Regions!A:B, 2, FALSE)
</f>
        <v>Europe &amp; Central Asia</v>
      </c>
      <c r="D193" s="13" t="str">
        <f t="shared" si="1"/>
        <v/>
      </c>
      <c r="E193" s="14" t="str">
        <f t="shared" si="2"/>
        <v/>
      </c>
      <c r="F193" s="11" t="s">
        <v>391</v>
      </c>
      <c r="G193" s="11">
        <v>93.897995</v>
      </c>
      <c r="H193" s="11">
        <v>99.99999721</v>
      </c>
      <c r="I193" s="15">
        <f t="shared" si="3"/>
        <v>100</v>
      </c>
      <c r="J193" s="16" t="str">
        <f t="shared" si="4"/>
        <v/>
      </c>
      <c r="K193" s="16" t="str">
        <f t="shared" si="5"/>
        <v/>
      </c>
      <c r="L193" s="16" t="str">
        <f t="shared" si="6"/>
        <v/>
      </c>
      <c r="M193" s="16" t="str">
        <f t="shared" si="7"/>
        <v>ARC&gt;0</v>
      </c>
      <c r="N193" s="13" t="str">
        <f t="shared" si="8"/>
        <v/>
      </c>
      <c r="O193" s="11">
        <v>0.0</v>
      </c>
      <c r="P193" s="11">
        <v>2.794650015E-6</v>
      </c>
      <c r="Q193" s="11">
        <v>0.0</v>
      </c>
      <c r="R193" s="11">
        <v>100.0</v>
      </c>
      <c r="S193" s="15">
        <f t="shared" si="9"/>
        <v>100</v>
      </c>
      <c r="T193" s="17" t="str">
        <f t="shared" si="10"/>
        <v/>
      </c>
      <c r="U193" s="17" t="str">
        <f t="shared" si="11"/>
        <v/>
      </c>
      <c r="V193" s="17" t="str">
        <f t="shared" si="12"/>
        <v/>
      </c>
      <c r="W193" s="17" t="str">
        <f t="shared" si="13"/>
        <v>ARC&gt;0</v>
      </c>
      <c r="X193" s="13" t="str">
        <f t="shared" si="14"/>
        <v/>
      </c>
      <c r="Y193" s="11">
        <v>0.0</v>
      </c>
      <c r="Z193" s="11">
        <v>0.0</v>
      </c>
      <c r="AA193" s="11">
        <v>0.0</v>
      </c>
      <c r="AB193" s="11">
        <v>100.0</v>
      </c>
      <c r="AC193" s="15">
        <f t="shared" si="15"/>
        <v>100</v>
      </c>
      <c r="AD193" s="16" t="str">
        <f t="shared" si="16"/>
        <v/>
      </c>
      <c r="AE193" s="16" t="str">
        <f t="shared" si="17"/>
        <v/>
      </c>
      <c r="AF193" s="16" t="str">
        <f t="shared" si="18"/>
        <v/>
      </c>
      <c r="AG193" s="16" t="str">
        <f t="shared" si="19"/>
        <v>ARC&gt;0</v>
      </c>
      <c r="AH193" s="13" t="str">
        <f t="shared" si="20"/>
        <v/>
      </c>
      <c r="AI193" s="11">
        <v>0.0</v>
      </c>
      <c r="AJ193" s="11">
        <v>0.0</v>
      </c>
      <c r="AK193" s="11" t="s">
        <v>43</v>
      </c>
      <c r="AL193" s="18" t="str">
        <f t="shared" si="21"/>
        <v/>
      </c>
    </row>
    <row r="194" ht="15.75" customHeight="1">
      <c r="A194" s="11" t="s">
        <v>392</v>
      </c>
      <c r="B194" s="11">
        <v>2015.0</v>
      </c>
      <c r="C194" s="12" t="str">
        <f>VLOOKUP(A194, Regions!A:B, 2, FALSE)
</f>
        <v>South Asia</v>
      </c>
      <c r="D194" s="13">
        <f t="shared" si="1"/>
        <v>5</v>
      </c>
      <c r="E194" s="14">
        <f t="shared" si="2"/>
        <v>2017.5</v>
      </c>
      <c r="F194" s="11" t="s">
        <v>393</v>
      </c>
      <c r="G194" s="11">
        <v>32.77700043</v>
      </c>
      <c r="H194" s="11">
        <v>88.13813263</v>
      </c>
      <c r="I194" s="15">
        <f t="shared" si="3"/>
        <v>88</v>
      </c>
      <c r="J194" s="16" t="str">
        <f t="shared" si="4"/>
        <v/>
      </c>
      <c r="K194" s="16" t="str">
        <f t="shared" si="5"/>
        <v/>
      </c>
      <c r="L194" s="16" t="str">
        <f t="shared" si="6"/>
        <v/>
      </c>
      <c r="M194" s="16" t="str">
        <f t="shared" si="7"/>
        <v>ARC&gt;0</v>
      </c>
      <c r="N194" s="13">
        <f t="shared" si="8"/>
        <v>0.47027848</v>
      </c>
      <c r="O194" s="11">
        <v>4.692599015</v>
      </c>
      <c r="P194" s="11">
        <v>6.412451552</v>
      </c>
      <c r="Q194" s="11">
        <v>0.7568168039</v>
      </c>
      <c r="R194" s="11">
        <v>85.57200035</v>
      </c>
      <c r="S194" s="15">
        <f t="shared" si="9"/>
        <v>86</v>
      </c>
      <c r="T194" s="17" t="str">
        <f t="shared" si="10"/>
        <v/>
      </c>
      <c r="U194" s="17" t="str">
        <f t="shared" si="11"/>
        <v/>
      </c>
      <c r="V194" s="17" t="str">
        <f t="shared" si="12"/>
        <v/>
      </c>
      <c r="W194" s="17" t="str">
        <f t="shared" si="13"/>
        <v>ARC&gt;0</v>
      </c>
      <c r="X194" s="13">
        <f t="shared" si="14"/>
        <v>0.642100556</v>
      </c>
      <c r="Y194" s="11">
        <v>5.542133893</v>
      </c>
      <c r="Z194" s="11">
        <v>7.880870004</v>
      </c>
      <c r="AA194" s="11">
        <v>1.004995751</v>
      </c>
      <c r="AB194" s="11">
        <v>93.40106461</v>
      </c>
      <c r="AC194" s="15">
        <f t="shared" si="15"/>
        <v>93</v>
      </c>
      <c r="AD194" s="16" t="str">
        <f t="shared" si="16"/>
        <v/>
      </c>
      <c r="AE194" s="16" t="str">
        <f t="shared" si="17"/>
        <v/>
      </c>
      <c r="AF194" s="16" t="str">
        <f t="shared" si="18"/>
        <v/>
      </c>
      <c r="AG194" s="16" t="str">
        <f t="shared" si="19"/>
        <v>ARC&gt;0</v>
      </c>
      <c r="AH194" s="13">
        <f t="shared" si="20"/>
        <v>0.053794338</v>
      </c>
      <c r="AI194" s="11">
        <v>2.950270954</v>
      </c>
      <c r="AJ194" s="11">
        <v>3.4008428</v>
      </c>
      <c r="AK194" s="11" t="s">
        <v>394</v>
      </c>
      <c r="AL194" s="18">
        <f t="shared" si="21"/>
        <v>0.588306218</v>
      </c>
    </row>
    <row r="195" ht="15.75" customHeight="1">
      <c r="A195" s="11" t="s">
        <v>392</v>
      </c>
      <c r="B195" s="11">
        <v>2020.0</v>
      </c>
      <c r="C195" s="12" t="str">
        <f>VLOOKUP(A195, Regions!A:B, 2, FALSE)
</f>
        <v>South Asia</v>
      </c>
      <c r="D195" s="13" t="str">
        <f t="shared" si="1"/>
        <v/>
      </c>
      <c r="E195" s="14" t="str">
        <f t="shared" si="2"/>
        <v/>
      </c>
      <c r="F195" s="11" t="s">
        <v>395</v>
      </c>
      <c r="G195" s="11">
        <v>34.9260025</v>
      </c>
      <c r="H195" s="11">
        <v>90.48952503</v>
      </c>
      <c r="I195" s="15">
        <f t="shared" si="3"/>
        <v>90</v>
      </c>
      <c r="J195" s="16" t="str">
        <f t="shared" si="4"/>
        <v/>
      </c>
      <c r="K195" s="16" t="str">
        <f t="shared" si="5"/>
        <v/>
      </c>
      <c r="L195" s="16" t="str">
        <f t="shared" si="6"/>
        <v/>
      </c>
      <c r="M195" s="16" t="str">
        <f t="shared" si="7"/>
        <v>ARC&gt;0</v>
      </c>
      <c r="N195" s="13" t="str">
        <f t="shared" si="8"/>
        <v/>
      </c>
      <c r="O195" s="11">
        <v>4.983602562</v>
      </c>
      <c r="P195" s="11">
        <v>3.963153945</v>
      </c>
      <c r="Q195" s="11">
        <v>0.5637184626</v>
      </c>
      <c r="R195" s="11">
        <v>88.78250313</v>
      </c>
      <c r="S195" s="15">
        <f t="shared" si="9"/>
        <v>89</v>
      </c>
      <c r="T195" s="17" t="str">
        <f t="shared" si="10"/>
        <v/>
      </c>
      <c r="U195" s="17" t="str">
        <f t="shared" si="11"/>
        <v/>
      </c>
      <c r="V195" s="17" t="str">
        <f t="shared" si="12"/>
        <v/>
      </c>
      <c r="W195" s="17" t="str">
        <f t="shared" si="13"/>
        <v>ARC&gt;0</v>
      </c>
      <c r="X195" s="13" t="str">
        <f t="shared" si="14"/>
        <v/>
      </c>
      <c r="Y195" s="11">
        <v>5.902210054</v>
      </c>
      <c r="Z195" s="11">
        <v>4.57637573</v>
      </c>
      <c r="AA195" s="11">
        <v>0.7389110856</v>
      </c>
      <c r="AB195" s="11">
        <v>93.6700363</v>
      </c>
      <c r="AC195" s="15">
        <f t="shared" si="15"/>
        <v>94</v>
      </c>
      <c r="AD195" s="16" t="str">
        <f t="shared" si="16"/>
        <v/>
      </c>
      <c r="AE195" s="16" t="str">
        <f t="shared" si="17"/>
        <v/>
      </c>
      <c r="AF195" s="16" t="str">
        <f t="shared" si="18"/>
        <v/>
      </c>
      <c r="AG195" s="16" t="str">
        <f t="shared" si="19"/>
        <v>ARC&gt;0</v>
      </c>
      <c r="AH195" s="13" t="str">
        <f t="shared" si="20"/>
        <v/>
      </c>
      <c r="AI195" s="11">
        <v>3.272056027</v>
      </c>
      <c r="AJ195" s="11">
        <v>2.820607523</v>
      </c>
      <c r="AK195" s="11" t="s">
        <v>396</v>
      </c>
      <c r="AL195" s="18" t="str">
        <f t="shared" si="21"/>
        <v/>
      </c>
    </row>
    <row r="196" ht="15.75" customHeight="1">
      <c r="A196" s="11" t="s">
        <v>397</v>
      </c>
      <c r="B196" s="11">
        <v>2015.0</v>
      </c>
      <c r="C196" s="12" t="str">
        <f>VLOOKUP(A196, Regions!A:B, 2, FALSE)
</f>
        <v>East Asia &amp; Pacific</v>
      </c>
      <c r="D196" s="13">
        <f t="shared" si="1"/>
        <v>5</v>
      </c>
      <c r="E196" s="14">
        <f t="shared" si="2"/>
        <v>2017.5</v>
      </c>
      <c r="F196" s="11" t="s">
        <v>398</v>
      </c>
      <c r="G196" s="11">
        <v>53.31299973</v>
      </c>
      <c r="H196" s="11">
        <v>88.52735296</v>
      </c>
      <c r="I196" s="15">
        <f t="shared" si="3"/>
        <v>89</v>
      </c>
      <c r="J196" s="16" t="str">
        <f t="shared" si="4"/>
        <v/>
      </c>
      <c r="K196" s="16" t="str">
        <f t="shared" si="5"/>
        <v/>
      </c>
      <c r="L196" s="16" t="str">
        <f t="shared" si="6"/>
        <v/>
      </c>
      <c r="M196" s="16" t="str">
        <f t="shared" si="7"/>
        <v>ARC&gt;0</v>
      </c>
      <c r="N196" s="13">
        <f t="shared" si="8"/>
        <v>0.77759933</v>
      </c>
      <c r="O196" s="11">
        <v>0.7941305226</v>
      </c>
      <c r="P196" s="11">
        <v>8.943859564</v>
      </c>
      <c r="Q196" s="11">
        <v>1.734656954</v>
      </c>
      <c r="R196" s="11">
        <v>80.63079119</v>
      </c>
      <c r="S196" s="15">
        <f t="shared" si="9"/>
        <v>81</v>
      </c>
      <c r="T196" s="17" t="str">
        <f t="shared" si="10"/>
        <v/>
      </c>
      <c r="U196" s="17" t="str">
        <f t="shared" si="11"/>
        <v/>
      </c>
      <c r="V196" s="17" t="str">
        <f t="shared" si="12"/>
        <v/>
      </c>
      <c r="W196" s="17" t="str">
        <f t="shared" si="13"/>
        <v>ARC&gt;0</v>
      </c>
      <c r="X196" s="13">
        <f t="shared" si="14"/>
        <v>1.007434238</v>
      </c>
      <c r="Y196" s="11">
        <v>0.9740457315</v>
      </c>
      <c r="Z196" s="11">
        <v>14.98518808</v>
      </c>
      <c r="AA196" s="11">
        <v>3.409975001</v>
      </c>
      <c r="AB196" s="11">
        <v>95.44249176</v>
      </c>
      <c r="AC196" s="15">
        <f t="shared" si="15"/>
        <v>95</v>
      </c>
      <c r="AD196" s="16" t="str">
        <f t="shared" si="16"/>
        <v/>
      </c>
      <c r="AE196" s="16" t="str">
        <f t="shared" si="17"/>
        <v/>
      </c>
      <c r="AF196" s="16" t="str">
        <f t="shared" si="18"/>
        <v/>
      </c>
      <c r="AG196" s="16" t="str">
        <f t="shared" si="19"/>
        <v>ARC&gt;0</v>
      </c>
      <c r="AH196" s="13">
        <f t="shared" si="20"/>
        <v>0.427604062</v>
      </c>
      <c r="AI196" s="11">
        <v>0.6365760478</v>
      </c>
      <c r="AJ196" s="11">
        <v>3.653376641</v>
      </c>
      <c r="AK196" s="11" t="s">
        <v>399</v>
      </c>
      <c r="AL196" s="18">
        <f t="shared" si="21"/>
        <v>0.579830176</v>
      </c>
    </row>
    <row r="197" ht="15.75" customHeight="1">
      <c r="A197" s="11" t="s">
        <v>397</v>
      </c>
      <c r="B197" s="11">
        <v>2020.0</v>
      </c>
      <c r="C197" s="12" t="str">
        <f>VLOOKUP(A197, Regions!A:B, 2, FALSE)
</f>
        <v>East Asia &amp; Pacific</v>
      </c>
      <c r="D197" s="13" t="str">
        <f t="shared" si="1"/>
        <v/>
      </c>
      <c r="E197" s="14" t="str">
        <f t="shared" si="2"/>
        <v/>
      </c>
      <c r="F197" s="11" t="s">
        <v>400</v>
      </c>
      <c r="G197" s="11">
        <v>56.64099884</v>
      </c>
      <c r="H197" s="11">
        <v>92.41534961</v>
      </c>
      <c r="I197" s="15">
        <f t="shared" si="3"/>
        <v>92</v>
      </c>
      <c r="J197" s="16" t="str">
        <f t="shared" si="4"/>
        <v/>
      </c>
      <c r="K197" s="16" t="str">
        <f t="shared" si="5"/>
        <v/>
      </c>
      <c r="L197" s="16" t="str">
        <f t="shared" si="6"/>
        <v/>
      </c>
      <c r="M197" s="16" t="str">
        <f t="shared" si="7"/>
        <v>ARC&gt;0</v>
      </c>
      <c r="N197" s="13" t="str">
        <f t="shared" si="8"/>
        <v/>
      </c>
      <c r="O197" s="11">
        <v>0.8554746335</v>
      </c>
      <c r="P197" s="11">
        <v>5.553871666</v>
      </c>
      <c r="Q197" s="11">
        <v>1.175304087</v>
      </c>
      <c r="R197" s="11">
        <v>85.66796238</v>
      </c>
      <c r="S197" s="15">
        <f t="shared" si="9"/>
        <v>86</v>
      </c>
      <c r="T197" s="17" t="str">
        <f t="shared" si="10"/>
        <v/>
      </c>
      <c r="U197" s="17" t="str">
        <f t="shared" si="11"/>
        <v/>
      </c>
      <c r="V197" s="17" t="str">
        <f t="shared" si="12"/>
        <v/>
      </c>
      <c r="W197" s="17" t="str">
        <f t="shared" si="13"/>
        <v>ARC&gt;0</v>
      </c>
      <c r="X197" s="13" t="str">
        <f t="shared" si="14"/>
        <v/>
      </c>
      <c r="Y197" s="11">
        <v>1.17809123</v>
      </c>
      <c r="Z197" s="11">
        <v>10.61491462</v>
      </c>
      <c r="AA197" s="11">
        <v>2.539031772</v>
      </c>
      <c r="AB197" s="11">
        <v>97.58051207</v>
      </c>
      <c r="AC197" s="15">
        <f t="shared" si="15"/>
        <v>98</v>
      </c>
      <c r="AD197" s="16" t="str">
        <f t="shared" si="16"/>
        <v/>
      </c>
      <c r="AE197" s="16" t="str">
        <f t="shared" si="17"/>
        <v/>
      </c>
      <c r="AF197" s="16" t="str">
        <f t="shared" si="18"/>
        <v/>
      </c>
      <c r="AG197" s="16" t="str">
        <f t="shared" si="19"/>
        <v>ARC&gt;0</v>
      </c>
      <c r="AH197" s="13" t="str">
        <f t="shared" si="20"/>
        <v/>
      </c>
      <c r="AI197" s="11">
        <v>0.6085098345</v>
      </c>
      <c r="AJ197" s="11">
        <v>1.679615139</v>
      </c>
      <c r="AK197" s="11" t="s">
        <v>401</v>
      </c>
      <c r="AL197" s="18" t="str">
        <f t="shared" si="21"/>
        <v/>
      </c>
    </row>
    <row r="198" ht="15.75" customHeight="1">
      <c r="A198" s="11" t="s">
        <v>402</v>
      </c>
      <c r="B198" s="11">
        <v>2015.0</v>
      </c>
      <c r="C198" s="12" t="str">
        <f>VLOOKUP(A198, Regions!A:B, 2, FALSE)
</f>
        <v>South Asia</v>
      </c>
      <c r="D198" s="13">
        <f t="shared" si="1"/>
        <v>5</v>
      </c>
      <c r="E198" s="14">
        <f t="shared" si="2"/>
        <v>2017.5</v>
      </c>
      <c r="F198" s="11" t="s">
        <v>403</v>
      </c>
      <c r="G198" s="11">
        <v>73.35800171</v>
      </c>
      <c r="H198" s="11">
        <v>96.80698708</v>
      </c>
      <c r="I198" s="15">
        <f t="shared" si="3"/>
        <v>97</v>
      </c>
      <c r="J198" s="16" t="str">
        <f t="shared" si="4"/>
        <v/>
      </c>
      <c r="K198" s="16" t="str">
        <f t="shared" si="5"/>
        <v/>
      </c>
      <c r="L198" s="16" t="str">
        <f t="shared" si="6"/>
        <v/>
      </c>
      <c r="M198" s="16" t="str">
        <f t="shared" si="7"/>
        <v>ARC&gt;0</v>
      </c>
      <c r="N198" s="13">
        <f t="shared" si="8"/>
        <v>0.13512985</v>
      </c>
      <c r="O198" s="11">
        <v>1.994891573</v>
      </c>
      <c r="P198" s="11">
        <v>1.126061081</v>
      </c>
      <c r="Q198" s="11">
        <v>0.07206026561</v>
      </c>
      <c r="R198" s="11">
        <v>92.16250265</v>
      </c>
      <c r="S198" s="15">
        <f t="shared" si="9"/>
        <v>92</v>
      </c>
      <c r="T198" s="17" t="str">
        <f t="shared" si="10"/>
        <v/>
      </c>
      <c r="U198" s="17" t="str">
        <f t="shared" si="11"/>
        <v/>
      </c>
      <c r="V198" s="17" t="str">
        <f t="shared" si="12"/>
        <v/>
      </c>
      <c r="W198" s="17" t="str">
        <f t="shared" si="13"/>
        <v>ARC&gt;0</v>
      </c>
      <c r="X198" s="13">
        <f t="shared" si="14"/>
        <v>0.333246546</v>
      </c>
      <c r="Y198" s="11">
        <v>4.221624781</v>
      </c>
      <c r="Z198" s="11">
        <v>3.345396383</v>
      </c>
      <c r="AA198" s="11">
        <v>0.2704761905</v>
      </c>
      <c r="AB198" s="11">
        <v>98.49376087</v>
      </c>
      <c r="AC198" s="15">
        <f t="shared" si="15"/>
        <v>98</v>
      </c>
      <c r="AD198" s="16" t="str">
        <f t="shared" si="16"/>
        <v/>
      </c>
      <c r="AE198" s="16" t="str">
        <f t="shared" si="17"/>
        <v/>
      </c>
      <c r="AF198" s="16" t="str">
        <f t="shared" si="18"/>
        <v/>
      </c>
      <c r="AG198" s="16" t="str">
        <f t="shared" si="19"/>
        <v>ARC&gt;0</v>
      </c>
      <c r="AH198" s="13">
        <f t="shared" si="20"/>
        <v>0.03014517</v>
      </c>
      <c r="AI198" s="11">
        <v>1.186191432</v>
      </c>
      <c r="AJ198" s="11">
        <v>0.3200476961</v>
      </c>
      <c r="AK198" s="11" t="s">
        <v>43</v>
      </c>
      <c r="AL198" s="18">
        <f t="shared" si="21"/>
        <v>0.303101376</v>
      </c>
    </row>
    <row r="199" ht="15.75" customHeight="1">
      <c r="A199" s="11" t="s">
        <v>402</v>
      </c>
      <c r="B199" s="11">
        <v>2020.0</v>
      </c>
      <c r="C199" s="12" t="str">
        <f>VLOOKUP(A199, Regions!A:B, 2, FALSE)
</f>
        <v>South Asia</v>
      </c>
      <c r="D199" s="13" t="str">
        <f t="shared" si="1"/>
        <v/>
      </c>
      <c r="E199" s="14" t="str">
        <f t="shared" si="2"/>
        <v/>
      </c>
      <c r="F199" s="11" t="s">
        <v>404</v>
      </c>
      <c r="G199" s="11">
        <v>75.87400055</v>
      </c>
      <c r="H199" s="11">
        <v>97.48263633</v>
      </c>
      <c r="I199" s="15">
        <f t="shared" si="3"/>
        <v>97</v>
      </c>
      <c r="J199" s="16" t="str">
        <f t="shared" si="4"/>
        <v/>
      </c>
      <c r="K199" s="16" t="str">
        <f t="shared" si="5"/>
        <v/>
      </c>
      <c r="L199" s="16" t="str">
        <f t="shared" si="6"/>
        <v/>
      </c>
      <c r="M199" s="16" t="str">
        <f t="shared" si="7"/>
        <v>ARC&gt;0</v>
      </c>
      <c r="N199" s="13" t="str">
        <f t="shared" si="8"/>
        <v/>
      </c>
      <c r="O199" s="11">
        <v>1.938311229</v>
      </c>
      <c r="P199" s="11">
        <v>0.5137973631</v>
      </c>
      <c r="Q199" s="11">
        <v>0.06525508185</v>
      </c>
      <c r="R199" s="11">
        <v>93.82873538</v>
      </c>
      <c r="S199" s="15">
        <f t="shared" si="9"/>
        <v>94</v>
      </c>
      <c r="T199" s="17" t="str">
        <f t="shared" si="10"/>
        <v/>
      </c>
      <c r="U199" s="17" t="str">
        <f t="shared" si="11"/>
        <v/>
      </c>
      <c r="V199" s="17" t="str">
        <f t="shared" si="12"/>
        <v/>
      </c>
      <c r="W199" s="17" t="str">
        <f t="shared" si="13"/>
        <v>ARC&gt;0</v>
      </c>
      <c r="X199" s="13" t="str">
        <f t="shared" si="14"/>
        <v/>
      </c>
      <c r="Y199" s="11">
        <v>4.297948765</v>
      </c>
      <c r="Z199" s="11">
        <v>1.602839669</v>
      </c>
      <c r="AA199" s="11">
        <v>0.2704761905</v>
      </c>
      <c r="AB199" s="11">
        <v>98.64448672</v>
      </c>
      <c r="AC199" s="15">
        <f t="shared" si="15"/>
        <v>99</v>
      </c>
      <c r="AD199" s="16" t="str">
        <f t="shared" si="16"/>
        <v/>
      </c>
      <c r="AE199" s="16" t="str">
        <f t="shared" si="17"/>
        <v/>
      </c>
      <c r="AF199" s="16" t="str">
        <f t="shared" si="18"/>
        <v/>
      </c>
      <c r="AG199" s="16" t="str">
        <f t="shared" si="19"/>
        <v>ARC&gt;0</v>
      </c>
      <c r="AH199" s="13" t="str">
        <f t="shared" si="20"/>
        <v/>
      </c>
      <c r="AI199" s="11">
        <v>1.188006671</v>
      </c>
      <c r="AJ199" s="11">
        <v>0.1675066077</v>
      </c>
      <c r="AK199" s="11" t="s">
        <v>43</v>
      </c>
      <c r="AL199" s="18" t="str">
        <f t="shared" si="21"/>
        <v/>
      </c>
    </row>
    <row r="200" ht="15.75" customHeight="1">
      <c r="A200" s="11" t="s">
        <v>405</v>
      </c>
      <c r="B200" s="11">
        <v>2015.0</v>
      </c>
      <c r="C200" s="12" t="str">
        <f>VLOOKUP(A200, Regions!A:B, 2, FALSE)
</f>
        <v>Middle East &amp; North Africa</v>
      </c>
      <c r="D200" s="13">
        <f t="shared" si="1"/>
        <v>5</v>
      </c>
      <c r="E200" s="14">
        <f t="shared" si="2"/>
        <v>2017.5</v>
      </c>
      <c r="F200" s="11" t="s">
        <v>406</v>
      </c>
      <c r="G200" s="11">
        <v>69.92099762</v>
      </c>
      <c r="H200" s="11">
        <v>94.2475933</v>
      </c>
      <c r="I200" s="15">
        <f t="shared" si="3"/>
        <v>94</v>
      </c>
      <c r="J200" s="16" t="str">
        <f t="shared" si="4"/>
        <v/>
      </c>
      <c r="K200" s="16" t="str">
        <f t="shared" si="5"/>
        <v/>
      </c>
      <c r="L200" s="16" t="str">
        <f t="shared" si="6"/>
        <v/>
      </c>
      <c r="M200" s="16" t="str">
        <f t="shared" si="7"/>
        <v>ARC&gt;0</v>
      </c>
      <c r="N200" s="13">
        <f t="shared" si="8"/>
        <v>0.82246199</v>
      </c>
      <c r="O200" s="11">
        <v>1.056676215</v>
      </c>
      <c r="P200" s="11">
        <v>1.737911036</v>
      </c>
      <c r="Q200" s="11">
        <v>2.95781945</v>
      </c>
      <c r="R200" s="11">
        <v>84.76271011</v>
      </c>
      <c r="S200" s="15">
        <f t="shared" si="9"/>
        <v>85</v>
      </c>
      <c r="T200" s="17" t="str">
        <f t="shared" si="10"/>
        <v/>
      </c>
      <c r="U200" s="17" t="str">
        <f t="shared" si="11"/>
        <v/>
      </c>
      <c r="V200" s="17" t="str">
        <f t="shared" si="12"/>
        <v/>
      </c>
      <c r="W200" s="17" t="str">
        <f t="shared" si="13"/>
        <v>ARC&gt;0</v>
      </c>
      <c r="X200" s="13">
        <f t="shared" si="14"/>
        <v>2.013687334</v>
      </c>
      <c r="Y200" s="11">
        <v>2.830616935</v>
      </c>
      <c r="Z200" s="11">
        <v>2.77640479</v>
      </c>
      <c r="AA200" s="11">
        <v>9.630268161</v>
      </c>
      <c r="AB200" s="11">
        <v>98.3278526</v>
      </c>
      <c r="AC200" s="15">
        <f t="shared" si="15"/>
        <v>98</v>
      </c>
      <c r="AD200" s="16" t="str">
        <f t="shared" si="16"/>
        <v/>
      </c>
      <c r="AE200" s="16" t="str">
        <f t="shared" si="17"/>
        <v/>
      </c>
      <c r="AF200" s="16" t="str">
        <f t="shared" si="18"/>
        <v/>
      </c>
      <c r="AG200" s="16" t="str">
        <f t="shared" si="19"/>
        <v>ARC&gt;0</v>
      </c>
      <c r="AH200" s="13">
        <f t="shared" si="20"/>
        <v>0.296175686</v>
      </c>
      <c r="AI200" s="11">
        <v>0.2935526231</v>
      </c>
      <c r="AJ200" s="11">
        <v>1.291166071</v>
      </c>
      <c r="AK200" s="11" t="s">
        <v>407</v>
      </c>
      <c r="AL200" s="18">
        <f t="shared" si="21"/>
        <v>1.717511648</v>
      </c>
    </row>
    <row r="201" ht="15.75" customHeight="1">
      <c r="A201" s="11" t="s">
        <v>405</v>
      </c>
      <c r="B201" s="11">
        <v>2020.0</v>
      </c>
      <c r="C201" s="12" t="str">
        <f>VLOOKUP(A201, Regions!A:B, 2, FALSE)
</f>
        <v>Middle East &amp; North Africa</v>
      </c>
      <c r="D201" s="13" t="str">
        <f t="shared" si="1"/>
        <v/>
      </c>
      <c r="E201" s="14" t="str">
        <f t="shared" si="2"/>
        <v/>
      </c>
      <c r="F201" s="11" t="s">
        <v>408</v>
      </c>
      <c r="G201" s="11">
        <v>70.89299774</v>
      </c>
      <c r="H201" s="11">
        <v>98.35990325</v>
      </c>
      <c r="I201" s="15">
        <f t="shared" si="3"/>
        <v>98</v>
      </c>
      <c r="J201" s="16" t="str">
        <f t="shared" si="4"/>
        <v/>
      </c>
      <c r="K201" s="16" t="str">
        <f t="shared" si="5"/>
        <v/>
      </c>
      <c r="L201" s="16" t="str">
        <f t="shared" si="6"/>
        <v/>
      </c>
      <c r="M201" s="16" t="str">
        <f t="shared" si="7"/>
        <v>ARC&gt;0</v>
      </c>
      <c r="N201" s="13" t="str">
        <f t="shared" si="8"/>
        <v/>
      </c>
      <c r="O201" s="11">
        <v>0.8921603495</v>
      </c>
      <c r="P201" s="11">
        <v>2.427900808E-6</v>
      </c>
      <c r="Q201" s="11">
        <v>0.7479339713</v>
      </c>
      <c r="R201" s="11">
        <v>94.83114678</v>
      </c>
      <c r="S201" s="15">
        <f t="shared" si="9"/>
        <v>95</v>
      </c>
      <c r="T201" s="17" t="str">
        <f t="shared" si="10"/>
        <v/>
      </c>
      <c r="U201" s="17" t="str">
        <f t="shared" si="11"/>
        <v/>
      </c>
      <c r="V201" s="17" t="str">
        <f t="shared" si="12"/>
        <v/>
      </c>
      <c r="W201" s="17" t="str">
        <f t="shared" si="13"/>
        <v>ARC&gt;0</v>
      </c>
      <c r="X201" s="13" t="str">
        <f t="shared" si="14"/>
        <v/>
      </c>
      <c r="Y201" s="11">
        <v>2.599251339</v>
      </c>
      <c r="Z201" s="11">
        <v>0.0</v>
      </c>
      <c r="AA201" s="11">
        <v>2.569601877</v>
      </c>
      <c r="AB201" s="11">
        <v>99.80873103</v>
      </c>
      <c r="AC201" s="15">
        <f t="shared" si="15"/>
        <v>100</v>
      </c>
      <c r="AD201" s="16" t="str">
        <f t="shared" si="16"/>
        <v/>
      </c>
      <c r="AE201" s="16" t="str">
        <f t="shared" si="17"/>
        <v/>
      </c>
      <c r="AF201" s="16" t="str">
        <f t="shared" si="18"/>
        <v/>
      </c>
      <c r="AG201" s="16" t="str">
        <f t="shared" si="19"/>
        <v>ARC&gt;0</v>
      </c>
      <c r="AH201" s="13" t="str">
        <f t="shared" si="20"/>
        <v/>
      </c>
      <c r="AI201" s="11">
        <v>0.19126897</v>
      </c>
      <c r="AJ201" s="11">
        <v>0.0</v>
      </c>
      <c r="AK201" s="11" t="s">
        <v>43</v>
      </c>
      <c r="AL201" s="18" t="str">
        <f t="shared" si="21"/>
        <v/>
      </c>
    </row>
    <row r="202" ht="15.75" customHeight="1">
      <c r="A202" s="11" t="s">
        <v>409</v>
      </c>
      <c r="B202" s="11">
        <v>2015.0</v>
      </c>
      <c r="C202" s="12" t="str">
        <f>VLOOKUP(A202, Regions!A:B, 2, FALSE)
</f>
        <v>Europe &amp; Central Asia</v>
      </c>
      <c r="D202" s="13">
        <f t="shared" si="1"/>
        <v>5</v>
      </c>
      <c r="E202" s="14">
        <f t="shared" si="2"/>
        <v>2017.5</v>
      </c>
      <c r="F202" s="11" t="s">
        <v>410</v>
      </c>
      <c r="G202" s="11">
        <v>62.5379982</v>
      </c>
      <c r="H202" s="11">
        <v>97.37212799</v>
      </c>
      <c r="I202" s="15">
        <f t="shared" si="3"/>
        <v>97</v>
      </c>
      <c r="J202" s="16" t="str">
        <f t="shared" si="4"/>
        <v/>
      </c>
      <c r="K202" s="16" t="str">
        <f t="shared" si="5"/>
        <v/>
      </c>
      <c r="L202" s="16" t="str">
        <f t="shared" si="6"/>
        <v/>
      </c>
      <c r="M202" s="16" t="str">
        <f t="shared" si="7"/>
        <v>ARC&gt;0</v>
      </c>
      <c r="N202" s="13">
        <f t="shared" si="8"/>
        <v>0.005515704</v>
      </c>
      <c r="O202" s="11">
        <v>0.0</v>
      </c>
      <c r="P202" s="11">
        <v>2.627872008</v>
      </c>
      <c r="Q202" s="11">
        <v>0.0</v>
      </c>
      <c r="R202" s="11">
        <v>98.01681619</v>
      </c>
      <c r="S202" s="15">
        <f t="shared" si="9"/>
        <v>98</v>
      </c>
      <c r="T202" s="17" t="str">
        <f t="shared" si="10"/>
        <v/>
      </c>
      <c r="U202" s="17" t="str">
        <f t="shared" si="11"/>
        <v/>
      </c>
      <c r="V202" s="17" t="str">
        <f t="shared" si="12"/>
        <v/>
      </c>
      <c r="W202" s="17" t="str">
        <f t="shared" si="13"/>
        <v>ARC&gt;0</v>
      </c>
      <c r="X202" s="13">
        <f t="shared" si="14"/>
        <v>0.023620912</v>
      </c>
      <c r="Y202" s="11">
        <v>0.0</v>
      </c>
      <c r="Z202" s="11">
        <v>1.983183812</v>
      </c>
      <c r="AA202" s="11">
        <v>0.0</v>
      </c>
      <c r="AB202" s="11">
        <v>96.98594181</v>
      </c>
      <c r="AC202" s="15">
        <f t="shared" si="15"/>
        <v>97</v>
      </c>
      <c r="AD202" s="16" t="str">
        <f t="shared" si="16"/>
        <v/>
      </c>
      <c r="AE202" s="16" t="str">
        <f t="shared" si="17"/>
        <v/>
      </c>
      <c r="AF202" s="16" t="str">
        <f t="shared" si="18"/>
        <v/>
      </c>
      <c r="AG202" s="16" t="str">
        <f t="shared" si="19"/>
        <v>ARC&gt;0</v>
      </c>
      <c r="AH202" s="13">
        <f t="shared" si="20"/>
        <v>-0.001211156</v>
      </c>
      <c r="AI202" s="11">
        <v>0.0</v>
      </c>
      <c r="AJ202" s="11">
        <v>3.014058189</v>
      </c>
      <c r="AK202" s="11" t="s">
        <v>43</v>
      </c>
      <c r="AL202" s="18">
        <f t="shared" si="21"/>
        <v>0.024832068</v>
      </c>
    </row>
    <row r="203" ht="15.75" customHeight="1">
      <c r="A203" s="11" t="s">
        <v>409</v>
      </c>
      <c r="B203" s="11">
        <v>2020.0</v>
      </c>
      <c r="C203" s="12" t="str">
        <f>VLOOKUP(A203, Regions!A:B, 2, FALSE)
</f>
        <v>Europe &amp; Central Asia</v>
      </c>
      <c r="D203" s="13" t="str">
        <f t="shared" si="1"/>
        <v/>
      </c>
      <c r="E203" s="14" t="str">
        <f t="shared" si="2"/>
        <v/>
      </c>
      <c r="F203" s="11" t="s">
        <v>411</v>
      </c>
      <c r="G203" s="11">
        <v>63.65299988</v>
      </c>
      <c r="H203" s="11">
        <v>97.39970651</v>
      </c>
      <c r="I203" s="15">
        <f t="shared" si="3"/>
        <v>97</v>
      </c>
      <c r="J203" s="16" t="str">
        <f t="shared" si="4"/>
        <v/>
      </c>
      <c r="K203" s="16" t="str">
        <f t="shared" si="5"/>
        <v/>
      </c>
      <c r="L203" s="16" t="str">
        <f t="shared" si="6"/>
        <v/>
      </c>
      <c r="M203" s="16" t="str">
        <f t="shared" si="7"/>
        <v>ARC&gt;0</v>
      </c>
      <c r="N203" s="13" t="str">
        <f t="shared" si="8"/>
        <v/>
      </c>
      <c r="O203" s="11">
        <v>0.0</v>
      </c>
      <c r="P203" s="11">
        <v>2.600293485</v>
      </c>
      <c r="Q203" s="11">
        <v>0.0</v>
      </c>
      <c r="R203" s="11">
        <v>98.13492075</v>
      </c>
      <c r="S203" s="15">
        <f t="shared" si="9"/>
        <v>98</v>
      </c>
      <c r="T203" s="17" t="str">
        <f t="shared" si="10"/>
        <v/>
      </c>
      <c r="U203" s="17" t="str">
        <f t="shared" si="11"/>
        <v/>
      </c>
      <c r="V203" s="17" t="str">
        <f t="shared" si="12"/>
        <v/>
      </c>
      <c r="W203" s="17" t="str">
        <f t="shared" si="13"/>
        <v>ARC&gt;0</v>
      </c>
      <c r="X203" s="13" t="str">
        <f t="shared" si="14"/>
        <v/>
      </c>
      <c r="Y203" s="11">
        <v>0.0</v>
      </c>
      <c r="Z203" s="11">
        <v>1.865079247</v>
      </c>
      <c r="AA203" s="11">
        <v>0.0</v>
      </c>
      <c r="AB203" s="11">
        <v>96.97988603</v>
      </c>
      <c r="AC203" s="15">
        <f t="shared" si="15"/>
        <v>97</v>
      </c>
      <c r="AD203" s="16" t="str">
        <f t="shared" si="16"/>
        <v/>
      </c>
      <c r="AE203" s="16" t="str">
        <f t="shared" si="17"/>
        <v/>
      </c>
      <c r="AF203" s="16" t="str">
        <f t="shared" si="18"/>
        <v/>
      </c>
      <c r="AG203" s="16" t="str">
        <f t="shared" si="19"/>
        <v>ARC&gt;0</v>
      </c>
      <c r="AH203" s="13" t="str">
        <f t="shared" si="20"/>
        <v/>
      </c>
      <c r="AI203" s="11">
        <v>0.0</v>
      </c>
      <c r="AJ203" s="11">
        <v>3.020113966</v>
      </c>
      <c r="AK203" s="11" t="s">
        <v>43</v>
      </c>
      <c r="AL203" s="18" t="str">
        <f t="shared" si="21"/>
        <v/>
      </c>
    </row>
    <row r="204" ht="15.75" customHeight="1">
      <c r="A204" s="11" t="s">
        <v>412</v>
      </c>
      <c r="B204" s="11">
        <v>2015.0</v>
      </c>
      <c r="C204" s="12" t="str">
        <f>VLOOKUP(A204, Regions!A:B, 2, FALSE)
</f>
        <v>Europe &amp; Central Asia</v>
      </c>
      <c r="D204" s="13">
        <f t="shared" si="1"/>
        <v>5</v>
      </c>
      <c r="E204" s="14">
        <f t="shared" si="2"/>
        <v>2017.5</v>
      </c>
      <c r="F204" s="11" t="s">
        <v>413</v>
      </c>
      <c r="G204" s="11">
        <v>52.24499893</v>
      </c>
      <c r="H204" s="11">
        <v>99.075</v>
      </c>
      <c r="I204" s="15">
        <f t="shared" si="3"/>
        <v>99</v>
      </c>
      <c r="J204" s="16" t="str">
        <f t="shared" si="4"/>
        <v/>
      </c>
      <c r="K204" s="16" t="str">
        <f t="shared" si="5"/>
        <v/>
      </c>
      <c r="L204" s="16" t="str">
        <f t="shared" si="6"/>
        <v/>
      </c>
      <c r="M204" s="16" t="str">
        <f t="shared" si="7"/>
        <v>ARC&gt;0</v>
      </c>
      <c r="N204" s="13">
        <f t="shared" si="8"/>
        <v>0</v>
      </c>
      <c r="O204" s="11">
        <v>0.0</v>
      </c>
      <c r="P204" s="11">
        <v>0.925</v>
      </c>
      <c r="Q204" s="11">
        <v>0.0</v>
      </c>
      <c r="S204" s="15">
        <f t="shared" si="9"/>
        <v>0</v>
      </c>
      <c r="T204" s="17" t="str">
        <f t="shared" si="10"/>
        <v/>
      </c>
      <c r="U204" s="17" t="str">
        <f t="shared" si="11"/>
        <v>ARC=0</v>
      </c>
      <c r="V204" s="17" t="str">
        <f t="shared" si="12"/>
        <v/>
      </c>
      <c r="W204" s="17" t="str">
        <f t="shared" si="13"/>
        <v/>
      </c>
      <c r="X204" s="13">
        <f t="shared" si="14"/>
        <v>0</v>
      </c>
      <c r="AC204" s="15">
        <f t="shared" si="15"/>
        <v>0</v>
      </c>
      <c r="AD204" s="16" t="str">
        <f t="shared" si="16"/>
        <v/>
      </c>
      <c r="AE204" s="16" t="str">
        <f t="shared" si="17"/>
        <v>ARC=0</v>
      </c>
      <c r="AF204" s="16" t="str">
        <f t="shared" si="18"/>
        <v/>
      </c>
      <c r="AG204" s="16" t="str">
        <f t="shared" si="19"/>
        <v/>
      </c>
      <c r="AH204" s="13">
        <f t="shared" si="20"/>
        <v>0</v>
      </c>
      <c r="AL204" s="18">
        <f t="shared" si="21"/>
        <v>0</v>
      </c>
    </row>
    <row r="205" ht="15.75" customHeight="1">
      <c r="A205" s="11" t="s">
        <v>412</v>
      </c>
      <c r="B205" s="11">
        <v>2020.0</v>
      </c>
      <c r="C205" s="12" t="str">
        <f>VLOOKUP(A205, Regions!A:B, 2, FALSE)
</f>
        <v>Europe &amp; Central Asia</v>
      </c>
      <c r="D205" s="13" t="str">
        <f t="shared" si="1"/>
        <v/>
      </c>
      <c r="E205" s="14" t="str">
        <f t="shared" si="2"/>
        <v/>
      </c>
      <c r="F205" s="11" t="s">
        <v>414</v>
      </c>
      <c r="G205" s="11">
        <v>52.89800262</v>
      </c>
      <c r="H205" s="11">
        <v>99.075</v>
      </c>
      <c r="I205" s="15">
        <f t="shared" si="3"/>
        <v>99</v>
      </c>
      <c r="J205" s="16" t="str">
        <f t="shared" si="4"/>
        <v/>
      </c>
      <c r="K205" s="16" t="str">
        <f t="shared" si="5"/>
        <v/>
      </c>
      <c r="L205" s="16" t="str">
        <f t="shared" si="6"/>
        <v/>
      </c>
      <c r="M205" s="16" t="str">
        <f t="shared" si="7"/>
        <v>ARC&gt;0</v>
      </c>
      <c r="N205" s="13" t="str">
        <f t="shared" si="8"/>
        <v/>
      </c>
      <c r="O205" s="11">
        <v>0.0</v>
      </c>
      <c r="P205" s="11">
        <v>0.925</v>
      </c>
      <c r="Q205" s="11">
        <v>0.0</v>
      </c>
      <c r="S205" s="15">
        <f t="shared" si="9"/>
        <v>0</v>
      </c>
      <c r="T205" s="17" t="str">
        <f t="shared" si="10"/>
        <v/>
      </c>
      <c r="U205" s="17" t="str">
        <f t="shared" si="11"/>
        <v>ARC=0</v>
      </c>
      <c r="V205" s="17" t="str">
        <f t="shared" si="12"/>
        <v/>
      </c>
      <c r="W205" s="17" t="str">
        <f t="shared" si="13"/>
        <v/>
      </c>
      <c r="X205" s="13" t="str">
        <f t="shared" si="14"/>
        <v/>
      </c>
      <c r="AC205" s="15">
        <f t="shared" si="15"/>
        <v>0</v>
      </c>
      <c r="AD205" s="16" t="str">
        <f t="shared" si="16"/>
        <v/>
      </c>
      <c r="AE205" s="16" t="str">
        <f t="shared" si="17"/>
        <v>ARC=0</v>
      </c>
      <c r="AF205" s="16" t="str">
        <f t="shared" si="18"/>
        <v/>
      </c>
      <c r="AG205" s="16" t="str">
        <f t="shared" si="19"/>
        <v/>
      </c>
      <c r="AH205" s="13" t="str">
        <f t="shared" si="20"/>
        <v/>
      </c>
      <c r="AL205" s="18" t="str">
        <f t="shared" si="21"/>
        <v/>
      </c>
    </row>
    <row r="206" ht="15.75" customHeight="1">
      <c r="A206" s="11" t="s">
        <v>415</v>
      </c>
      <c r="B206" s="11">
        <v>2015.0</v>
      </c>
      <c r="C206" s="12" t="str">
        <f>VLOOKUP(A206, Regions!A:B, 2, FALSE)
</f>
        <v>Europe &amp; Central Asia</v>
      </c>
      <c r="D206" s="13">
        <f t="shared" si="1"/>
        <v>5</v>
      </c>
      <c r="E206" s="14">
        <f t="shared" si="2"/>
        <v>2017.5</v>
      </c>
      <c r="F206" s="11" t="s">
        <v>416</v>
      </c>
      <c r="G206" s="11">
        <v>92.17900085</v>
      </c>
      <c r="H206" s="11">
        <v>100.0000015</v>
      </c>
      <c r="I206" s="15">
        <f t="shared" si="3"/>
        <v>100</v>
      </c>
      <c r="J206" s="16" t="str">
        <f t="shared" si="4"/>
        <v>full access</v>
      </c>
      <c r="K206" s="16" t="str">
        <f t="shared" si="5"/>
        <v/>
      </c>
      <c r="L206" s="16" t="str">
        <f t="shared" si="6"/>
        <v/>
      </c>
      <c r="M206" s="16" t="str">
        <f t="shared" si="7"/>
        <v/>
      </c>
      <c r="N206" s="13">
        <f t="shared" si="8"/>
        <v>-0.0000002999999992</v>
      </c>
      <c r="O206" s="11">
        <v>0.0</v>
      </c>
      <c r="P206" s="11">
        <v>0.0</v>
      </c>
      <c r="Q206" s="11">
        <v>0.0</v>
      </c>
      <c r="R206" s="11">
        <v>100.0</v>
      </c>
      <c r="S206" s="15">
        <f t="shared" si="9"/>
        <v>100</v>
      </c>
      <c r="T206" s="17" t="str">
        <f t="shared" si="10"/>
        <v>full access</v>
      </c>
      <c r="U206" s="17" t="str">
        <f t="shared" si="11"/>
        <v/>
      </c>
      <c r="V206" s="17" t="str">
        <f t="shared" si="12"/>
        <v/>
      </c>
      <c r="W206" s="17" t="str">
        <f t="shared" si="13"/>
        <v>ARC&gt;0</v>
      </c>
      <c r="X206" s="13">
        <f t="shared" si="14"/>
        <v>0</v>
      </c>
      <c r="Y206" s="11">
        <v>0.0</v>
      </c>
      <c r="Z206" s="11">
        <v>0.0</v>
      </c>
      <c r="AA206" s="11">
        <v>0.0</v>
      </c>
      <c r="AB206" s="11">
        <v>100.0</v>
      </c>
      <c r="AC206" s="15">
        <f t="shared" si="15"/>
        <v>100</v>
      </c>
      <c r="AD206" s="16" t="str">
        <f t="shared" si="16"/>
        <v>full access</v>
      </c>
      <c r="AE206" s="16" t="str">
        <f t="shared" si="17"/>
        <v/>
      </c>
      <c r="AF206" s="16" t="str">
        <f t="shared" si="18"/>
        <v/>
      </c>
      <c r="AG206" s="16" t="str">
        <f t="shared" si="19"/>
        <v>ARC&gt;0</v>
      </c>
      <c r="AH206" s="13">
        <f t="shared" si="20"/>
        <v>0</v>
      </c>
      <c r="AI206" s="11">
        <v>0.0</v>
      </c>
      <c r="AJ206" s="11">
        <v>0.0</v>
      </c>
      <c r="AK206" s="11" t="s">
        <v>43</v>
      </c>
      <c r="AL206" s="18">
        <f t="shared" si="21"/>
        <v>0</v>
      </c>
    </row>
    <row r="207" ht="15.75" customHeight="1">
      <c r="A207" s="11" t="s">
        <v>415</v>
      </c>
      <c r="B207" s="11">
        <v>2020.0</v>
      </c>
      <c r="C207" s="12" t="str">
        <f>VLOOKUP(A207, Regions!A:B, 2, FALSE)
</f>
        <v>Europe &amp; Central Asia</v>
      </c>
      <c r="D207" s="13" t="str">
        <f t="shared" si="1"/>
        <v/>
      </c>
      <c r="E207" s="14" t="str">
        <f t="shared" si="2"/>
        <v/>
      </c>
      <c r="F207" s="11" t="s">
        <v>417</v>
      </c>
      <c r="G207" s="11">
        <v>92.58699799</v>
      </c>
      <c r="H207" s="11">
        <v>100.0</v>
      </c>
      <c r="I207" s="15">
        <f t="shared" si="3"/>
        <v>100</v>
      </c>
      <c r="J207" s="16" t="str">
        <f t="shared" si="4"/>
        <v/>
      </c>
      <c r="K207" s="16" t="str">
        <f t="shared" si="5"/>
        <v/>
      </c>
      <c r="L207" s="16" t="str">
        <f t="shared" si="6"/>
        <v/>
      </c>
      <c r="M207" s="16" t="str">
        <f t="shared" si="7"/>
        <v>ARC&gt;0</v>
      </c>
      <c r="N207" s="13" t="str">
        <f t="shared" si="8"/>
        <v/>
      </c>
      <c r="O207" s="11">
        <v>0.0</v>
      </c>
      <c r="P207" s="11">
        <v>0.0</v>
      </c>
      <c r="Q207" s="11">
        <v>0.0</v>
      </c>
      <c r="R207" s="11">
        <v>100.0</v>
      </c>
      <c r="S207" s="15">
        <f t="shared" si="9"/>
        <v>100</v>
      </c>
      <c r="T207" s="17" t="str">
        <f t="shared" si="10"/>
        <v/>
      </c>
      <c r="U207" s="17" t="str">
        <f t="shared" si="11"/>
        <v/>
      </c>
      <c r="V207" s="17" t="str">
        <f t="shared" si="12"/>
        <v/>
      </c>
      <c r="W207" s="17" t="str">
        <f t="shared" si="13"/>
        <v>ARC&gt;0</v>
      </c>
      <c r="X207" s="13" t="str">
        <f t="shared" si="14"/>
        <v/>
      </c>
      <c r="Y207" s="11">
        <v>0.0</v>
      </c>
      <c r="Z207" s="11">
        <v>0.0</v>
      </c>
      <c r="AA207" s="11">
        <v>0.0</v>
      </c>
      <c r="AB207" s="11">
        <v>100.0</v>
      </c>
      <c r="AC207" s="15">
        <f t="shared" si="15"/>
        <v>100</v>
      </c>
      <c r="AD207" s="16" t="str">
        <f t="shared" si="16"/>
        <v/>
      </c>
      <c r="AE207" s="16" t="str">
        <f t="shared" si="17"/>
        <v/>
      </c>
      <c r="AF207" s="16" t="str">
        <f t="shared" si="18"/>
        <v/>
      </c>
      <c r="AG207" s="16" t="str">
        <f t="shared" si="19"/>
        <v>ARC&gt;0</v>
      </c>
      <c r="AH207" s="13" t="str">
        <f t="shared" si="20"/>
        <v/>
      </c>
      <c r="AI207" s="11">
        <v>0.0</v>
      </c>
      <c r="AJ207" s="11">
        <v>0.0</v>
      </c>
      <c r="AK207" s="11" t="s">
        <v>43</v>
      </c>
      <c r="AL207" s="18" t="str">
        <f t="shared" si="21"/>
        <v/>
      </c>
    </row>
    <row r="208" ht="15.75" customHeight="1">
      <c r="A208" s="11" t="s">
        <v>418</v>
      </c>
      <c r="B208" s="11">
        <v>2015.0</v>
      </c>
      <c r="C208" s="12" t="str">
        <f>VLOOKUP(A208, Regions!A:B, 2, FALSE)
</f>
        <v>Europe &amp; Central Asia</v>
      </c>
      <c r="D208" s="13">
        <f t="shared" si="1"/>
        <v>5</v>
      </c>
      <c r="E208" s="14">
        <f t="shared" si="2"/>
        <v>2017.5</v>
      </c>
      <c r="F208" s="11" t="s">
        <v>419</v>
      </c>
      <c r="G208" s="11">
        <v>69.56500244</v>
      </c>
      <c r="H208" s="11">
        <v>99.91703407</v>
      </c>
      <c r="I208" s="15">
        <f t="shared" si="3"/>
        <v>100</v>
      </c>
      <c r="J208" s="16" t="str">
        <f t="shared" si="4"/>
        <v>full access</v>
      </c>
      <c r="K208" s="16" t="str">
        <f t="shared" si="5"/>
        <v/>
      </c>
      <c r="L208" s="16" t="str">
        <f t="shared" si="6"/>
        <v/>
      </c>
      <c r="M208" s="16" t="str">
        <f t="shared" si="7"/>
        <v/>
      </c>
      <c r="N208" s="13">
        <f t="shared" si="8"/>
        <v>0</v>
      </c>
      <c r="O208" s="11">
        <v>0.0</v>
      </c>
      <c r="P208" s="11">
        <v>0.08296592591</v>
      </c>
      <c r="Q208" s="11">
        <v>0.0</v>
      </c>
      <c r="S208" s="15">
        <f t="shared" si="9"/>
        <v>0</v>
      </c>
      <c r="T208" s="17" t="str">
        <f t="shared" si="10"/>
        <v/>
      </c>
      <c r="U208" s="17" t="str">
        <f t="shared" si="11"/>
        <v>ARC=0</v>
      </c>
      <c r="V208" s="17" t="str">
        <f t="shared" si="12"/>
        <v/>
      </c>
      <c r="W208" s="17" t="str">
        <f t="shared" si="13"/>
        <v/>
      </c>
      <c r="X208" s="13">
        <f t="shared" si="14"/>
        <v>0</v>
      </c>
      <c r="AC208" s="15">
        <f t="shared" si="15"/>
        <v>0</v>
      </c>
      <c r="AD208" s="16" t="str">
        <f t="shared" si="16"/>
        <v/>
      </c>
      <c r="AE208" s="16" t="str">
        <f t="shared" si="17"/>
        <v>ARC=0</v>
      </c>
      <c r="AF208" s="16" t="str">
        <f t="shared" si="18"/>
        <v/>
      </c>
      <c r="AG208" s="16" t="str">
        <f t="shared" si="19"/>
        <v/>
      </c>
      <c r="AH208" s="13">
        <f t="shared" si="20"/>
        <v>0</v>
      </c>
      <c r="AL208" s="18">
        <f t="shared" si="21"/>
        <v>0</v>
      </c>
    </row>
    <row r="209" ht="15.75" customHeight="1">
      <c r="A209" s="11" t="s">
        <v>418</v>
      </c>
      <c r="B209" s="11">
        <v>2020.0</v>
      </c>
      <c r="C209" s="12" t="str">
        <f>VLOOKUP(A209, Regions!A:B, 2, FALSE)
</f>
        <v>Europe &amp; Central Asia</v>
      </c>
      <c r="D209" s="13" t="str">
        <f t="shared" si="1"/>
        <v/>
      </c>
      <c r="E209" s="14" t="str">
        <f t="shared" si="2"/>
        <v/>
      </c>
      <c r="F209" s="11" t="s">
        <v>420</v>
      </c>
      <c r="G209" s="11">
        <v>71.03899384</v>
      </c>
      <c r="H209" s="11">
        <v>99.91703407</v>
      </c>
      <c r="I209" s="15">
        <f t="shared" si="3"/>
        <v>100</v>
      </c>
      <c r="J209" s="16" t="str">
        <f t="shared" si="4"/>
        <v/>
      </c>
      <c r="K209" s="16" t="str">
        <f t="shared" si="5"/>
        <v/>
      </c>
      <c r="L209" s="16" t="str">
        <f t="shared" si="6"/>
        <v/>
      </c>
      <c r="M209" s="16" t="str">
        <f t="shared" si="7"/>
        <v>ARC&gt;0</v>
      </c>
      <c r="N209" s="13" t="str">
        <f t="shared" si="8"/>
        <v/>
      </c>
      <c r="O209" s="11">
        <v>0.0</v>
      </c>
      <c r="P209" s="11">
        <v>0.08296592591</v>
      </c>
      <c r="Q209" s="11">
        <v>0.0</v>
      </c>
      <c r="S209" s="15">
        <f t="shared" si="9"/>
        <v>0</v>
      </c>
      <c r="T209" s="17" t="str">
        <f t="shared" si="10"/>
        <v/>
      </c>
      <c r="U209" s="17" t="str">
        <f t="shared" si="11"/>
        <v>ARC=0</v>
      </c>
      <c r="V209" s="17" t="str">
        <f t="shared" si="12"/>
        <v/>
      </c>
      <c r="W209" s="17" t="str">
        <f t="shared" si="13"/>
        <v/>
      </c>
      <c r="X209" s="13" t="str">
        <f t="shared" si="14"/>
        <v/>
      </c>
      <c r="AC209" s="15">
        <f t="shared" si="15"/>
        <v>0</v>
      </c>
      <c r="AD209" s="16" t="str">
        <f t="shared" si="16"/>
        <v/>
      </c>
      <c r="AE209" s="16" t="str">
        <f t="shared" si="17"/>
        <v>ARC=0</v>
      </c>
      <c r="AF209" s="16" t="str">
        <f t="shared" si="18"/>
        <v/>
      </c>
      <c r="AG209" s="16" t="str">
        <f t="shared" si="19"/>
        <v/>
      </c>
      <c r="AH209" s="13" t="str">
        <f t="shared" si="20"/>
        <v/>
      </c>
      <c r="AL209" s="18" t="str">
        <f t="shared" si="21"/>
        <v/>
      </c>
    </row>
    <row r="210" ht="15.75" customHeight="1">
      <c r="A210" s="11" t="s">
        <v>421</v>
      </c>
      <c r="B210" s="11">
        <v>2015.0</v>
      </c>
      <c r="C210" s="12" t="str">
        <f>VLOOKUP(A210, Regions!A:B, 2, FALSE)
</f>
        <v>Latin America &amp; Caribbean</v>
      </c>
      <c r="D210" s="13">
        <f t="shared" si="1"/>
        <v>5</v>
      </c>
      <c r="E210" s="14">
        <f t="shared" si="2"/>
        <v>2017.5</v>
      </c>
      <c r="F210" s="11" t="s">
        <v>422</v>
      </c>
      <c r="G210" s="11">
        <v>54.833004</v>
      </c>
      <c r="H210" s="11">
        <v>90.41679629</v>
      </c>
      <c r="I210" s="15">
        <f t="shared" si="3"/>
        <v>90</v>
      </c>
      <c r="J210" s="16" t="str">
        <f t="shared" si="4"/>
        <v/>
      </c>
      <c r="K210" s="16" t="str">
        <f t="shared" si="5"/>
        <v/>
      </c>
      <c r="L210" s="16" t="str">
        <f t="shared" si="6"/>
        <v/>
      </c>
      <c r="M210" s="16" t="str">
        <f t="shared" si="7"/>
        <v>ARC&gt;0</v>
      </c>
      <c r="N210" s="13">
        <f t="shared" si="8"/>
        <v>0.122629642</v>
      </c>
      <c r="O210" s="11">
        <v>5.407336603</v>
      </c>
      <c r="P210" s="11">
        <v>2.169821217</v>
      </c>
      <c r="Q210" s="11">
        <v>2.006045893</v>
      </c>
      <c r="R210" s="11">
        <v>84.5007099</v>
      </c>
      <c r="S210" s="15">
        <f t="shared" si="9"/>
        <v>85</v>
      </c>
      <c r="T210" s="17" t="str">
        <f t="shared" si="10"/>
        <v/>
      </c>
      <c r="U210" s="17" t="str">
        <f t="shared" si="11"/>
        <v/>
      </c>
      <c r="V210" s="17" t="str">
        <f t="shared" si="12"/>
        <v/>
      </c>
      <c r="W210" s="17" t="str">
        <f t="shared" si="13"/>
        <v>ARC&gt;0</v>
      </c>
      <c r="X210" s="13">
        <f t="shared" si="14"/>
        <v>0.179840452</v>
      </c>
      <c r="Y210" s="11">
        <v>8.401335753</v>
      </c>
      <c r="Z210" s="11">
        <v>3.055395678</v>
      </c>
      <c r="AA210" s="11">
        <v>4.042558671</v>
      </c>
      <c r="AB210" s="11">
        <v>95.28999024</v>
      </c>
      <c r="AC210" s="15">
        <f t="shared" si="15"/>
        <v>95</v>
      </c>
      <c r="AD210" s="16" t="str">
        <f t="shared" si="16"/>
        <v/>
      </c>
      <c r="AE210" s="16" t="str">
        <f t="shared" si="17"/>
        <v/>
      </c>
      <c r="AF210" s="16" t="str">
        <f t="shared" si="18"/>
        <v/>
      </c>
      <c r="AG210" s="16" t="str">
        <f t="shared" si="19"/>
        <v>ARC&gt;0</v>
      </c>
      <c r="AH210" s="13">
        <f t="shared" si="20"/>
        <v>0.021605134</v>
      </c>
      <c r="AI210" s="11">
        <v>2.941122015</v>
      </c>
      <c r="AJ210" s="11">
        <v>1.440356529</v>
      </c>
      <c r="AK210" s="11" t="s">
        <v>423</v>
      </c>
      <c r="AL210" s="18">
        <f t="shared" si="21"/>
        <v>0.158235318</v>
      </c>
    </row>
    <row r="211" ht="15.75" customHeight="1">
      <c r="A211" s="11" t="s">
        <v>421</v>
      </c>
      <c r="B211" s="11">
        <v>2020.0</v>
      </c>
      <c r="C211" s="12" t="str">
        <f>VLOOKUP(A211, Regions!A:B, 2, FALSE)
</f>
        <v>Latin America &amp; Caribbean</v>
      </c>
      <c r="D211" s="13" t="str">
        <f t="shared" si="1"/>
        <v/>
      </c>
      <c r="E211" s="14" t="str">
        <f t="shared" si="2"/>
        <v/>
      </c>
      <c r="F211" s="11" t="s">
        <v>424</v>
      </c>
      <c r="G211" s="11">
        <v>56.31100082</v>
      </c>
      <c r="H211" s="11">
        <v>91.0299445</v>
      </c>
      <c r="I211" s="15">
        <f t="shared" si="3"/>
        <v>91</v>
      </c>
      <c r="J211" s="16" t="str">
        <f t="shared" si="4"/>
        <v/>
      </c>
      <c r="K211" s="16" t="str">
        <f t="shared" si="5"/>
        <v/>
      </c>
      <c r="L211" s="16" t="str">
        <f t="shared" si="6"/>
        <v/>
      </c>
      <c r="M211" s="16" t="str">
        <f t="shared" si="7"/>
        <v>ARC&gt;0</v>
      </c>
      <c r="N211" s="13" t="str">
        <f t="shared" si="8"/>
        <v/>
      </c>
      <c r="O211" s="11">
        <v>5.367570914</v>
      </c>
      <c r="P211" s="11">
        <v>1.864010203</v>
      </c>
      <c r="Q211" s="11">
        <v>1.738474379</v>
      </c>
      <c r="R211" s="11">
        <v>85.39991216</v>
      </c>
      <c r="S211" s="15">
        <f t="shared" si="9"/>
        <v>85</v>
      </c>
      <c r="T211" s="17" t="str">
        <f t="shared" si="10"/>
        <v/>
      </c>
      <c r="U211" s="17" t="str">
        <f t="shared" si="11"/>
        <v/>
      </c>
      <c r="V211" s="17" t="str">
        <f t="shared" si="12"/>
        <v/>
      </c>
      <c r="W211" s="17" t="str">
        <f t="shared" si="13"/>
        <v>ARC&gt;0</v>
      </c>
      <c r="X211" s="13" t="str">
        <f t="shared" si="14"/>
        <v/>
      </c>
      <c r="Y211" s="11">
        <v>8.490737371</v>
      </c>
      <c r="Z211" s="11">
        <v>2.568971895</v>
      </c>
      <c r="AA211" s="11">
        <v>3.540378574</v>
      </c>
      <c r="AB211" s="11">
        <v>95.39801591</v>
      </c>
      <c r="AC211" s="15">
        <f t="shared" si="15"/>
        <v>95</v>
      </c>
      <c r="AD211" s="16" t="str">
        <f t="shared" si="16"/>
        <v/>
      </c>
      <c r="AE211" s="16" t="str">
        <f t="shared" si="17"/>
        <v/>
      </c>
      <c r="AF211" s="16" t="str">
        <f t="shared" si="18"/>
        <v/>
      </c>
      <c r="AG211" s="16" t="str">
        <f t="shared" si="19"/>
        <v>ARC&gt;0</v>
      </c>
      <c r="AH211" s="13" t="str">
        <f t="shared" si="20"/>
        <v/>
      </c>
      <c r="AI211" s="11">
        <v>2.944456223</v>
      </c>
      <c r="AJ211" s="11">
        <v>1.317064322</v>
      </c>
      <c r="AK211" s="11" t="s">
        <v>425</v>
      </c>
      <c r="AL211" s="18" t="str">
        <f t="shared" si="21"/>
        <v/>
      </c>
    </row>
    <row r="212" ht="15.75" customHeight="1">
      <c r="A212" s="11" t="s">
        <v>426</v>
      </c>
      <c r="B212" s="11">
        <v>2015.0</v>
      </c>
      <c r="C212" s="12" t="str">
        <f>VLOOKUP(A212, Regions!A:B, 2, FALSE)
</f>
        <v>East Asia &amp; Pacific</v>
      </c>
      <c r="D212" s="13">
        <f t="shared" si="1"/>
        <v>5</v>
      </c>
      <c r="E212" s="14">
        <f t="shared" si="2"/>
        <v>2017.5</v>
      </c>
      <c r="F212" s="11" t="s">
        <v>427</v>
      </c>
      <c r="G212" s="11">
        <v>91.3809967</v>
      </c>
      <c r="H212" s="11">
        <v>98.92280548</v>
      </c>
      <c r="I212" s="15">
        <f t="shared" si="3"/>
        <v>99</v>
      </c>
      <c r="J212" s="16" t="str">
        <f t="shared" si="4"/>
        <v/>
      </c>
      <c r="K212" s="16" t="str">
        <f t="shared" si="5"/>
        <v/>
      </c>
      <c r="L212" s="16" t="str">
        <f t="shared" si="6"/>
        <v/>
      </c>
      <c r="M212" s="16" t="str">
        <f t="shared" si="7"/>
        <v>ARC&gt;0</v>
      </c>
      <c r="N212" s="13">
        <f t="shared" si="8"/>
        <v>0.031221394</v>
      </c>
      <c r="O212" s="11">
        <v>0.0</v>
      </c>
      <c r="P212" s="11">
        <v>1.077194517</v>
      </c>
      <c r="Q212" s="11">
        <v>0.0</v>
      </c>
      <c r="S212" s="15">
        <f t="shared" si="9"/>
        <v>0</v>
      </c>
      <c r="T212" s="17" t="str">
        <f t="shared" si="10"/>
        <v/>
      </c>
      <c r="U212" s="17" t="str">
        <f t="shared" si="11"/>
        <v>ARC=0</v>
      </c>
      <c r="V212" s="17" t="str">
        <f t="shared" si="12"/>
        <v/>
      </c>
      <c r="W212" s="17" t="str">
        <f t="shared" si="13"/>
        <v/>
      </c>
      <c r="X212" s="13">
        <f t="shared" si="14"/>
        <v>0</v>
      </c>
      <c r="AC212" s="15">
        <f t="shared" si="15"/>
        <v>0</v>
      </c>
      <c r="AD212" s="16" t="str">
        <f t="shared" si="16"/>
        <v/>
      </c>
      <c r="AE212" s="16" t="str">
        <f t="shared" si="17"/>
        <v>ARC=0</v>
      </c>
      <c r="AF212" s="16" t="str">
        <f t="shared" si="18"/>
        <v/>
      </c>
      <c r="AG212" s="16" t="str">
        <f t="shared" si="19"/>
        <v/>
      </c>
      <c r="AH212" s="13">
        <f t="shared" si="20"/>
        <v>0</v>
      </c>
      <c r="AL212" s="18">
        <f t="shared" si="21"/>
        <v>0</v>
      </c>
    </row>
    <row r="213" ht="15.75" customHeight="1">
      <c r="A213" s="11" t="s">
        <v>426</v>
      </c>
      <c r="B213" s="11">
        <v>2020.0</v>
      </c>
      <c r="C213" s="12" t="str">
        <f>VLOOKUP(A213, Regions!A:B, 2, FALSE)
</f>
        <v>East Asia &amp; Pacific</v>
      </c>
      <c r="D213" s="13" t="str">
        <f t="shared" si="1"/>
        <v/>
      </c>
      <c r="E213" s="14" t="str">
        <f t="shared" si="2"/>
        <v/>
      </c>
      <c r="F213" s="11" t="s">
        <v>428</v>
      </c>
      <c r="G213" s="11">
        <v>91.78199768</v>
      </c>
      <c r="H213" s="11">
        <v>99.07891245</v>
      </c>
      <c r="I213" s="15">
        <f t="shared" si="3"/>
        <v>99</v>
      </c>
      <c r="J213" s="16" t="str">
        <f t="shared" si="4"/>
        <v/>
      </c>
      <c r="K213" s="16" t="str">
        <f t="shared" si="5"/>
        <v/>
      </c>
      <c r="L213" s="16" t="str">
        <f t="shared" si="6"/>
        <v/>
      </c>
      <c r="M213" s="16" t="str">
        <f t="shared" si="7"/>
        <v>ARC&gt;0</v>
      </c>
      <c r="N213" s="13" t="str">
        <f t="shared" si="8"/>
        <v/>
      </c>
      <c r="O213" s="11">
        <v>0.0</v>
      </c>
      <c r="P213" s="11">
        <v>0.9210875467</v>
      </c>
      <c r="Q213" s="11">
        <v>0.0</v>
      </c>
      <c r="S213" s="15">
        <f t="shared" si="9"/>
        <v>0</v>
      </c>
      <c r="T213" s="17" t="str">
        <f t="shared" si="10"/>
        <v/>
      </c>
      <c r="U213" s="17" t="str">
        <f t="shared" si="11"/>
        <v>ARC=0</v>
      </c>
      <c r="V213" s="17" t="str">
        <f t="shared" si="12"/>
        <v/>
      </c>
      <c r="W213" s="17" t="str">
        <f t="shared" si="13"/>
        <v/>
      </c>
      <c r="X213" s="13" t="str">
        <f t="shared" si="14"/>
        <v/>
      </c>
      <c r="AC213" s="15">
        <f t="shared" si="15"/>
        <v>0</v>
      </c>
      <c r="AD213" s="16" t="str">
        <f t="shared" si="16"/>
        <v/>
      </c>
      <c r="AE213" s="16" t="str">
        <f t="shared" si="17"/>
        <v>ARC=0</v>
      </c>
      <c r="AF213" s="16" t="str">
        <f t="shared" si="18"/>
        <v/>
      </c>
      <c r="AG213" s="16" t="str">
        <f t="shared" si="19"/>
        <v/>
      </c>
      <c r="AH213" s="13" t="str">
        <f t="shared" si="20"/>
        <v/>
      </c>
      <c r="AL213" s="18" t="str">
        <f t="shared" si="21"/>
        <v/>
      </c>
    </row>
    <row r="214" ht="15.75" customHeight="1">
      <c r="A214" s="11" t="s">
        <v>429</v>
      </c>
      <c r="B214" s="11">
        <v>2015.0</v>
      </c>
      <c r="C214" s="12" t="str">
        <f>VLOOKUP(A214, Regions!A:B, 2, FALSE)
</f>
        <v>Middle East &amp; North Africa</v>
      </c>
      <c r="D214" s="13">
        <f t="shared" si="1"/>
        <v>5</v>
      </c>
      <c r="E214" s="14">
        <f t="shared" si="2"/>
        <v>2017.5</v>
      </c>
      <c r="F214" s="11" t="s">
        <v>430</v>
      </c>
      <c r="G214" s="11">
        <v>90.25600433</v>
      </c>
      <c r="H214" s="11">
        <v>99.00678491</v>
      </c>
      <c r="I214" s="15">
        <f t="shared" si="3"/>
        <v>99</v>
      </c>
      <c r="J214" s="16" t="str">
        <f t="shared" si="4"/>
        <v/>
      </c>
      <c r="K214" s="16" t="str">
        <f t="shared" si="5"/>
        <v/>
      </c>
      <c r="L214" s="16" t="str">
        <f t="shared" si="6"/>
        <v/>
      </c>
      <c r="M214" s="16" t="str">
        <f t="shared" si="7"/>
        <v>ARC&gt;0</v>
      </c>
      <c r="N214" s="13">
        <f t="shared" si="8"/>
        <v>-0.01329639</v>
      </c>
      <c r="O214" s="11">
        <v>0.1524029836</v>
      </c>
      <c r="P214" s="11">
        <v>0.7812311648</v>
      </c>
      <c r="Q214" s="11">
        <v>0.05958093834</v>
      </c>
      <c r="R214" s="11">
        <v>97.36231539</v>
      </c>
      <c r="S214" s="15">
        <f t="shared" si="9"/>
        <v>97</v>
      </c>
      <c r="T214" s="17" t="str">
        <f t="shared" si="10"/>
        <v/>
      </c>
      <c r="U214" s="17" t="str">
        <f t="shared" si="11"/>
        <v/>
      </c>
      <c r="V214" s="17" t="str">
        <f t="shared" si="12"/>
        <v/>
      </c>
      <c r="W214" s="17" t="str">
        <f t="shared" si="13"/>
        <v>ARC&gt;0</v>
      </c>
      <c r="X214" s="13">
        <f t="shared" si="14"/>
        <v>-0.01016734</v>
      </c>
      <c r="Y214" s="11">
        <v>0.6242725518</v>
      </c>
      <c r="Z214" s="11">
        <v>1.973552059</v>
      </c>
      <c r="AA214" s="11">
        <v>0.03986</v>
      </c>
      <c r="AB214" s="11">
        <v>99.18431682</v>
      </c>
      <c r="AC214" s="15">
        <f t="shared" si="15"/>
        <v>99</v>
      </c>
      <c r="AD214" s="16" t="str">
        <f t="shared" si="16"/>
        <v/>
      </c>
      <c r="AE214" s="16" t="str">
        <f t="shared" si="17"/>
        <v/>
      </c>
      <c r="AF214" s="16" t="str">
        <f t="shared" si="18"/>
        <v/>
      </c>
      <c r="AG214" s="16" t="str">
        <f t="shared" si="19"/>
        <v>ARC&gt;0</v>
      </c>
      <c r="AH214" s="13">
        <f t="shared" si="20"/>
        <v>-0.018220846</v>
      </c>
      <c r="AI214" s="11">
        <v>0.1014601355</v>
      </c>
      <c r="AJ214" s="11">
        <v>0.6525130437</v>
      </c>
      <c r="AK214" s="11" t="s">
        <v>431</v>
      </c>
      <c r="AL214" s="18">
        <f t="shared" si="21"/>
        <v>0.008053506</v>
      </c>
    </row>
    <row r="215" ht="15.75" customHeight="1">
      <c r="A215" s="11" t="s">
        <v>429</v>
      </c>
      <c r="B215" s="11">
        <v>2020.0</v>
      </c>
      <c r="C215" s="12" t="str">
        <f>VLOOKUP(A215, Regions!A:B, 2, FALSE)
</f>
        <v>Middle East &amp; North Africa</v>
      </c>
      <c r="D215" s="13" t="str">
        <f t="shared" si="1"/>
        <v/>
      </c>
      <c r="E215" s="14" t="str">
        <f t="shared" si="2"/>
        <v/>
      </c>
      <c r="F215" s="11" t="s">
        <v>432</v>
      </c>
      <c r="G215" s="11">
        <v>91.41799927</v>
      </c>
      <c r="H215" s="11">
        <v>98.94030296</v>
      </c>
      <c r="I215" s="15">
        <f t="shared" si="3"/>
        <v>99</v>
      </c>
      <c r="J215" s="16" t="str">
        <f t="shared" si="4"/>
        <v/>
      </c>
      <c r="K215" s="16" t="str">
        <f t="shared" si="5"/>
        <v/>
      </c>
      <c r="L215" s="16" t="str">
        <f t="shared" si="6"/>
        <v/>
      </c>
      <c r="M215" s="16" t="str">
        <f t="shared" si="7"/>
        <v>ARC&gt;0</v>
      </c>
      <c r="N215" s="13" t="str">
        <f t="shared" si="8"/>
        <v/>
      </c>
      <c r="O215" s="11">
        <v>0.1462147369</v>
      </c>
      <c r="P215" s="11">
        <v>0.8536474704</v>
      </c>
      <c r="Q215" s="11">
        <v>0.05983483179</v>
      </c>
      <c r="R215" s="11">
        <v>97.31147869</v>
      </c>
      <c r="S215" s="15">
        <f t="shared" si="9"/>
        <v>97</v>
      </c>
      <c r="T215" s="17" t="str">
        <f t="shared" si="10"/>
        <v/>
      </c>
      <c r="U215" s="17" t="str">
        <f t="shared" si="11"/>
        <v/>
      </c>
      <c r="V215" s="17" t="str">
        <f t="shared" si="12"/>
        <v/>
      </c>
      <c r="W215" s="17" t="str">
        <f t="shared" si="13"/>
        <v>ARC&gt;0</v>
      </c>
      <c r="X215" s="13" t="str">
        <f t="shared" si="14"/>
        <v/>
      </c>
      <c r="Y215" s="11">
        <v>0.6239465945</v>
      </c>
      <c r="Z215" s="11">
        <v>2.024714716</v>
      </c>
      <c r="AA215" s="11">
        <v>0.03986</v>
      </c>
      <c r="AB215" s="11">
        <v>99.09321259</v>
      </c>
      <c r="AC215" s="15">
        <f t="shared" si="15"/>
        <v>99</v>
      </c>
      <c r="AD215" s="16" t="str">
        <f t="shared" si="16"/>
        <v/>
      </c>
      <c r="AE215" s="16" t="str">
        <f t="shared" si="17"/>
        <v/>
      </c>
      <c r="AF215" s="16" t="str">
        <f t="shared" si="18"/>
        <v/>
      </c>
      <c r="AG215" s="16" t="str">
        <f t="shared" si="19"/>
        <v>ARC&gt;0</v>
      </c>
      <c r="AH215" s="13" t="str">
        <f t="shared" si="20"/>
        <v/>
      </c>
      <c r="AI215" s="11">
        <v>0.1013669408</v>
      </c>
      <c r="AJ215" s="11">
        <v>0.7437104707</v>
      </c>
      <c r="AK215" s="11" t="s">
        <v>431</v>
      </c>
      <c r="AL215" s="18" t="str">
        <f t="shared" si="21"/>
        <v/>
      </c>
    </row>
    <row r="216" ht="15.75" customHeight="1">
      <c r="A216" s="11" t="s">
        <v>433</v>
      </c>
      <c r="B216" s="11">
        <v>2015.0</v>
      </c>
      <c r="C216" s="12" t="str">
        <f>VLOOKUP(A216, Regions!A:B, 2, FALSE)
</f>
        <v>Europe &amp; Central Asia</v>
      </c>
      <c r="D216" s="13">
        <f t="shared" si="1"/>
        <v>5</v>
      </c>
      <c r="E216" s="14">
        <f t="shared" si="2"/>
        <v>2017.5</v>
      </c>
      <c r="F216" s="11" t="s">
        <v>434</v>
      </c>
      <c r="G216" s="11">
        <v>57.19100189</v>
      </c>
      <c r="H216" s="11">
        <v>95.02533441</v>
      </c>
      <c r="I216" s="15">
        <f t="shared" si="3"/>
        <v>95</v>
      </c>
      <c r="J216" s="16" t="str">
        <f t="shared" si="4"/>
        <v/>
      </c>
      <c r="K216" s="16" t="str">
        <f t="shared" si="5"/>
        <v/>
      </c>
      <c r="L216" s="16" t="str">
        <f t="shared" si="6"/>
        <v/>
      </c>
      <c r="M216" s="16" t="str">
        <f t="shared" si="7"/>
        <v>ARC&gt;0</v>
      </c>
      <c r="N216" s="13">
        <f t="shared" si="8"/>
        <v>0.081927182</v>
      </c>
      <c r="O216" s="11">
        <v>1.812908425</v>
      </c>
      <c r="P216" s="11">
        <v>2.904392652</v>
      </c>
      <c r="Q216" s="11">
        <v>0.2573645111</v>
      </c>
      <c r="R216" s="11">
        <v>90.74749784</v>
      </c>
      <c r="S216" s="15">
        <f t="shared" si="9"/>
        <v>91</v>
      </c>
      <c r="T216" s="17" t="str">
        <f t="shared" si="10"/>
        <v/>
      </c>
      <c r="U216" s="17" t="str">
        <f t="shared" si="11"/>
        <v/>
      </c>
      <c r="V216" s="17" t="str">
        <f t="shared" si="12"/>
        <v/>
      </c>
      <c r="W216" s="17" t="str">
        <f t="shared" si="13"/>
        <v>ARC&gt;0</v>
      </c>
      <c r="X216" s="13">
        <f t="shared" si="14"/>
        <v>0.2383509</v>
      </c>
      <c r="Y216" s="11">
        <v>1.86677185</v>
      </c>
      <c r="Z216" s="11">
        <v>6.784537749</v>
      </c>
      <c r="AA216" s="11">
        <v>0.6011925556</v>
      </c>
      <c r="AB216" s="11">
        <v>98.22740979</v>
      </c>
      <c r="AC216" s="15">
        <f t="shared" si="15"/>
        <v>98</v>
      </c>
      <c r="AD216" s="16" t="str">
        <f t="shared" si="16"/>
        <v/>
      </c>
      <c r="AE216" s="16" t="str">
        <f t="shared" si="17"/>
        <v/>
      </c>
      <c r="AF216" s="16" t="str">
        <f t="shared" si="18"/>
        <v/>
      </c>
      <c r="AG216" s="16" t="str">
        <f t="shared" si="19"/>
        <v>ARC&gt;0</v>
      </c>
      <c r="AH216" s="13">
        <f t="shared" si="20"/>
        <v>-0.045335692</v>
      </c>
      <c r="AI216" s="11">
        <v>1.772590206</v>
      </c>
      <c r="AJ216" s="11">
        <v>0.0</v>
      </c>
      <c r="AK216" s="11" t="s">
        <v>43</v>
      </c>
      <c r="AL216" s="18">
        <f t="shared" si="21"/>
        <v>0.283686592</v>
      </c>
    </row>
    <row r="217" ht="15.75" customHeight="1">
      <c r="A217" s="11" t="s">
        <v>433</v>
      </c>
      <c r="B217" s="11">
        <v>2020.0</v>
      </c>
      <c r="C217" s="12" t="str">
        <f>VLOOKUP(A217, Regions!A:B, 2, FALSE)
</f>
        <v>Europe &amp; Central Asia</v>
      </c>
      <c r="D217" s="13" t="str">
        <f t="shared" si="1"/>
        <v/>
      </c>
      <c r="E217" s="14" t="str">
        <f t="shared" si="2"/>
        <v/>
      </c>
      <c r="F217" s="11" t="s">
        <v>435</v>
      </c>
      <c r="G217" s="11">
        <v>57.67100143</v>
      </c>
      <c r="H217" s="11">
        <v>95.43497032</v>
      </c>
      <c r="I217" s="15">
        <f t="shared" si="3"/>
        <v>95</v>
      </c>
      <c r="J217" s="16" t="str">
        <f t="shared" si="4"/>
        <v/>
      </c>
      <c r="K217" s="16" t="str">
        <f t="shared" si="5"/>
        <v/>
      </c>
      <c r="L217" s="16" t="str">
        <f t="shared" si="6"/>
        <v/>
      </c>
      <c r="M217" s="16" t="str">
        <f t="shared" si="7"/>
        <v>ARC&gt;0</v>
      </c>
      <c r="N217" s="13" t="str">
        <f t="shared" si="8"/>
        <v/>
      </c>
      <c r="O217" s="11">
        <v>1.941425039</v>
      </c>
      <c r="P217" s="11">
        <v>2.545956934</v>
      </c>
      <c r="Q217" s="11">
        <v>0.07764770471</v>
      </c>
      <c r="R217" s="11">
        <v>91.93925234</v>
      </c>
      <c r="S217" s="15">
        <f t="shared" si="9"/>
        <v>92</v>
      </c>
      <c r="T217" s="17" t="str">
        <f t="shared" si="10"/>
        <v/>
      </c>
      <c r="U217" s="17" t="str">
        <f t="shared" si="11"/>
        <v/>
      </c>
      <c r="V217" s="17" t="str">
        <f t="shared" si="12"/>
        <v/>
      </c>
      <c r="W217" s="17" t="str">
        <f t="shared" si="13"/>
        <v>ARC&gt;0</v>
      </c>
      <c r="X217" s="13" t="str">
        <f t="shared" si="14"/>
        <v/>
      </c>
      <c r="Y217" s="11">
        <v>1.862616064</v>
      </c>
      <c r="Z217" s="11">
        <v>6.014693049</v>
      </c>
      <c r="AA217" s="11">
        <v>0.1834385438</v>
      </c>
      <c r="AB217" s="11">
        <v>98.00073133</v>
      </c>
      <c r="AC217" s="15">
        <f t="shared" si="15"/>
        <v>98</v>
      </c>
      <c r="AD217" s="16" t="str">
        <f t="shared" si="16"/>
        <v/>
      </c>
      <c r="AE217" s="16" t="str">
        <f t="shared" si="17"/>
        <v/>
      </c>
      <c r="AF217" s="16" t="str">
        <f t="shared" si="18"/>
        <v/>
      </c>
      <c r="AG217" s="16" t="str">
        <f t="shared" si="19"/>
        <v>ARC&gt;0</v>
      </c>
      <c r="AH217" s="13" t="str">
        <f t="shared" si="20"/>
        <v/>
      </c>
      <c r="AI217" s="11">
        <v>1.999268673</v>
      </c>
      <c r="AJ217" s="11">
        <v>0.0</v>
      </c>
      <c r="AK217" s="11" t="s">
        <v>43</v>
      </c>
      <c r="AL217" s="18" t="str">
        <f t="shared" si="21"/>
        <v/>
      </c>
    </row>
    <row r="218" ht="15.75" customHeight="1">
      <c r="A218" s="11" t="s">
        <v>436</v>
      </c>
      <c r="B218" s="11">
        <v>2015.0</v>
      </c>
      <c r="C218" s="12" t="str">
        <f>VLOOKUP(A218, Regions!A:B, 2, FALSE)
</f>
        <v>Sub-Saharan Africa</v>
      </c>
      <c r="D218" s="13">
        <f t="shared" si="1"/>
        <v>5</v>
      </c>
      <c r="E218" s="14">
        <f t="shared" si="2"/>
        <v>2017.5</v>
      </c>
      <c r="F218" s="11" t="s">
        <v>437</v>
      </c>
      <c r="G218" s="11">
        <v>25.65799904</v>
      </c>
      <c r="H218" s="11">
        <v>58.19692798</v>
      </c>
      <c r="I218" s="15">
        <f t="shared" si="3"/>
        <v>58</v>
      </c>
      <c r="J218" s="16" t="str">
        <f t="shared" si="4"/>
        <v/>
      </c>
      <c r="K218" s="16" t="str">
        <f t="shared" si="5"/>
        <v/>
      </c>
      <c r="L218" s="16" t="str">
        <f t="shared" si="6"/>
        <v/>
      </c>
      <c r="M218" s="16" t="str">
        <f t="shared" si="7"/>
        <v>ARC&gt;0</v>
      </c>
      <c r="N218" s="13">
        <f t="shared" si="8"/>
        <v>0.68719272</v>
      </c>
      <c r="O218" s="11">
        <v>8.796753977</v>
      </c>
      <c r="P218" s="11">
        <v>11.52291835</v>
      </c>
      <c r="Q218" s="11">
        <v>21.48339969</v>
      </c>
      <c r="R218" s="11">
        <v>48.27216191</v>
      </c>
      <c r="S218" s="15">
        <f t="shared" si="9"/>
        <v>48</v>
      </c>
      <c r="T218" s="17" t="str">
        <f t="shared" si="10"/>
        <v/>
      </c>
      <c r="U218" s="17" t="str">
        <f t="shared" si="11"/>
        <v/>
      </c>
      <c r="V218" s="17" t="str">
        <f t="shared" si="12"/>
        <v/>
      </c>
      <c r="W218" s="17" t="str">
        <f t="shared" si="13"/>
        <v>ARC&gt;0</v>
      </c>
      <c r="X218" s="13">
        <f t="shared" si="14"/>
        <v>0.701563404</v>
      </c>
      <c r="Y218" s="11">
        <v>10.37313934</v>
      </c>
      <c r="Z218" s="11">
        <v>14.21683468</v>
      </c>
      <c r="AA218" s="11">
        <v>27.13786408</v>
      </c>
      <c r="AB218" s="11">
        <v>86.95314792</v>
      </c>
      <c r="AC218" s="15">
        <f t="shared" si="15"/>
        <v>87</v>
      </c>
      <c r="AD218" s="16" t="str">
        <f t="shared" si="16"/>
        <v/>
      </c>
      <c r="AE218" s="16" t="str">
        <f t="shared" si="17"/>
        <v/>
      </c>
      <c r="AF218" s="16" t="str">
        <f t="shared" si="18"/>
        <v/>
      </c>
      <c r="AG218" s="16" t="str">
        <f t="shared" si="19"/>
        <v>ARC&gt;0</v>
      </c>
      <c r="AH218" s="13">
        <f t="shared" si="20"/>
        <v>0.004416706</v>
      </c>
      <c r="AI218" s="11">
        <v>4.22930427</v>
      </c>
      <c r="AJ218" s="11">
        <v>3.717504383</v>
      </c>
      <c r="AK218" s="11" t="s">
        <v>438</v>
      </c>
      <c r="AL218" s="18">
        <f t="shared" si="21"/>
        <v>0.697146698</v>
      </c>
    </row>
    <row r="219" ht="15.75" customHeight="1">
      <c r="A219" s="11" t="s">
        <v>436</v>
      </c>
      <c r="B219" s="11">
        <v>2020.0</v>
      </c>
      <c r="C219" s="12" t="str">
        <f>VLOOKUP(A219, Regions!A:B, 2, FALSE)
</f>
        <v>Sub-Saharan Africa</v>
      </c>
      <c r="D219" s="13" t="str">
        <f t="shared" si="1"/>
        <v/>
      </c>
      <c r="E219" s="14" t="str">
        <f t="shared" si="2"/>
        <v/>
      </c>
      <c r="F219" s="11" t="s">
        <v>439</v>
      </c>
      <c r="G219" s="11">
        <v>27.99499893</v>
      </c>
      <c r="H219" s="11">
        <v>61.63289158</v>
      </c>
      <c r="I219" s="15">
        <f t="shared" si="3"/>
        <v>62</v>
      </c>
      <c r="J219" s="16" t="str">
        <f t="shared" si="4"/>
        <v/>
      </c>
      <c r="K219" s="16" t="str">
        <f t="shared" si="5"/>
        <v/>
      </c>
      <c r="L219" s="16" t="str">
        <f t="shared" si="6"/>
        <v/>
      </c>
      <c r="M219" s="16" t="str">
        <f t="shared" si="7"/>
        <v>ARC&gt;0</v>
      </c>
      <c r="N219" s="13" t="str">
        <f t="shared" si="8"/>
        <v/>
      </c>
      <c r="O219" s="11">
        <v>9.54187005</v>
      </c>
      <c r="P219" s="11">
        <v>9.780087524</v>
      </c>
      <c r="Q219" s="11">
        <v>19.04515084</v>
      </c>
      <c r="R219" s="11">
        <v>51.77997893</v>
      </c>
      <c r="S219" s="15">
        <f t="shared" si="9"/>
        <v>52</v>
      </c>
      <c r="T219" s="17" t="str">
        <f t="shared" si="10"/>
        <v/>
      </c>
      <c r="U219" s="17" t="str">
        <f t="shared" si="11"/>
        <v/>
      </c>
      <c r="V219" s="17" t="str">
        <f t="shared" si="12"/>
        <v/>
      </c>
      <c r="W219" s="17" t="str">
        <f t="shared" si="13"/>
        <v>ARC&gt;0</v>
      </c>
      <c r="X219" s="13" t="str">
        <f t="shared" si="14"/>
        <v/>
      </c>
      <c r="Y219" s="11">
        <v>11.56900419</v>
      </c>
      <c r="Z219" s="11">
        <v>12.51911322</v>
      </c>
      <c r="AA219" s="11">
        <v>24.13190366</v>
      </c>
      <c r="AB219" s="11">
        <v>86.97523145</v>
      </c>
      <c r="AC219" s="15">
        <f t="shared" si="15"/>
        <v>87</v>
      </c>
      <c r="AD219" s="16" t="str">
        <f t="shared" si="16"/>
        <v/>
      </c>
      <c r="AE219" s="16" t="str">
        <f t="shared" si="17"/>
        <v/>
      </c>
      <c r="AF219" s="16" t="str">
        <f t="shared" si="18"/>
        <v/>
      </c>
      <c r="AG219" s="16" t="str">
        <f t="shared" si="19"/>
        <v>ARC&gt;0</v>
      </c>
      <c r="AH219" s="13" t="str">
        <f t="shared" si="20"/>
        <v/>
      </c>
      <c r="AI219" s="11">
        <v>4.327944725</v>
      </c>
      <c r="AJ219" s="11">
        <v>2.73514263</v>
      </c>
      <c r="AK219" s="11" t="s">
        <v>440</v>
      </c>
      <c r="AL219" s="18" t="str">
        <f t="shared" si="21"/>
        <v/>
      </c>
    </row>
    <row r="220" ht="15.75" customHeight="1">
      <c r="A220" s="11" t="s">
        <v>441</v>
      </c>
      <c r="B220" s="11">
        <v>2015.0</v>
      </c>
      <c r="C220" s="12" t="str">
        <f>VLOOKUP(A220, Regions!A:B, 2, FALSE)
</f>
        <v>East Asia &amp; Pacific</v>
      </c>
      <c r="D220" s="13">
        <f t="shared" si="1"/>
        <v>5</v>
      </c>
      <c r="E220" s="14">
        <f t="shared" si="2"/>
        <v>2017.5</v>
      </c>
      <c r="F220" s="11" t="s">
        <v>442</v>
      </c>
      <c r="G220" s="11">
        <v>51.61899948</v>
      </c>
      <c r="H220" s="11">
        <v>73.84809659</v>
      </c>
      <c r="I220" s="15">
        <f t="shared" si="3"/>
        <v>74</v>
      </c>
      <c r="J220" s="16" t="str">
        <f t="shared" si="4"/>
        <v/>
      </c>
      <c r="K220" s="16" t="str">
        <f t="shared" si="5"/>
        <v/>
      </c>
      <c r="L220" s="16" t="str">
        <f t="shared" si="6"/>
        <v/>
      </c>
      <c r="M220" s="16" t="str">
        <f t="shared" si="7"/>
        <v>ARC&gt;0</v>
      </c>
      <c r="N220" s="13">
        <f t="shared" si="8"/>
        <v>0.824564852</v>
      </c>
      <c r="O220" s="11">
        <v>2.340891569</v>
      </c>
      <c r="P220" s="11">
        <v>23.81101184</v>
      </c>
      <c r="Q220" s="11">
        <v>0.0</v>
      </c>
      <c r="R220" s="11">
        <v>57.92225259</v>
      </c>
      <c r="S220" s="15">
        <f t="shared" si="9"/>
        <v>58</v>
      </c>
      <c r="T220" s="17" t="str">
        <f t="shared" si="10"/>
        <v/>
      </c>
      <c r="U220" s="17" t="str">
        <f t="shared" si="11"/>
        <v/>
      </c>
      <c r="V220" s="17" t="str">
        <f t="shared" si="12"/>
        <v/>
      </c>
      <c r="W220" s="17" t="str">
        <f t="shared" si="13"/>
        <v>ARC&gt;0</v>
      </c>
      <c r="X220" s="13">
        <f t="shared" si="14"/>
        <v>0.61438646</v>
      </c>
      <c r="Y220" s="11">
        <v>1.639587928</v>
      </c>
      <c r="Z220" s="11">
        <v>40.43815948</v>
      </c>
      <c r="AA220" s="11">
        <v>0.0</v>
      </c>
      <c r="AB220" s="11">
        <v>88.774932</v>
      </c>
      <c r="AC220" s="15">
        <f t="shared" si="15"/>
        <v>89</v>
      </c>
      <c r="AD220" s="16" t="str">
        <f t="shared" si="16"/>
        <v/>
      </c>
      <c r="AE220" s="16" t="str">
        <f t="shared" si="17"/>
        <v/>
      </c>
      <c r="AF220" s="16" t="str">
        <f t="shared" si="18"/>
        <v/>
      </c>
      <c r="AG220" s="16" t="str">
        <f t="shared" si="19"/>
        <v>ARC&gt;0</v>
      </c>
      <c r="AH220" s="13">
        <f t="shared" si="20"/>
        <v>0.55124857</v>
      </c>
      <c r="AI220" s="11">
        <v>2.998203296</v>
      </c>
      <c r="AJ220" s="11">
        <v>8.226864706</v>
      </c>
      <c r="AK220" s="11" t="s">
        <v>43</v>
      </c>
      <c r="AL220" s="18">
        <f t="shared" si="21"/>
        <v>0.06313789</v>
      </c>
    </row>
    <row r="221" ht="15.75" customHeight="1">
      <c r="A221" s="11" t="s">
        <v>441</v>
      </c>
      <c r="B221" s="11">
        <v>2020.0</v>
      </c>
      <c r="C221" s="12" t="str">
        <f>VLOOKUP(A221, Regions!A:B, 2, FALSE)
</f>
        <v>East Asia &amp; Pacific</v>
      </c>
      <c r="D221" s="13" t="str">
        <f t="shared" si="1"/>
        <v/>
      </c>
      <c r="E221" s="14" t="str">
        <f t="shared" si="2"/>
        <v/>
      </c>
      <c r="F221" s="11" t="s">
        <v>443</v>
      </c>
      <c r="G221" s="11">
        <v>55.59399796</v>
      </c>
      <c r="H221" s="11">
        <v>77.97092085</v>
      </c>
      <c r="I221" s="15">
        <f t="shared" si="3"/>
        <v>78</v>
      </c>
      <c r="J221" s="16" t="str">
        <f t="shared" si="4"/>
        <v/>
      </c>
      <c r="K221" s="16" t="str">
        <f t="shared" si="5"/>
        <v/>
      </c>
      <c r="L221" s="16" t="str">
        <f t="shared" si="6"/>
        <v/>
      </c>
      <c r="M221" s="16" t="str">
        <f t="shared" si="7"/>
        <v>ARC&gt;0</v>
      </c>
      <c r="N221" s="13" t="str">
        <f t="shared" si="8"/>
        <v/>
      </c>
      <c r="O221" s="11">
        <v>4.076899625</v>
      </c>
      <c r="P221" s="11">
        <v>17.95217953</v>
      </c>
      <c r="Q221" s="11">
        <v>0.0</v>
      </c>
      <c r="R221" s="11">
        <v>60.99418489</v>
      </c>
      <c r="S221" s="15">
        <f t="shared" si="9"/>
        <v>61</v>
      </c>
      <c r="T221" s="17" t="str">
        <f t="shared" si="10"/>
        <v/>
      </c>
      <c r="U221" s="17" t="str">
        <f t="shared" si="11"/>
        <v/>
      </c>
      <c r="V221" s="17" t="str">
        <f t="shared" si="12"/>
        <v/>
      </c>
      <c r="W221" s="17" t="str">
        <f t="shared" si="13"/>
        <v>ARC&gt;0</v>
      </c>
      <c r="X221" s="13" t="str">
        <f t="shared" si="14"/>
        <v/>
      </c>
      <c r="Y221" s="11">
        <v>2.096609799</v>
      </c>
      <c r="Z221" s="11">
        <v>36.90920532</v>
      </c>
      <c r="AA221" s="11">
        <v>0.0</v>
      </c>
      <c r="AB221" s="11">
        <v>91.53117485</v>
      </c>
      <c r="AC221" s="15">
        <f t="shared" si="15"/>
        <v>92</v>
      </c>
      <c r="AD221" s="16" t="str">
        <f t="shared" si="16"/>
        <v/>
      </c>
      <c r="AE221" s="16" t="str">
        <f t="shared" si="17"/>
        <v/>
      </c>
      <c r="AF221" s="16" t="str">
        <f t="shared" si="18"/>
        <v/>
      </c>
      <c r="AG221" s="16" t="str">
        <f t="shared" si="19"/>
        <v>ARC&gt;0</v>
      </c>
      <c r="AH221" s="13" t="str">
        <f t="shared" si="20"/>
        <v/>
      </c>
      <c r="AI221" s="11">
        <v>5.658666461</v>
      </c>
      <c r="AJ221" s="11">
        <v>2.810158691</v>
      </c>
      <c r="AK221" s="11" t="s">
        <v>43</v>
      </c>
      <c r="AL221" s="18" t="str">
        <f t="shared" si="21"/>
        <v/>
      </c>
    </row>
    <row r="222" ht="15.75" customHeight="1">
      <c r="A222" s="11" t="s">
        <v>444</v>
      </c>
      <c r="B222" s="11">
        <v>2015.0</v>
      </c>
      <c r="C222" s="12" t="str">
        <f>VLOOKUP(A222, Regions!A:B, 2, FALSE)
</f>
        <v>Middle East &amp; North Africa</v>
      </c>
      <c r="D222" s="13">
        <f t="shared" si="1"/>
        <v>5</v>
      </c>
      <c r="E222" s="14">
        <f t="shared" si="2"/>
        <v>2017.5</v>
      </c>
      <c r="F222" s="11" t="s">
        <v>445</v>
      </c>
      <c r="G222" s="11">
        <v>100.0</v>
      </c>
      <c r="H222" s="11">
        <v>100.0</v>
      </c>
      <c r="I222" s="15">
        <f t="shared" si="3"/>
        <v>100</v>
      </c>
      <c r="J222" s="16" t="str">
        <f t="shared" si="4"/>
        <v>full access</v>
      </c>
      <c r="K222" s="16" t="str">
        <f t="shared" si="5"/>
        <v/>
      </c>
      <c r="L222" s="16" t="str">
        <f t="shared" si="6"/>
        <v/>
      </c>
      <c r="M222" s="16" t="str">
        <f t="shared" si="7"/>
        <v/>
      </c>
      <c r="N222" s="13">
        <f t="shared" si="8"/>
        <v>0</v>
      </c>
      <c r="O222" s="11">
        <v>0.0</v>
      </c>
      <c r="P222" s="11">
        <v>0.0</v>
      </c>
      <c r="Q222" s="11">
        <v>0.0</v>
      </c>
      <c r="S222" s="15">
        <f t="shared" si="9"/>
        <v>0</v>
      </c>
      <c r="T222" s="17" t="str">
        <f t="shared" si="10"/>
        <v/>
      </c>
      <c r="U222" s="17" t="str">
        <f t="shared" si="11"/>
        <v>ARC=0</v>
      </c>
      <c r="V222" s="17" t="str">
        <f t="shared" si="12"/>
        <v/>
      </c>
      <c r="W222" s="17" t="str">
        <f t="shared" si="13"/>
        <v/>
      </c>
      <c r="X222" s="13">
        <f t="shared" si="14"/>
        <v>0</v>
      </c>
      <c r="AC222" s="15">
        <f t="shared" si="15"/>
        <v>0</v>
      </c>
      <c r="AD222" s="16" t="str">
        <f t="shared" si="16"/>
        <v/>
      </c>
      <c r="AE222" s="16" t="str">
        <f t="shared" si="17"/>
        <v>ARC=0</v>
      </c>
      <c r="AF222" s="16" t="str">
        <f t="shared" si="18"/>
        <v/>
      </c>
      <c r="AG222" s="16" t="str">
        <f t="shared" si="19"/>
        <v/>
      </c>
      <c r="AH222" s="13">
        <f t="shared" si="20"/>
        <v>0</v>
      </c>
      <c r="AL222" s="18">
        <f t="shared" si="21"/>
        <v>0</v>
      </c>
    </row>
    <row r="223" ht="15.75" customHeight="1">
      <c r="A223" s="11" t="s">
        <v>444</v>
      </c>
      <c r="B223" s="11">
        <v>2020.0</v>
      </c>
      <c r="C223" s="12" t="str">
        <f>VLOOKUP(A223, Regions!A:B, 2, FALSE)
</f>
        <v>Middle East &amp; North Africa</v>
      </c>
      <c r="D223" s="13" t="str">
        <f t="shared" si="1"/>
        <v/>
      </c>
      <c r="E223" s="14" t="str">
        <f t="shared" si="2"/>
        <v/>
      </c>
      <c r="F223" s="11" t="s">
        <v>446</v>
      </c>
      <c r="G223" s="11">
        <v>100.0</v>
      </c>
      <c r="H223" s="11">
        <v>100.0</v>
      </c>
      <c r="I223" s="15">
        <f t="shared" si="3"/>
        <v>100</v>
      </c>
      <c r="J223" s="16" t="str">
        <f t="shared" si="4"/>
        <v/>
      </c>
      <c r="K223" s="16" t="str">
        <f t="shared" si="5"/>
        <v/>
      </c>
      <c r="L223" s="16" t="str">
        <f t="shared" si="6"/>
        <v/>
      </c>
      <c r="M223" s="16" t="str">
        <f t="shared" si="7"/>
        <v>ARC&gt;0</v>
      </c>
      <c r="N223" s="13" t="str">
        <f t="shared" si="8"/>
        <v/>
      </c>
      <c r="O223" s="11">
        <v>0.0</v>
      </c>
      <c r="P223" s="11">
        <v>0.0</v>
      </c>
      <c r="Q223" s="11">
        <v>0.0</v>
      </c>
      <c r="S223" s="15">
        <f t="shared" si="9"/>
        <v>0</v>
      </c>
      <c r="T223" s="17" t="str">
        <f t="shared" si="10"/>
        <v/>
      </c>
      <c r="U223" s="17" t="str">
        <f t="shared" si="11"/>
        <v>ARC=0</v>
      </c>
      <c r="V223" s="17" t="str">
        <f t="shared" si="12"/>
        <v/>
      </c>
      <c r="W223" s="17" t="str">
        <f t="shared" si="13"/>
        <v/>
      </c>
      <c r="X223" s="13" t="str">
        <f t="shared" si="14"/>
        <v/>
      </c>
      <c r="AC223" s="15">
        <f t="shared" si="15"/>
        <v>0</v>
      </c>
      <c r="AD223" s="16" t="str">
        <f t="shared" si="16"/>
        <v/>
      </c>
      <c r="AE223" s="16" t="str">
        <f t="shared" si="17"/>
        <v>ARC=0</v>
      </c>
      <c r="AF223" s="16" t="str">
        <f t="shared" si="18"/>
        <v/>
      </c>
      <c r="AG223" s="16" t="str">
        <f t="shared" si="19"/>
        <v/>
      </c>
      <c r="AH223" s="13" t="str">
        <f t="shared" si="20"/>
        <v/>
      </c>
      <c r="AL223" s="18" t="str">
        <f t="shared" si="21"/>
        <v/>
      </c>
    </row>
    <row r="224" ht="15.75" customHeight="1">
      <c r="A224" s="11" t="s">
        <v>447</v>
      </c>
      <c r="B224" s="11">
        <v>2015.0</v>
      </c>
      <c r="C224" s="12" t="str">
        <f>VLOOKUP(A224, Regions!A:B, 2, FALSE)
</f>
        <v>Europe &amp; Central Asia</v>
      </c>
      <c r="D224" s="13">
        <f t="shared" si="1"/>
        <v>5</v>
      </c>
      <c r="E224" s="14">
        <f t="shared" si="2"/>
        <v>2017.5</v>
      </c>
      <c r="F224" s="11" t="s">
        <v>448</v>
      </c>
      <c r="G224" s="11">
        <v>35.77700043</v>
      </c>
      <c r="H224" s="11">
        <v>88.44176125</v>
      </c>
      <c r="I224" s="15">
        <f t="shared" si="3"/>
        <v>88</v>
      </c>
      <c r="J224" s="16" t="str">
        <f t="shared" si="4"/>
        <v/>
      </c>
      <c r="K224" s="16" t="str">
        <f t="shared" si="5"/>
        <v/>
      </c>
      <c r="L224" s="16" t="str">
        <f t="shared" si="6"/>
        <v/>
      </c>
      <c r="M224" s="16" t="str">
        <f t="shared" si="7"/>
        <v>ARC&gt;0</v>
      </c>
      <c r="N224" s="13">
        <f t="shared" si="8"/>
        <v>0.651508794</v>
      </c>
      <c r="O224" s="11">
        <v>1.789935836</v>
      </c>
      <c r="P224" s="11">
        <v>2.248062905</v>
      </c>
      <c r="Q224" s="11">
        <v>7.520240013</v>
      </c>
      <c r="R224" s="11">
        <v>83.10521764</v>
      </c>
      <c r="S224" s="15">
        <f t="shared" si="9"/>
        <v>83</v>
      </c>
      <c r="T224" s="17" t="str">
        <f t="shared" si="10"/>
        <v/>
      </c>
      <c r="U224" s="17" t="str">
        <f t="shared" si="11"/>
        <v/>
      </c>
      <c r="V224" s="17" t="str">
        <f t="shared" si="12"/>
        <v/>
      </c>
      <c r="W224" s="17" t="str">
        <f t="shared" si="13"/>
        <v>ARC&gt;0</v>
      </c>
      <c r="X224" s="13">
        <f t="shared" si="14"/>
        <v>0.830642272</v>
      </c>
      <c r="Y224" s="11">
        <v>2.415973654</v>
      </c>
      <c r="Z224" s="11">
        <v>3.353168783</v>
      </c>
      <c r="AA224" s="11">
        <v>11.12563993</v>
      </c>
      <c r="AB224" s="11">
        <v>98.02134645</v>
      </c>
      <c r="AC224" s="15">
        <f t="shared" si="15"/>
        <v>98</v>
      </c>
      <c r="AD224" s="16" t="str">
        <f t="shared" si="16"/>
        <v/>
      </c>
      <c r="AE224" s="16" t="str">
        <f t="shared" si="17"/>
        <v/>
      </c>
      <c r="AF224" s="16" t="str">
        <f t="shared" si="18"/>
        <v/>
      </c>
      <c r="AG224" s="16" t="str">
        <f t="shared" si="19"/>
        <v>ARC&gt;0</v>
      </c>
      <c r="AH224" s="13">
        <f t="shared" si="20"/>
        <v>0.257269172</v>
      </c>
      <c r="AI224" s="11">
        <v>0.6661405372</v>
      </c>
      <c r="AJ224" s="11">
        <v>0.2642965036</v>
      </c>
      <c r="AK224" s="11" t="s">
        <v>449</v>
      </c>
      <c r="AL224" s="18">
        <f t="shared" si="21"/>
        <v>0.5733731</v>
      </c>
    </row>
    <row r="225" ht="15.75" customHeight="1">
      <c r="A225" s="11" t="s">
        <v>447</v>
      </c>
      <c r="B225" s="11">
        <v>2020.0</v>
      </c>
      <c r="C225" s="12" t="str">
        <f>VLOOKUP(A225, Regions!A:B, 2, FALSE)
</f>
        <v>Europe &amp; Central Asia</v>
      </c>
      <c r="D225" s="13" t="str">
        <f t="shared" si="1"/>
        <v/>
      </c>
      <c r="E225" s="14" t="str">
        <f t="shared" si="2"/>
        <v/>
      </c>
      <c r="F225" s="11" t="s">
        <v>450</v>
      </c>
      <c r="G225" s="11">
        <v>36.85599899</v>
      </c>
      <c r="H225" s="11">
        <v>91.69930522</v>
      </c>
      <c r="I225" s="15">
        <f t="shared" si="3"/>
        <v>92</v>
      </c>
      <c r="J225" s="16" t="str">
        <f t="shared" si="4"/>
        <v/>
      </c>
      <c r="K225" s="16" t="str">
        <f t="shared" si="5"/>
        <v/>
      </c>
      <c r="L225" s="16" t="str">
        <f t="shared" si="6"/>
        <v/>
      </c>
      <c r="M225" s="16" t="str">
        <f t="shared" si="7"/>
        <v>ARC&gt;0</v>
      </c>
      <c r="N225" s="13" t="str">
        <f t="shared" si="8"/>
        <v/>
      </c>
      <c r="O225" s="11">
        <v>1.900734111</v>
      </c>
      <c r="P225" s="11">
        <v>1.8656487</v>
      </c>
      <c r="Q225" s="11">
        <v>4.534311965</v>
      </c>
      <c r="R225" s="11">
        <v>87.258429</v>
      </c>
      <c r="S225" s="15">
        <f t="shared" si="9"/>
        <v>87</v>
      </c>
      <c r="T225" s="17" t="str">
        <f t="shared" si="10"/>
        <v/>
      </c>
      <c r="U225" s="17" t="str">
        <f t="shared" si="11"/>
        <v/>
      </c>
      <c r="V225" s="17" t="str">
        <f t="shared" si="12"/>
        <v/>
      </c>
      <c r="W225" s="17" t="str">
        <f t="shared" si="13"/>
        <v>ARC&gt;0</v>
      </c>
      <c r="X225" s="13" t="str">
        <f t="shared" si="14"/>
        <v/>
      </c>
      <c r="Y225" s="11">
        <v>2.606070485</v>
      </c>
      <c r="Z225" s="11">
        <v>2.954593684</v>
      </c>
      <c r="AA225" s="11">
        <v>7.180906832</v>
      </c>
      <c r="AB225" s="11">
        <v>99.30769231</v>
      </c>
      <c r="AC225" s="15">
        <f t="shared" si="15"/>
        <v>99</v>
      </c>
      <c r="AD225" s="16" t="str">
        <f t="shared" si="16"/>
        <v/>
      </c>
      <c r="AE225" s="16" t="str">
        <f t="shared" si="17"/>
        <v/>
      </c>
      <c r="AF225" s="16" t="str">
        <f t="shared" si="18"/>
        <v/>
      </c>
      <c r="AG225" s="16" t="str">
        <f t="shared" si="19"/>
        <v>ARC&gt;0</v>
      </c>
      <c r="AH225" s="13" t="str">
        <f t="shared" si="20"/>
        <v/>
      </c>
      <c r="AI225" s="11">
        <v>0.6923076923</v>
      </c>
      <c r="AJ225" s="11">
        <v>0.0</v>
      </c>
      <c r="AK225" s="11" t="s">
        <v>43</v>
      </c>
      <c r="AL225" s="18" t="str">
        <f t="shared" si="21"/>
        <v/>
      </c>
    </row>
    <row r="226" ht="15.75" customHeight="1">
      <c r="A226" s="11" t="s">
        <v>451</v>
      </c>
      <c r="B226" s="11">
        <v>2015.0</v>
      </c>
      <c r="C226" s="12" t="str">
        <f>VLOOKUP(A226, Regions!A:B, 2, FALSE)
</f>
        <v>East Asia &amp; Pacific</v>
      </c>
      <c r="D226" s="13">
        <f t="shared" si="1"/>
        <v>5</v>
      </c>
      <c r="E226" s="14">
        <f t="shared" si="2"/>
        <v>2017.5</v>
      </c>
      <c r="F226" s="11" t="s">
        <v>452</v>
      </c>
      <c r="G226" s="11">
        <v>33.10799789</v>
      </c>
      <c r="H226" s="11">
        <v>77.46057221</v>
      </c>
      <c r="I226" s="15">
        <f t="shared" si="3"/>
        <v>77</v>
      </c>
      <c r="J226" s="16" t="str">
        <f t="shared" si="4"/>
        <v/>
      </c>
      <c r="K226" s="16" t="str">
        <f t="shared" si="5"/>
        <v/>
      </c>
      <c r="L226" s="16" t="str">
        <f t="shared" si="6"/>
        <v/>
      </c>
      <c r="M226" s="16" t="str">
        <f t="shared" si="7"/>
        <v>ARC&gt;0</v>
      </c>
      <c r="N226" s="13">
        <f t="shared" si="8"/>
        <v>1.551834194</v>
      </c>
      <c r="O226" s="11">
        <v>3.052340334</v>
      </c>
      <c r="P226" s="11">
        <v>14.22792235</v>
      </c>
      <c r="Q226" s="11">
        <v>5.259165108</v>
      </c>
      <c r="R226" s="11">
        <v>70.23968655</v>
      </c>
      <c r="S226" s="15">
        <f t="shared" si="9"/>
        <v>70</v>
      </c>
      <c r="T226" s="17" t="str">
        <f t="shared" si="10"/>
        <v/>
      </c>
      <c r="U226" s="17" t="str">
        <f t="shared" si="11"/>
        <v/>
      </c>
      <c r="V226" s="17" t="str">
        <f t="shared" si="12"/>
        <v/>
      </c>
      <c r="W226" s="17" t="str">
        <f t="shared" si="13"/>
        <v>ARC&gt;0</v>
      </c>
      <c r="X226" s="13">
        <f t="shared" si="14"/>
        <v>1.646654574</v>
      </c>
      <c r="Y226" s="11">
        <v>4.170293363</v>
      </c>
      <c r="Z226" s="11">
        <v>18.20222139</v>
      </c>
      <c r="AA226" s="11">
        <v>7.387798694</v>
      </c>
      <c r="AB226" s="11">
        <v>92.04977998</v>
      </c>
      <c r="AC226" s="15">
        <f t="shared" si="15"/>
        <v>92</v>
      </c>
      <c r="AD226" s="16" t="str">
        <f t="shared" si="16"/>
        <v/>
      </c>
      <c r="AE226" s="16" t="str">
        <f t="shared" si="17"/>
        <v/>
      </c>
      <c r="AF226" s="16" t="str">
        <f t="shared" si="18"/>
        <v/>
      </c>
      <c r="AG226" s="16" t="str">
        <f t="shared" si="19"/>
        <v>ARC&gt;0</v>
      </c>
      <c r="AH226" s="13">
        <f t="shared" si="20"/>
        <v>1.002896448</v>
      </c>
      <c r="AI226" s="11">
        <v>0.793607849</v>
      </c>
      <c r="AJ226" s="11">
        <v>6.198176795</v>
      </c>
      <c r="AK226" s="11" t="s">
        <v>453</v>
      </c>
      <c r="AL226" s="18">
        <f t="shared" si="21"/>
        <v>0.643758126</v>
      </c>
    </row>
    <row r="227" ht="15.75" customHeight="1">
      <c r="A227" s="11" t="s">
        <v>451</v>
      </c>
      <c r="B227" s="11">
        <v>2020.0</v>
      </c>
      <c r="C227" s="12" t="str">
        <f>VLOOKUP(A227, Regions!A:B, 2, FALSE)
</f>
        <v>East Asia &amp; Pacific</v>
      </c>
      <c r="D227" s="13" t="str">
        <f t="shared" si="1"/>
        <v/>
      </c>
      <c r="E227" s="14" t="str">
        <f t="shared" si="2"/>
        <v/>
      </c>
      <c r="F227" s="11" t="s">
        <v>454</v>
      </c>
      <c r="G227" s="11">
        <v>36.29000092</v>
      </c>
      <c r="H227" s="11">
        <v>85.21974318</v>
      </c>
      <c r="I227" s="15">
        <f t="shared" si="3"/>
        <v>85</v>
      </c>
      <c r="J227" s="16" t="str">
        <f t="shared" si="4"/>
        <v/>
      </c>
      <c r="K227" s="16" t="str">
        <f t="shared" si="5"/>
        <v/>
      </c>
      <c r="L227" s="16" t="str">
        <f t="shared" si="6"/>
        <v/>
      </c>
      <c r="M227" s="16" t="str">
        <f t="shared" si="7"/>
        <v>ARC&gt;0</v>
      </c>
      <c r="N227" s="13" t="str">
        <f t="shared" si="8"/>
        <v/>
      </c>
      <c r="O227" s="11">
        <v>3.566857739</v>
      </c>
      <c r="P227" s="11">
        <v>10.62886799</v>
      </c>
      <c r="Q227" s="11">
        <v>0.5845310938</v>
      </c>
      <c r="R227" s="11">
        <v>78.47295942</v>
      </c>
      <c r="S227" s="15">
        <f t="shared" si="9"/>
        <v>78</v>
      </c>
      <c r="T227" s="17" t="str">
        <f t="shared" si="10"/>
        <v/>
      </c>
      <c r="U227" s="17" t="str">
        <f t="shared" si="11"/>
        <v/>
      </c>
      <c r="V227" s="17" t="str">
        <f t="shared" si="12"/>
        <v/>
      </c>
      <c r="W227" s="17" t="str">
        <f t="shared" si="13"/>
        <v>ARC&gt;0</v>
      </c>
      <c r="X227" s="13" t="str">
        <f t="shared" si="14"/>
        <v/>
      </c>
      <c r="Y227" s="11">
        <v>5.598583786</v>
      </c>
      <c r="Z227" s="11">
        <v>15.0109696</v>
      </c>
      <c r="AA227" s="11">
        <v>0.9174871957</v>
      </c>
      <c r="AB227" s="11">
        <v>97.06426222</v>
      </c>
      <c r="AC227" s="15">
        <f t="shared" si="15"/>
        <v>97</v>
      </c>
      <c r="AD227" s="16" t="str">
        <f t="shared" si="16"/>
        <v/>
      </c>
      <c r="AE227" s="16" t="str">
        <f t="shared" si="17"/>
        <v/>
      </c>
      <c r="AF227" s="16" t="str">
        <f t="shared" si="18"/>
        <v/>
      </c>
      <c r="AG227" s="16" t="str">
        <f t="shared" si="19"/>
        <v>ARC&gt;0</v>
      </c>
      <c r="AH227" s="13" t="str">
        <f t="shared" si="20"/>
        <v/>
      </c>
      <c r="AI227" s="11">
        <v>0.0</v>
      </c>
      <c r="AJ227" s="11">
        <v>2.935737778</v>
      </c>
      <c r="AK227" s="11" t="s">
        <v>43</v>
      </c>
      <c r="AL227" s="18" t="str">
        <f t="shared" si="21"/>
        <v/>
      </c>
    </row>
    <row r="228" ht="15.75" customHeight="1">
      <c r="A228" s="11" t="s">
        <v>455</v>
      </c>
      <c r="B228" s="11">
        <v>2015.0</v>
      </c>
      <c r="C228" s="12" t="str">
        <f>VLOOKUP(A228, Regions!A:B, 2, FALSE)
</f>
        <v>Europe &amp; Central Asia</v>
      </c>
      <c r="D228" s="13">
        <f t="shared" si="1"/>
        <v>5</v>
      </c>
      <c r="E228" s="14">
        <f t="shared" si="2"/>
        <v>2017.5</v>
      </c>
      <c r="F228" s="11" t="s">
        <v>456</v>
      </c>
      <c r="G228" s="11">
        <v>67.97999573</v>
      </c>
      <c r="H228" s="11">
        <v>98.52511728</v>
      </c>
      <c r="I228" s="15">
        <f t="shared" si="3"/>
        <v>99</v>
      </c>
      <c r="J228" s="16" t="str">
        <f t="shared" si="4"/>
        <v/>
      </c>
      <c r="K228" s="16" t="str">
        <f t="shared" si="5"/>
        <v/>
      </c>
      <c r="L228" s="16" t="str">
        <f t="shared" si="6"/>
        <v/>
      </c>
      <c r="M228" s="16" t="str">
        <f t="shared" si="7"/>
        <v>ARC&gt;0</v>
      </c>
      <c r="N228" s="13">
        <f t="shared" si="8"/>
        <v>0.051496774</v>
      </c>
      <c r="O228" s="11">
        <v>0.6787074231</v>
      </c>
      <c r="P228" s="11">
        <v>0.7961752931</v>
      </c>
      <c r="Q228" s="11">
        <v>0.0</v>
      </c>
      <c r="R228" s="11">
        <v>97.85471901</v>
      </c>
      <c r="S228" s="15">
        <f t="shared" si="9"/>
        <v>98</v>
      </c>
      <c r="T228" s="17" t="str">
        <f t="shared" si="10"/>
        <v/>
      </c>
      <c r="U228" s="17" t="str">
        <f t="shared" si="11"/>
        <v/>
      </c>
      <c r="V228" s="17" t="str">
        <f t="shared" si="12"/>
        <v/>
      </c>
      <c r="W228" s="17" t="str">
        <f t="shared" si="13"/>
        <v>ARC&gt;0</v>
      </c>
      <c r="X228" s="13">
        <f t="shared" si="14"/>
        <v>0.144900826</v>
      </c>
      <c r="Y228" s="11">
        <v>0.0</v>
      </c>
      <c r="Z228" s="11">
        <v>2.145280992</v>
      </c>
      <c r="AA228" s="11">
        <v>0.0</v>
      </c>
      <c r="AB228" s="11">
        <v>98.84089334</v>
      </c>
      <c r="AC228" s="15">
        <f t="shared" si="15"/>
        <v>99</v>
      </c>
      <c r="AD228" s="16" t="str">
        <f t="shared" si="16"/>
        <v/>
      </c>
      <c r="AE228" s="16" t="str">
        <f t="shared" si="17"/>
        <v/>
      </c>
      <c r="AF228" s="16" t="str">
        <f t="shared" si="18"/>
        <v/>
      </c>
      <c r="AG228" s="16" t="str">
        <f t="shared" si="19"/>
        <v>ARC&gt;0</v>
      </c>
      <c r="AH228" s="13">
        <f t="shared" si="20"/>
        <v>0.00720627</v>
      </c>
      <c r="AI228" s="11">
        <v>0.998392862</v>
      </c>
      <c r="AJ228" s="11">
        <v>0.1607138001</v>
      </c>
      <c r="AK228" s="11" t="s">
        <v>43</v>
      </c>
      <c r="AL228" s="18">
        <f t="shared" si="21"/>
        <v>0.137694556</v>
      </c>
    </row>
    <row r="229" ht="15.75" customHeight="1">
      <c r="A229" s="11" t="s">
        <v>455</v>
      </c>
      <c r="B229" s="11">
        <v>2020.0</v>
      </c>
      <c r="C229" s="12" t="str">
        <f>VLOOKUP(A229, Regions!A:B, 2, FALSE)
</f>
        <v>Europe &amp; Central Asia</v>
      </c>
      <c r="D229" s="13" t="str">
        <f t="shared" si="1"/>
        <v/>
      </c>
      <c r="E229" s="14" t="str">
        <f t="shared" si="2"/>
        <v/>
      </c>
      <c r="F229" s="11" t="s">
        <v>457</v>
      </c>
      <c r="G229" s="11">
        <v>68.31500244</v>
      </c>
      <c r="H229" s="11">
        <v>98.78260115</v>
      </c>
      <c r="I229" s="15">
        <f t="shared" si="3"/>
        <v>99</v>
      </c>
      <c r="J229" s="16" t="str">
        <f t="shared" si="4"/>
        <v/>
      </c>
      <c r="K229" s="16" t="str">
        <f t="shared" si="5"/>
        <v/>
      </c>
      <c r="L229" s="16" t="str">
        <f t="shared" si="6"/>
        <v/>
      </c>
      <c r="M229" s="16" t="str">
        <f t="shared" si="7"/>
        <v>ARC&gt;0</v>
      </c>
      <c r="N229" s="13" t="str">
        <f t="shared" si="8"/>
        <v/>
      </c>
      <c r="O229" s="11">
        <v>0.6823007424</v>
      </c>
      <c r="P229" s="11">
        <v>0.5350981037</v>
      </c>
      <c r="Q229" s="11">
        <v>0.0</v>
      </c>
      <c r="R229" s="11">
        <v>98.57922314</v>
      </c>
      <c r="S229" s="15">
        <f t="shared" si="9"/>
        <v>99</v>
      </c>
      <c r="T229" s="17" t="str">
        <f t="shared" si="10"/>
        <v/>
      </c>
      <c r="U229" s="17" t="str">
        <f t="shared" si="11"/>
        <v/>
      </c>
      <c r="V229" s="17" t="str">
        <f t="shared" si="12"/>
        <v/>
      </c>
      <c r="W229" s="17" t="str">
        <f t="shared" si="13"/>
        <v>ARC&gt;0</v>
      </c>
      <c r="X229" s="13" t="str">
        <f t="shared" si="14"/>
        <v/>
      </c>
      <c r="Y229" s="11">
        <v>0.0</v>
      </c>
      <c r="Z229" s="11">
        <v>1.42077686</v>
      </c>
      <c r="AA229" s="11">
        <v>0.0</v>
      </c>
      <c r="AB229" s="11">
        <v>98.87692469</v>
      </c>
      <c r="AC229" s="15">
        <f t="shared" si="15"/>
        <v>99</v>
      </c>
      <c r="AD229" s="16" t="str">
        <f t="shared" si="16"/>
        <v/>
      </c>
      <c r="AE229" s="16" t="str">
        <f t="shared" si="17"/>
        <v/>
      </c>
      <c r="AF229" s="16" t="str">
        <f t="shared" si="18"/>
        <v/>
      </c>
      <c r="AG229" s="16" t="str">
        <f t="shared" si="19"/>
        <v>ARC&gt;0</v>
      </c>
      <c r="AH229" s="13" t="str">
        <f t="shared" si="20"/>
        <v/>
      </c>
      <c r="AI229" s="11">
        <v>0.9987568151</v>
      </c>
      <c r="AJ229" s="11">
        <v>0.1243184908</v>
      </c>
      <c r="AK229" s="11" t="s">
        <v>43</v>
      </c>
      <c r="AL229" s="18" t="str">
        <f t="shared" si="21"/>
        <v/>
      </c>
    </row>
    <row r="230" ht="15.75" customHeight="1">
      <c r="A230" s="11" t="s">
        <v>458</v>
      </c>
      <c r="B230" s="11">
        <v>2015.0</v>
      </c>
      <c r="C230" s="12" t="str">
        <f>VLOOKUP(A230, Regions!A:B, 2, FALSE)
</f>
        <v>Middle East &amp; North Africa</v>
      </c>
      <c r="D230" s="13">
        <f t="shared" si="1"/>
        <v>5</v>
      </c>
      <c r="E230" s="14">
        <f t="shared" si="2"/>
        <v>2017.5</v>
      </c>
      <c r="F230" s="11" t="s">
        <v>459</v>
      </c>
      <c r="G230" s="11">
        <v>88.10600281</v>
      </c>
      <c r="H230" s="11">
        <v>91.22432251</v>
      </c>
      <c r="I230" s="15">
        <f t="shared" si="3"/>
        <v>91</v>
      </c>
      <c r="J230" s="16" t="str">
        <f t="shared" si="4"/>
        <v/>
      </c>
      <c r="K230" s="16" t="str">
        <f t="shared" si="5"/>
        <v/>
      </c>
      <c r="L230" s="16" t="str">
        <f t="shared" si="6"/>
        <v/>
      </c>
      <c r="M230" s="16" t="str">
        <f t="shared" si="7"/>
        <v>ARC&gt;0</v>
      </c>
      <c r="N230" s="13">
        <f t="shared" si="8"/>
        <v>0.275135498</v>
      </c>
      <c r="O230" s="11">
        <v>7.29006465</v>
      </c>
      <c r="P230" s="11">
        <v>1.34019284</v>
      </c>
      <c r="Q230" s="11">
        <v>0.14542</v>
      </c>
      <c r="S230" s="15">
        <f t="shared" si="9"/>
        <v>0</v>
      </c>
      <c r="T230" s="17" t="str">
        <f t="shared" si="10"/>
        <v/>
      </c>
      <c r="U230" s="17" t="str">
        <f t="shared" si="11"/>
        <v>ARC=0</v>
      </c>
      <c r="V230" s="17" t="str">
        <f t="shared" si="12"/>
        <v/>
      </c>
      <c r="W230" s="17" t="str">
        <f t="shared" si="13"/>
        <v/>
      </c>
      <c r="X230" s="13">
        <f t="shared" si="14"/>
        <v>0</v>
      </c>
      <c r="AC230" s="15">
        <f t="shared" si="15"/>
        <v>0</v>
      </c>
      <c r="AD230" s="16" t="str">
        <f t="shared" si="16"/>
        <v/>
      </c>
      <c r="AE230" s="16" t="str">
        <f t="shared" si="17"/>
        <v>ARC=0</v>
      </c>
      <c r="AF230" s="16" t="str">
        <f t="shared" si="18"/>
        <v/>
      </c>
      <c r="AG230" s="16" t="str">
        <f t="shared" si="19"/>
        <v/>
      </c>
      <c r="AH230" s="13">
        <f t="shared" si="20"/>
        <v>0</v>
      </c>
      <c r="AL230" s="18">
        <f t="shared" si="21"/>
        <v>0</v>
      </c>
    </row>
    <row r="231" ht="15.75" customHeight="1">
      <c r="A231" s="11" t="s">
        <v>458</v>
      </c>
      <c r="B231" s="11">
        <v>2020.0</v>
      </c>
      <c r="C231" s="12" t="str">
        <f>VLOOKUP(A231, Regions!A:B, 2, FALSE)
</f>
        <v>Middle East &amp; North Africa</v>
      </c>
      <c r="D231" s="13" t="str">
        <f t="shared" si="1"/>
        <v/>
      </c>
      <c r="E231" s="14" t="str">
        <f t="shared" si="2"/>
        <v/>
      </c>
      <c r="F231" s="11" t="s">
        <v>460</v>
      </c>
      <c r="G231" s="11">
        <v>88.92499542</v>
      </c>
      <c r="H231" s="11">
        <v>92.6</v>
      </c>
      <c r="I231" s="15">
        <f t="shared" si="3"/>
        <v>93</v>
      </c>
      <c r="J231" s="16" t="str">
        <f t="shared" si="4"/>
        <v/>
      </c>
      <c r="K231" s="16" t="str">
        <f t="shared" si="5"/>
        <v/>
      </c>
      <c r="L231" s="16" t="str">
        <f t="shared" si="6"/>
        <v/>
      </c>
      <c r="M231" s="16" t="str">
        <f t="shared" si="7"/>
        <v>ARC&gt;0</v>
      </c>
      <c r="N231" s="13" t="str">
        <f t="shared" si="8"/>
        <v/>
      </c>
      <c r="O231" s="11">
        <v>7.4</v>
      </c>
      <c r="P231" s="11">
        <v>0.0</v>
      </c>
      <c r="Q231" s="11">
        <v>0.0</v>
      </c>
      <c r="S231" s="15">
        <f t="shared" si="9"/>
        <v>0</v>
      </c>
      <c r="T231" s="17" t="str">
        <f t="shared" si="10"/>
        <v/>
      </c>
      <c r="U231" s="17" t="str">
        <f t="shared" si="11"/>
        <v>ARC=0</v>
      </c>
      <c r="V231" s="17" t="str">
        <f t="shared" si="12"/>
        <v/>
      </c>
      <c r="W231" s="17" t="str">
        <f t="shared" si="13"/>
        <v/>
      </c>
      <c r="X231" s="13" t="str">
        <f t="shared" si="14"/>
        <v/>
      </c>
      <c r="AC231" s="15">
        <f t="shared" si="15"/>
        <v>0</v>
      </c>
      <c r="AD231" s="16" t="str">
        <f t="shared" si="16"/>
        <v/>
      </c>
      <c r="AE231" s="16" t="str">
        <f t="shared" si="17"/>
        <v>ARC=0</v>
      </c>
      <c r="AF231" s="16" t="str">
        <f t="shared" si="18"/>
        <v/>
      </c>
      <c r="AG231" s="16" t="str">
        <f t="shared" si="19"/>
        <v/>
      </c>
      <c r="AH231" s="13" t="str">
        <f t="shared" si="20"/>
        <v/>
      </c>
      <c r="AL231" s="18" t="str">
        <f t="shared" si="21"/>
        <v/>
      </c>
    </row>
    <row r="232" ht="15.75" customHeight="1">
      <c r="A232" s="11" t="s">
        <v>461</v>
      </c>
      <c r="B232" s="11">
        <v>2015.0</v>
      </c>
      <c r="C232" s="12" t="str">
        <f>VLOOKUP(A232, Regions!A:B, 2, FALSE)
</f>
        <v>Sub-Saharan Africa</v>
      </c>
      <c r="D232" s="13">
        <f t="shared" si="1"/>
        <v>5</v>
      </c>
      <c r="E232" s="14">
        <f t="shared" si="2"/>
        <v>2017.5</v>
      </c>
      <c r="F232" s="11" t="s">
        <v>462</v>
      </c>
      <c r="G232" s="11">
        <v>26.90800095</v>
      </c>
      <c r="H232" s="11">
        <v>70.5456894</v>
      </c>
      <c r="I232" s="15">
        <f t="shared" si="3"/>
        <v>71</v>
      </c>
      <c r="J232" s="16" t="str">
        <f t="shared" si="4"/>
        <v/>
      </c>
      <c r="K232" s="16" t="str">
        <f t="shared" si="5"/>
        <v/>
      </c>
      <c r="L232" s="16" t="str">
        <f t="shared" si="6"/>
        <v/>
      </c>
      <c r="M232" s="16" t="str">
        <f t="shared" si="7"/>
        <v>ARC&gt;0</v>
      </c>
      <c r="N232" s="13">
        <f t="shared" si="8"/>
        <v>0.326069974</v>
      </c>
      <c r="O232" s="11">
        <v>10.86331049</v>
      </c>
      <c r="P232" s="11">
        <v>14.5343829</v>
      </c>
      <c r="Q232" s="11">
        <v>4.056617208</v>
      </c>
      <c r="R232" s="11">
        <v>63.42088315</v>
      </c>
      <c r="S232" s="15">
        <f t="shared" si="9"/>
        <v>63</v>
      </c>
      <c r="T232" s="17" t="str">
        <f t="shared" si="10"/>
        <v/>
      </c>
      <c r="U232" s="17" t="str">
        <f t="shared" si="11"/>
        <v/>
      </c>
      <c r="V232" s="17" t="str">
        <f t="shared" si="12"/>
        <v/>
      </c>
      <c r="W232" s="17" t="str">
        <f t="shared" si="13"/>
        <v>ARC&gt;0</v>
      </c>
      <c r="X232" s="13">
        <f t="shared" si="14"/>
        <v>0.045894334</v>
      </c>
      <c r="Y232" s="11">
        <v>13.04933941</v>
      </c>
      <c r="Z232" s="11">
        <v>18.16490493</v>
      </c>
      <c r="AA232" s="11">
        <v>5.364872511</v>
      </c>
      <c r="AB232" s="11">
        <v>89.89927614</v>
      </c>
      <c r="AC232" s="15">
        <f t="shared" si="15"/>
        <v>90</v>
      </c>
      <c r="AD232" s="16" t="str">
        <f t="shared" si="16"/>
        <v/>
      </c>
      <c r="AE232" s="16" t="str">
        <f t="shared" si="17"/>
        <v/>
      </c>
      <c r="AF232" s="16" t="str">
        <f t="shared" si="18"/>
        <v/>
      </c>
      <c r="AG232" s="16" t="str">
        <f t="shared" si="19"/>
        <v>ARC&gt;0</v>
      </c>
      <c r="AH232" s="13">
        <f t="shared" si="20"/>
        <v>0.624326482</v>
      </c>
      <c r="AI232" s="11">
        <v>4.925254235</v>
      </c>
      <c r="AJ232" s="11">
        <v>4.672553616</v>
      </c>
      <c r="AK232" s="11" t="s">
        <v>463</v>
      </c>
      <c r="AL232" s="18">
        <f t="shared" si="21"/>
        <v>-0.578432148</v>
      </c>
    </row>
    <row r="233" ht="15.75" customHeight="1">
      <c r="A233" s="11" t="s">
        <v>461</v>
      </c>
      <c r="B233" s="11">
        <v>2020.0</v>
      </c>
      <c r="C233" s="12" t="str">
        <f>VLOOKUP(A233, Regions!A:B, 2, FALSE)
</f>
        <v>Sub-Saharan Africa</v>
      </c>
      <c r="D233" s="13" t="str">
        <f t="shared" si="1"/>
        <v/>
      </c>
      <c r="E233" s="14" t="str">
        <f t="shared" si="2"/>
        <v/>
      </c>
      <c r="F233" s="11" t="s">
        <v>464</v>
      </c>
      <c r="G233" s="11">
        <v>29.02799988</v>
      </c>
      <c r="H233" s="11">
        <v>72.17603927</v>
      </c>
      <c r="I233" s="15">
        <f t="shared" si="3"/>
        <v>72</v>
      </c>
      <c r="J233" s="16" t="str">
        <f t="shared" si="4"/>
        <v/>
      </c>
      <c r="K233" s="16" t="str">
        <f t="shared" si="5"/>
        <v/>
      </c>
      <c r="L233" s="16" t="str">
        <f t="shared" si="6"/>
        <v/>
      </c>
      <c r="M233" s="16" t="str">
        <f t="shared" si="7"/>
        <v>ARC&gt;0</v>
      </c>
      <c r="N233" s="13" t="str">
        <f t="shared" si="8"/>
        <v/>
      </c>
      <c r="O233" s="11">
        <v>10.40592597</v>
      </c>
      <c r="P233" s="11">
        <v>12.21725464</v>
      </c>
      <c r="Q233" s="11">
        <v>5.200780116</v>
      </c>
      <c r="R233" s="11">
        <v>63.65035482</v>
      </c>
      <c r="S233" s="15">
        <f t="shared" si="9"/>
        <v>64</v>
      </c>
      <c r="T233" s="17" t="str">
        <f t="shared" si="10"/>
        <v/>
      </c>
      <c r="U233" s="17" t="str">
        <f t="shared" si="11"/>
        <v/>
      </c>
      <c r="V233" s="17" t="str">
        <f t="shared" si="12"/>
        <v/>
      </c>
      <c r="W233" s="17" t="str">
        <f t="shared" si="13"/>
        <v>ARC&gt;0</v>
      </c>
      <c r="X233" s="13" t="str">
        <f t="shared" si="14"/>
        <v/>
      </c>
      <c r="Y233" s="11">
        <v>13.55843013</v>
      </c>
      <c r="Z233" s="11">
        <v>15.73132479</v>
      </c>
      <c r="AA233" s="11">
        <v>7.059890254</v>
      </c>
      <c r="AB233" s="11">
        <v>93.02090855</v>
      </c>
      <c r="AC233" s="15">
        <f t="shared" si="15"/>
        <v>93</v>
      </c>
      <c r="AD233" s="16" t="str">
        <f t="shared" si="16"/>
        <v/>
      </c>
      <c r="AE233" s="16" t="str">
        <f t="shared" si="17"/>
        <v/>
      </c>
      <c r="AF233" s="16" t="str">
        <f t="shared" si="18"/>
        <v/>
      </c>
      <c r="AG233" s="16" t="str">
        <f t="shared" si="19"/>
        <v>ARC&gt;0</v>
      </c>
      <c r="AH233" s="13" t="str">
        <f t="shared" si="20"/>
        <v/>
      </c>
      <c r="AI233" s="11">
        <v>2.698211997</v>
      </c>
      <c r="AJ233" s="11">
        <v>3.625530038</v>
      </c>
      <c r="AK233" s="11" t="s">
        <v>465</v>
      </c>
      <c r="AL233" s="18" t="str">
        <f t="shared" si="21"/>
        <v/>
      </c>
    </row>
    <row r="234" ht="15.75" customHeight="1">
      <c r="A234" s="11" t="s">
        <v>466</v>
      </c>
      <c r="B234" s="11">
        <v>2015.0</v>
      </c>
      <c r="C234" s="12" t="str">
        <f>VLOOKUP(A234, Regions!A:B, 2, FALSE)
</f>
        <v>Sub-Saharan Africa</v>
      </c>
      <c r="D234" s="13">
        <f t="shared" si="1"/>
        <v>5</v>
      </c>
      <c r="E234" s="14">
        <f t="shared" si="2"/>
        <v>2017.5</v>
      </c>
      <c r="F234" s="11" t="s">
        <v>467</v>
      </c>
      <c r="G234" s="11">
        <v>49.81999969</v>
      </c>
      <c r="H234" s="11">
        <v>72.56979194</v>
      </c>
      <c r="I234" s="15">
        <f t="shared" si="3"/>
        <v>73</v>
      </c>
      <c r="J234" s="16" t="str">
        <f t="shared" si="4"/>
        <v/>
      </c>
      <c r="K234" s="16" t="str">
        <f t="shared" si="5"/>
        <v/>
      </c>
      <c r="L234" s="16" t="str">
        <f t="shared" si="6"/>
        <v/>
      </c>
      <c r="M234" s="16" t="str">
        <f t="shared" si="7"/>
        <v>ARC&gt;0</v>
      </c>
      <c r="N234" s="13">
        <f t="shared" si="8"/>
        <v>0.53839993</v>
      </c>
      <c r="O234" s="11">
        <v>7.364422679</v>
      </c>
      <c r="P234" s="11">
        <v>6.537233844</v>
      </c>
      <c r="Q234" s="11">
        <v>13.52855154</v>
      </c>
      <c r="R234" s="11">
        <v>61.26318196</v>
      </c>
      <c r="S234" s="15">
        <f t="shared" si="9"/>
        <v>61</v>
      </c>
      <c r="T234" s="17" t="str">
        <f t="shared" si="10"/>
        <v/>
      </c>
      <c r="U234" s="17" t="str">
        <f t="shared" si="11"/>
        <v/>
      </c>
      <c r="V234" s="17" t="str">
        <f t="shared" si="12"/>
        <v/>
      </c>
      <c r="W234" s="17" t="str">
        <f t="shared" si="13"/>
        <v>ARC&gt;0</v>
      </c>
      <c r="X234" s="13">
        <f t="shared" si="14"/>
        <v>0.567406986</v>
      </c>
      <c r="Y234" s="11">
        <v>5.126042294</v>
      </c>
      <c r="Z234" s="11">
        <v>7.524148785</v>
      </c>
      <c r="AA234" s="11">
        <v>26.08662696</v>
      </c>
      <c r="AB234" s="11">
        <v>83.95810401</v>
      </c>
      <c r="AC234" s="15">
        <f t="shared" si="15"/>
        <v>84</v>
      </c>
      <c r="AD234" s="16" t="str">
        <f t="shared" si="16"/>
        <v/>
      </c>
      <c r="AE234" s="16" t="str">
        <f t="shared" si="17"/>
        <v/>
      </c>
      <c r="AF234" s="16" t="str">
        <f t="shared" si="18"/>
        <v/>
      </c>
      <c r="AG234" s="16" t="str">
        <f t="shared" si="19"/>
        <v>ARC&gt;0</v>
      </c>
      <c r="AH234" s="13">
        <f t="shared" si="20"/>
        <v>0.314001124</v>
      </c>
      <c r="AI234" s="11">
        <v>9.618977705</v>
      </c>
      <c r="AJ234" s="11">
        <v>5.54318741</v>
      </c>
      <c r="AK234" s="11" t="s">
        <v>468</v>
      </c>
      <c r="AL234" s="18">
        <f t="shared" si="21"/>
        <v>0.253405862</v>
      </c>
    </row>
    <row r="235" ht="15.75" customHeight="1">
      <c r="A235" s="11" t="s">
        <v>466</v>
      </c>
      <c r="B235" s="11">
        <v>2020.0</v>
      </c>
      <c r="C235" s="12" t="str">
        <f>VLOOKUP(A235, Regions!A:B, 2, FALSE)
</f>
        <v>Sub-Saharan Africa</v>
      </c>
      <c r="D235" s="13" t="str">
        <f t="shared" si="1"/>
        <v/>
      </c>
      <c r="E235" s="14" t="str">
        <f t="shared" si="2"/>
        <v/>
      </c>
      <c r="F235" s="11" t="s">
        <v>469</v>
      </c>
      <c r="G235" s="11">
        <v>52.08899689</v>
      </c>
      <c r="H235" s="11">
        <v>75.26179159</v>
      </c>
      <c r="I235" s="15">
        <f t="shared" si="3"/>
        <v>75</v>
      </c>
      <c r="J235" s="16" t="str">
        <f t="shared" si="4"/>
        <v/>
      </c>
      <c r="K235" s="16" t="str">
        <f t="shared" si="5"/>
        <v/>
      </c>
      <c r="L235" s="16" t="str">
        <f t="shared" si="6"/>
        <v/>
      </c>
      <c r="M235" s="16" t="str">
        <f t="shared" si="7"/>
        <v>ARC&gt;0</v>
      </c>
      <c r="N235" s="13" t="str">
        <f t="shared" si="8"/>
        <v/>
      </c>
      <c r="O235" s="11">
        <v>8.700657475</v>
      </c>
      <c r="P235" s="11">
        <v>3.488080869</v>
      </c>
      <c r="Q235" s="11">
        <v>12.54947006</v>
      </c>
      <c r="R235" s="11">
        <v>64.10021689</v>
      </c>
      <c r="S235" s="15">
        <f t="shared" si="9"/>
        <v>64</v>
      </c>
      <c r="T235" s="17" t="str">
        <f t="shared" si="10"/>
        <v/>
      </c>
      <c r="U235" s="17" t="str">
        <f t="shared" si="11"/>
        <v/>
      </c>
      <c r="V235" s="17" t="str">
        <f t="shared" si="12"/>
        <v/>
      </c>
      <c r="W235" s="17" t="str">
        <f t="shared" si="13"/>
        <v>ARC&gt;0</v>
      </c>
      <c r="X235" s="13" t="str">
        <f t="shared" si="14"/>
        <v/>
      </c>
      <c r="Y235" s="11">
        <v>6.537775797</v>
      </c>
      <c r="Z235" s="11">
        <v>3.383709875</v>
      </c>
      <c r="AA235" s="11">
        <v>25.97829744</v>
      </c>
      <c r="AB235" s="11">
        <v>85.52810963</v>
      </c>
      <c r="AC235" s="15">
        <f t="shared" si="15"/>
        <v>86</v>
      </c>
      <c r="AD235" s="16" t="str">
        <f t="shared" si="16"/>
        <v/>
      </c>
      <c r="AE235" s="16" t="str">
        <f t="shared" si="17"/>
        <v/>
      </c>
      <c r="AF235" s="16" t="str">
        <f t="shared" si="18"/>
        <v/>
      </c>
      <c r="AG235" s="16" t="str">
        <f t="shared" si="19"/>
        <v>ARC&gt;0</v>
      </c>
      <c r="AH235" s="13" t="str">
        <f t="shared" si="20"/>
        <v/>
      </c>
      <c r="AI235" s="11">
        <v>10.69005698</v>
      </c>
      <c r="AJ235" s="11">
        <v>3.58408039</v>
      </c>
      <c r="AK235" s="11" t="s">
        <v>470</v>
      </c>
      <c r="AL235" s="18" t="str">
        <f t="shared" si="21"/>
        <v/>
      </c>
    </row>
    <row r="236" ht="15.75" customHeight="1">
      <c r="A236" s="11" t="s">
        <v>471</v>
      </c>
      <c r="B236" s="11">
        <v>2015.0</v>
      </c>
      <c r="C236" s="12" t="str">
        <f>VLOOKUP(A236, Regions!A:B, 2, FALSE)
</f>
        <v>Sub-Saharan Africa</v>
      </c>
      <c r="D236" s="13">
        <f t="shared" si="1"/>
        <v>5</v>
      </c>
      <c r="E236" s="14">
        <f t="shared" si="2"/>
        <v>2017.5</v>
      </c>
      <c r="F236" s="11" t="s">
        <v>472</v>
      </c>
      <c r="G236" s="11">
        <v>79.27000427</v>
      </c>
      <c r="H236" s="11">
        <v>97.28161516</v>
      </c>
      <c r="I236" s="15">
        <f t="shared" si="3"/>
        <v>97</v>
      </c>
      <c r="J236" s="16" t="str">
        <f t="shared" si="4"/>
        <v/>
      </c>
      <c r="K236" s="16" t="str">
        <f t="shared" si="5"/>
        <v/>
      </c>
      <c r="L236" s="16" t="str">
        <f t="shared" si="6"/>
        <v/>
      </c>
      <c r="M236" s="16" t="str">
        <f t="shared" si="7"/>
        <v>ARC&gt;0</v>
      </c>
      <c r="N236" s="13">
        <f t="shared" si="8"/>
        <v>0.521981728</v>
      </c>
      <c r="O236" s="11">
        <v>0.0</v>
      </c>
      <c r="P236" s="11">
        <v>2.718384841</v>
      </c>
      <c r="Q236" s="11">
        <v>0.0</v>
      </c>
      <c r="S236" s="15">
        <f t="shared" si="9"/>
        <v>0</v>
      </c>
      <c r="T236" s="17" t="str">
        <f t="shared" si="10"/>
        <v/>
      </c>
      <c r="U236" s="17" t="str">
        <f t="shared" si="11"/>
        <v>ARC=0</v>
      </c>
      <c r="V236" s="17" t="str">
        <f t="shared" si="12"/>
        <v/>
      </c>
      <c r="W236" s="17" t="str">
        <f t="shared" si="13"/>
        <v/>
      </c>
      <c r="X236" s="13">
        <f t="shared" si="14"/>
        <v>0</v>
      </c>
      <c r="AC236" s="15">
        <f t="shared" si="15"/>
        <v>0</v>
      </c>
      <c r="AD236" s="16" t="str">
        <f t="shared" si="16"/>
        <v/>
      </c>
      <c r="AE236" s="16" t="str">
        <f t="shared" si="17"/>
        <v>ARC=0</v>
      </c>
      <c r="AF236" s="16" t="str">
        <f t="shared" si="18"/>
        <v/>
      </c>
      <c r="AG236" s="16" t="str">
        <f t="shared" si="19"/>
        <v/>
      </c>
      <c r="AH236" s="13">
        <f t="shared" si="20"/>
        <v>0</v>
      </c>
      <c r="AL236" s="18">
        <f t="shared" si="21"/>
        <v>0</v>
      </c>
    </row>
    <row r="237" ht="15.75" customHeight="1">
      <c r="A237" s="11" t="s">
        <v>471</v>
      </c>
      <c r="B237" s="11">
        <v>2020.0</v>
      </c>
      <c r="C237" s="12" t="str">
        <f>VLOOKUP(A237, Regions!A:B, 2, FALSE)
</f>
        <v>Sub-Saharan Africa</v>
      </c>
      <c r="D237" s="13" t="str">
        <f t="shared" si="1"/>
        <v/>
      </c>
      <c r="E237" s="14" t="str">
        <f t="shared" si="2"/>
        <v/>
      </c>
      <c r="F237" s="11" t="s">
        <v>473</v>
      </c>
      <c r="G237" s="11">
        <v>80.69100189</v>
      </c>
      <c r="H237" s="11">
        <v>99.8915238</v>
      </c>
      <c r="I237" s="15">
        <f t="shared" si="3"/>
        <v>100</v>
      </c>
      <c r="J237" s="16" t="str">
        <f t="shared" si="4"/>
        <v/>
      </c>
      <c r="K237" s="16" t="str">
        <f t="shared" si="5"/>
        <v/>
      </c>
      <c r="L237" s="16" t="str">
        <f t="shared" si="6"/>
        <v/>
      </c>
      <c r="M237" s="16" t="str">
        <f t="shared" si="7"/>
        <v>ARC&gt;0</v>
      </c>
      <c r="N237" s="13" t="str">
        <f t="shared" si="8"/>
        <v/>
      </c>
      <c r="O237" s="11">
        <v>0.0</v>
      </c>
      <c r="P237" s="11">
        <v>0.1084762012</v>
      </c>
      <c r="Q237" s="11">
        <v>0.0</v>
      </c>
      <c r="S237" s="15">
        <f t="shared" si="9"/>
        <v>0</v>
      </c>
      <c r="T237" s="17" t="str">
        <f t="shared" si="10"/>
        <v/>
      </c>
      <c r="U237" s="17" t="str">
        <f t="shared" si="11"/>
        <v>ARC=0</v>
      </c>
      <c r="V237" s="17" t="str">
        <f t="shared" si="12"/>
        <v/>
      </c>
      <c r="W237" s="17" t="str">
        <f t="shared" si="13"/>
        <v/>
      </c>
      <c r="X237" s="13" t="str">
        <f t="shared" si="14"/>
        <v/>
      </c>
      <c r="AC237" s="15">
        <f t="shared" si="15"/>
        <v>0</v>
      </c>
      <c r="AD237" s="16" t="str">
        <f t="shared" si="16"/>
        <v/>
      </c>
      <c r="AE237" s="16" t="str">
        <f t="shared" si="17"/>
        <v>ARC=0</v>
      </c>
      <c r="AF237" s="16" t="str">
        <f t="shared" si="18"/>
        <v/>
      </c>
      <c r="AG237" s="16" t="str">
        <f t="shared" si="19"/>
        <v/>
      </c>
      <c r="AH237" s="13" t="str">
        <f t="shared" si="20"/>
        <v/>
      </c>
      <c r="AL237" s="18" t="str">
        <f t="shared" si="21"/>
        <v/>
      </c>
    </row>
    <row r="238" ht="15.75" customHeight="1">
      <c r="A238" s="11" t="s">
        <v>474</v>
      </c>
      <c r="B238" s="11">
        <v>2015.0</v>
      </c>
      <c r="C238" s="12" t="str">
        <f>VLOOKUP(A238, Regions!A:B, 2, FALSE)
</f>
        <v>Europe &amp; Central Asia</v>
      </c>
      <c r="D238" s="13">
        <f t="shared" si="1"/>
        <v>5</v>
      </c>
      <c r="E238" s="14">
        <f t="shared" si="2"/>
        <v>2017.5</v>
      </c>
      <c r="F238" s="11" t="s">
        <v>475</v>
      </c>
      <c r="G238" s="11">
        <v>14.30300045</v>
      </c>
      <c r="H238" s="11">
        <v>100.0</v>
      </c>
      <c r="I238" s="15">
        <f t="shared" si="3"/>
        <v>100</v>
      </c>
      <c r="J238" s="16" t="str">
        <f t="shared" si="4"/>
        <v>full access</v>
      </c>
      <c r="K238" s="16" t="str">
        <f t="shared" si="5"/>
        <v/>
      </c>
      <c r="L238" s="16" t="str">
        <f t="shared" si="6"/>
        <v/>
      </c>
      <c r="M238" s="16" t="str">
        <f t="shared" si="7"/>
        <v/>
      </c>
      <c r="N238" s="13">
        <f t="shared" si="8"/>
        <v>0</v>
      </c>
      <c r="O238" s="11">
        <v>0.0</v>
      </c>
      <c r="P238" s="11">
        <v>0.0</v>
      </c>
      <c r="Q238" s="11">
        <v>0.0</v>
      </c>
      <c r="S238" s="15">
        <f t="shared" si="9"/>
        <v>0</v>
      </c>
      <c r="T238" s="17" t="str">
        <f t="shared" si="10"/>
        <v/>
      </c>
      <c r="U238" s="17" t="str">
        <f t="shared" si="11"/>
        <v>ARC=0</v>
      </c>
      <c r="V238" s="17" t="str">
        <f t="shared" si="12"/>
        <v/>
      </c>
      <c r="W238" s="17" t="str">
        <f t="shared" si="13"/>
        <v/>
      </c>
      <c r="X238" s="13">
        <f t="shared" si="14"/>
        <v>0</v>
      </c>
      <c r="AC238" s="15">
        <f t="shared" si="15"/>
        <v>0</v>
      </c>
      <c r="AD238" s="16" t="str">
        <f t="shared" si="16"/>
        <v/>
      </c>
      <c r="AE238" s="16" t="str">
        <f t="shared" si="17"/>
        <v>ARC=0</v>
      </c>
      <c r="AF238" s="16" t="str">
        <f t="shared" si="18"/>
        <v/>
      </c>
      <c r="AG238" s="16" t="str">
        <f t="shared" si="19"/>
        <v/>
      </c>
      <c r="AH238" s="13">
        <f t="shared" si="20"/>
        <v>0</v>
      </c>
      <c r="AL238" s="18">
        <f t="shared" si="21"/>
        <v>0</v>
      </c>
    </row>
    <row r="239" ht="15.75" customHeight="1">
      <c r="A239" s="11" t="s">
        <v>474</v>
      </c>
      <c r="B239" s="11">
        <v>2020.0</v>
      </c>
      <c r="C239" s="12" t="str">
        <f>VLOOKUP(A239, Regions!A:B, 2, FALSE)
</f>
        <v>Europe &amp; Central Asia</v>
      </c>
      <c r="D239" s="13" t="str">
        <f t="shared" si="1"/>
        <v/>
      </c>
      <c r="E239" s="14" t="str">
        <f t="shared" si="2"/>
        <v/>
      </c>
      <c r="F239" s="11" t="s">
        <v>476</v>
      </c>
      <c r="G239" s="11">
        <v>14.41600037</v>
      </c>
      <c r="H239" s="11">
        <v>100.0</v>
      </c>
      <c r="I239" s="15">
        <f t="shared" si="3"/>
        <v>100</v>
      </c>
      <c r="J239" s="16" t="str">
        <f t="shared" si="4"/>
        <v/>
      </c>
      <c r="K239" s="16" t="str">
        <f t="shared" si="5"/>
        <v/>
      </c>
      <c r="L239" s="16" t="str">
        <f t="shared" si="6"/>
        <v/>
      </c>
      <c r="M239" s="16" t="str">
        <f t="shared" si="7"/>
        <v>ARC&gt;0</v>
      </c>
      <c r="N239" s="13" t="str">
        <f t="shared" si="8"/>
        <v/>
      </c>
      <c r="O239" s="11">
        <v>0.0</v>
      </c>
      <c r="P239" s="11">
        <v>0.0</v>
      </c>
      <c r="Q239" s="11">
        <v>0.0</v>
      </c>
      <c r="S239" s="15">
        <f t="shared" si="9"/>
        <v>0</v>
      </c>
      <c r="T239" s="17" t="str">
        <f t="shared" si="10"/>
        <v/>
      </c>
      <c r="U239" s="17" t="str">
        <f t="shared" si="11"/>
        <v>ARC=0</v>
      </c>
      <c r="V239" s="17" t="str">
        <f t="shared" si="12"/>
        <v/>
      </c>
      <c r="W239" s="17" t="str">
        <f t="shared" si="13"/>
        <v/>
      </c>
      <c r="X239" s="13" t="str">
        <f t="shared" si="14"/>
        <v/>
      </c>
      <c r="AC239" s="15">
        <f t="shared" si="15"/>
        <v>0</v>
      </c>
      <c r="AD239" s="16" t="str">
        <f t="shared" si="16"/>
        <v/>
      </c>
      <c r="AE239" s="16" t="str">
        <f t="shared" si="17"/>
        <v>ARC=0</v>
      </c>
      <c r="AF239" s="16" t="str">
        <f t="shared" si="18"/>
        <v/>
      </c>
      <c r="AG239" s="16" t="str">
        <f t="shared" si="19"/>
        <v/>
      </c>
      <c r="AH239" s="13" t="str">
        <f t="shared" si="20"/>
        <v/>
      </c>
      <c r="AL239" s="18" t="str">
        <f t="shared" si="21"/>
        <v/>
      </c>
    </row>
    <row r="240" ht="15.75" customHeight="1">
      <c r="A240" s="11" t="s">
        <v>477</v>
      </c>
      <c r="B240" s="11">
        <v>2015.0</v>
      </c>
      <c r="C240" s="12" t="str">
        <f>VLOOKUP(A240, Regions!A:B, 2, FALSE)
</f>
        <v>Europe &amp; Central Asia</v>
      </c>
      <c r="D240" s="13">
        <f t="shared" si="1"/>
        <v>5</v>
      </c>
      <c r="E240" s="14">
        <f t="shared" si="2"/>
        <v>2017.5</v>
      </c>
      <c r="F240" s="11" t="s">
        <v>478</v>
      </c>
      <c r="G240" s="11">
        <v>67.22999573</v>
      </c>
      <c r="H240" s="11">
        <v>96.60413858</v>
      </c>
      <c r="I240" s="15">
        <f t="shared" si="3"/>
        <v>97</v>
      </c>
      <c r="J240" s="16" t="str">
        <f t="shared" si="4"/>
        <v/>
      </c>
      <c r="K240" s="16" t="str">
        <f t="shared" si="5"/>
        <v/>
      </c>
      <c r="L240" s="16" t="str">
        <f t="shared" si="6"/>
        <v/>
      </c>
      <c r="M240" s="16" t="str">
        <f t="shared" si="7"/>
        <v>ARC&gt;0</v>
      </c>
      <c r="N240" s="13">
        <f t="shared" si="8"/>
        <v>0.281841732</v>
      </c>
      <c r="O240" s="11">
        <v>0.0</v>
      </c>
      <c r="P240" s="11">
        <v>3.395861422</v>
      </c>
      <c r="Q240" s="11">
        <v>0.0</v>
      </c>
      <c r="R240" s="11">
        <v>90.71848441</v>
      </c>
      <c r="S240" s="15">
        <f t="shared" si="9"/>
        <v>91</v>
      </c>
      <c r="T240" s="17" t="str">
        <f t="shared" si="10"/>
        <v/>
      </c>
      <c r="U240" s="17" t="str">
        <f t="shared" si="11"/>
        <v/>
      </c>
      <c r="V240" s="17" t="str">
        <f t="shared" si="12"/>
        <v/>
      </c>
      <c r="W240" s="17" t="str">
        <f t="shared" si="13"/>
        <v>ARC&gt;0</v>
      </c>
      <c r="X240" s="13">
        <f t="shared" si="14"/>
        <v>0.612859164</v>
      </c>
      <c r="Y240" s="11">
        <v>0.0</v>
      </c>
      <c r="Z240" s="11">
        <v>9.281515589</v>
      </c>
      <c r="AA240" s="11">
        <v>0.0</v>
      </c>
      <c r="AB240" s="11">
        <v>99.47299035</v>
      </c>
      <c r="AC240" s="15">
        <f t="shared" si="15"/>
        <v>99</v>
      </c>
      <c r="AD240" s="16" t="str">
        <f t="shared" si="16"/>
        <v/>
      </c>
      <c r="AE240" s="16" t="str">
        <f t="shared" si="17"/>
        <v/>
      </c>
      <c r="AF240" s="16" t="str">
        <f t="shared" si="18"/>
        <v/>
      </c>
      <c r="AG240" s="16" t="str">
        <f t="shared" si="19"/>
        <v>ARC&gt;0</v>
      </c>
      <c r="AH240" s="13">
        <f t="shared" si="20"/>
        <v>0.10540193</v>
      </c>
      <c r="AI240" s="11">
        <v>0.0</v>
      </c>
      <c r="AJ240" s="11">
        <v>0.5270096501</v>
      </c>
      <c r="AK240" s="11" t="s">
        <v>43</v>
      </c>
      <c r="AL240" s="18">
        <f t="shared" si="21"/>
        <v>0.507457234</v>
      </c>
    </row>
    <row r="241" ht="15.75" customHeight="1">
      <c r="A241" s="11" t="s">
        <v>477</v>
      </c>
      <c r="B241" s="11">
        <v>2020.0</v>
      </c>
      <c r="C241" s="12" t="str">
        <f>VLOOKUP(A241, Regions!A:B, 2, FALSE)
</f>
        <v>Europe &amp; Central Asia</v>
      </c>
      <c r="D241" s="13" t="str">
        <f t="shared" si="1"/>
        <v/>
      </c>
      <c r="E241" s="14" t="str">
        <f t="shared" si="2"/>
        <v/>
      </c>
      <c r="F241" s="11" t="s">
        <v>479</v>
      </c>
      <c r="G241" s="11">
        <v>68.04599762</v>
      </c>
      <c r="H241" s="11">
        <v>98.01334724</v>
      </c>
      <c r="I241" s="15">
        <f t="shared" si="3"/>
        <v>98</v>
      </c>
      <c r="J241" s="16" t="str">
        <f t="shared" si="4"/>
        <v/>
      </c>
      <c r="K241" s="16" t="str">
        <f t="shared" si="5"/>
        <v/>
      </c>
      <c r="L241" s="16" t="str">
        <f t="shared" si="6"/>
        <v/>
      </c>
      <c r="M241" s="16" t="str">
        <f t="shared" si="7"/>
        <v>ARC&gt;0</v>
      </c>
      <c r="N241" s="13" t="str">
        <f t="shared" si="8"/>
        <v/>
      </c>
      <c r="O241" s="11">
        <v>0.0</v>
      </c>
      <c r="P241" s="11">
        <v>1.98665276</v>
      </c>
      <c r="Q241" s="11">
        <v>0.0</v>
      </c>
      <c r="R241" s="11">
        <v>93.78278023</v>
      </c>
      <c r="S241" s="15">
        <f t="shared" si="9"/>
        <v>94</v>
      </c>
      <c r="T241" s="17" t="str">
        <f t="shared" si="10"/>
        <v/>
      </c>
      <c r="U241" s="17" t="str">
        <f t="shared" si="11"/>
        <v/>
      </c>
      <c r="V241" s="17" t="str">
        <f t="shared" si="12"/>
        <v/>
      </c>
      <c r="W241" s="17" t="str">
        <f t="shared" si="13"/>
        <v>ARC&gt;0</v>
      </c>
      <c r="X241" s="13" t="str">
        <f t="shared" si="14"/>
        <v/>
      </c>
      <c r="Y241" s="11">
        <v>0.0</v>
      </c>
      <c r="Z241" s="11">
        <v>6.217219771</v>
      </c>
      <c r="AA241" s="11">
        <v>0.0</v>
      </c>
      <c r="AB241" s="11">
        <v>100.0</v>
      </c>
      <c r="AC241" s="15">
        <f t="shared" si="15"/>
        <v>100</v>
      </c>
      <c r="AD241" s="16" t="str">
        <f t="shared" si="16"/>
        <v/>
      </c>
      <c r="AE241" s="16" t="str">
        <f t="shared" si="17"/>
        <v/>
      </c>
      <c r="AF241" s="16" t="str">
        <f t="shared" si="18"/>
        <v/>
      </c>
      <c r="AG241" s="16" t="str">
        <f t="shared" si="19"/>
        <v>ARC&gt;0</v>
      </c>
      <c r="AH241" s="13" t="str">
        <f t="shared" si="20"/>
        <v/>
      </c>
      <c r="AI241" s="11">
        <v>0.0</v>
      </c>
      <c r="AJ241" s="11">
        <v>0.0</v>
      </c>
      <c r="AK241" s="11" t="s">
        <v>43</v>
      </c>
      <c r="AL241" s="18" t="str">
        <f t="shared" si="21"/>
        <v/>
      </c>
    </row>
    <row r="242" ht="15.75" customHeight="1">
      <c r="A242" s="11" t="s">
        <v>480</v>
      </c>
      <c r="B242" s="11">
        <v>2015.0</v>
      </c>
      <c r="C242" s="12" t="str">
        <f>VLOOKUP(A242, Regions!A:B, 2, FALSE)
</f>
        <v>Europe &amp; Central Asia</v>
      </c>
      <c r="D242" s="13">
        <f t="shared" si="1"/>
        <v>5</v>
      </c>
      <c r="E242" s="14">
        <f t="shared" si="2"/>
        <v>2017.5</v>
      </c>
      <c r="F242" s="11" t="s">
        <v>481</v>
      </c>
      <c r="G242" s="11">
        <v>90.17900085</v>
      </c>
      <c r="H242" s="11">
        <v>99.92517066</v>
      </c>
      <c r="I242" s="15">
        <f t="shared" si="3"/>
        <v>100</v>
      </c>
      <c r="J242" s="16" t="str">
        <f t="shared" si="4"/>
        <v>full access</v>
      </c>
      <c r="K242" s="16" t="str">
        <f t="shared" si="5"/>
        <v/>
      </c>
      <c r="L242" s="16" t="str">
        <f t="shared" si="6"/>
        <v/>
      </c>
      <c r="M242" s="16" t="str">
        <f t="shared" si="7"/>
        <v/>
      </c>
      <c r="N242" s="13">
        <f t="shared" si="8"/>
        <v>-0.009047624</v>
      </c>
      <c r="O242" s="11">
        <v>0.0</v>
      </c>
      <c r="P242" s="11">
        <v>0.07482934002</v>
      </c>
      <c r="Q242" s="11">
        <v>0.0</v>
      </c>
      <c r="R242" s="11">
        <v>99.23809524</v>
      </c>
      <c r="S242" s="15">
        <f t="shared" si="9"/>
        <v>99</v>
      </c>
      <c r="T242" s="17" t="str">
        <f t="shared" si="10"/>
        <v/>
      </c>
      <c r="U242" s="17" t="str">
        <f t="shared" si="11"/>
        <v/>
      </c>
      <c r="V242" s="17" t="str">
        <f t="shared" si="12"/>
        <v/>
      </c>
      <c r="W242" s="17" t="str">
        <f t="shared" si="13"/>
        <v>ARC&gt;0</v>
      </c>
      <c r="X242" s="13">
        <f t="shared" si="14"/>
        <v>-0.128571428</v>
      </c>
      <c r="Y242" s="11">
        <v>0.0</v>
      </c>
      <c r="Z242" s="11">
        <v>0.7619047619</v>
      </c>
      <c r="AA242" s="11">
        <v>0.0</v>
      </c>
      <c r="AB242" s="11">
        <v>100.0</v>
      </c>
      <c r="AC242" s="15">
        <f t="shared" si="15"/>
        <v>100</v>
      </c>
      <c r="AD242" s="16" t="str">
        <f t="shared" si="16"/>
        <v>full access</v>
      </c>
      <c r="AE242" s="16" t="str">
        <f t="shared" si="17"/>
        <v/>
      </c>
      <c r="AF242" s="16" t="str">
        <f t="shared" si="18"/>
        <v/>
      </c>
      <c r="AG242" s="16" t="str">
        <f t="shared" si="19"/>
        <v>ARC&gt;0</v>
      </c>
      <c r="AH242" s="13">
        <f t="shared" si="20"/>
        <v>0</v>
      </c>
      <c r="AI242" s="11">
        <v>0.0</v>
      </c>
      <c r="AJ242" s="11">
        <v>0.0</v>
      </c>
      <c r="AK242" s="11" t="s">
        <v>43</v>
      </c>
      <c r="AL242" s="18">
        <f t="shared" si="21"/>
        <v>-0.128571428</v>
      </c>
    </row>
    <row r="243" ht="15.75" customHeight="1">
      <c r="A243" s="11" t="s">
        <v>480</v>
      </c>
      <c r="B243" s="11">
        <v>2020.0</v>
      </c>
      <c r="C243" s="12" t="str">
        <f>VLOOKUP(A243, Regions!A:B, 2, FALSE)
</f>
        <v>Europe &amp; Central Asia</v>
      </c>
      <c r="D243" s="13" t="str">
        <f t="shared" si="1"/>
        <v/>
      </c>
      <c r="E243" s="14" t="str">
        <f t="shared" si="2"/>
        <v/>
      </c>
      <c r="F243" s="11" t="s">
        <v>482</v>
      </c>
      <c r="G243" s="11">
        <v>91.4529953</v>
      </c>
      <c r="H243" s="11">
        <v>99.87993254</v>
      </c>
      <c r="I243" s="15">
        <f t="shared" si="3"/>
        <v>100</v>
      </c>
      <c r="J243" s="16" t="str">
        <f t="shared" si="4"/>
        <v/>
      </c>
      <c r="K243" s="16" t="str">
        <f t="shared" si="5"/>
        <v/>
      </c>
      <c r="L243" s="16" t="str">
        <f t="shared" si="6"/>
        <v/>
      </c>
      <c r="M243" s="16" t="str">
        <f t="shared" si="7"/>
        <v>ARC&gt;0</v>
      </c>
      <c r="N243" s="13" t="str">
        <f t="shared" si="8"/>
        <v/>
      </c>
      <c r="O243" s="11">
        <v>0.0</v>
      </c>
      <c r="P243" s="11">
        <v>0.1200674649</v>
      </c>
      <c r="Q243" s="11">
        <v>0.0</v>
      </c>
      <c r="R243" s="11">
        <v>98.5952381</v>
      </c>
      <c r="S243" s="15">
        <f t="shared" si="9"/>
        <v>99</v>
      </c>
      <c r="T243" s="17" t="str">
        <f t="shared" si="10"/>
        <v/>
      </c>
      <c r="U243" s="17" t="str">
        <f t="shared" si="11"/>
        <v/>
      </c>
      <c r="V243" s="17" t="str">
        <f t="shared" si="12"/>
        <v/>
      </c>
      <c r="W243" s="17" t="str">
        <f t="shared" si="13"/>
        <v>ARC&gt;0</v>
      </c>
      <c r="X243" s="13" t="str">
        <f t="shared" si="14"/>
        <v/>
      </c>
      <c r="Y243" s="11">
        <v>0.0</v>
      </c>
      <c r="Z243" s="11">
        <v>1.404761905</v>
      </c>
      <c r="AA243" s="11">
        <v>0.0</v>
      </c>
      <c r="AB243" s="11">
        <v>100.0</v>
      </c>
      <c r="AC243" s="15">
        <f t="shared" si="15"/>
        <v>100</v>
      </c>
      <c r="AD243" s="16" t="str">
        <f t="shared" si="16"/>
        <v/>
      </c>
      <c r="AE243" s="16" t="str">
        <f t="shared" si="17"/>
        <v/>
      </c>
      <c r="AF243" s="16" t="str">
        <f t="shared" si="18"/>
        <v/>
      </c>
      <c r="AG243" s="16" t="str">
        <f t="shared" si="19"/>
        <v>ARC&gt;0</v>
      </c>
      <c r="AH243" s="13" t="str">
        <f t="shared" si="20"/>
        <v/>
      </c>
      <c r="AI243" s="11">
        <v>0.0</v>
      </c>
      <c r="AJ243" s="11">
        <v>0.0</v>
      </c>
      <c r="AK243" s="11" t="s">
        <v>43</v>
      </c>
      <c r="AL243" s="18" t="str">
        <f t="shared" si="21"/>
        <v/>
      </c>
    </row>
    <row r="244" ht="15.75" customHeight="1">
      <c r="A244" s="11" t="s">
        <v>483</v>
      </c>
      <c r="B244" s="11">
        <v>2015.0</v>
      </c>
      <c r="C244" s="12" t="str">
        <f>VLOOKUP(A244, Regions!A:B, 2, FALSE)
</f>
        <v>Sub-Saharan Africa</v>
      </c>
      <c r="D244" s="13">
        <f t="shared" si="1"/>
        <v>5</v>
      </c>
      <c r="E244" s="14">
        <f t="shared" si="2"/>
        <v>2017.5</v>
      </c>
      <c r="F244" s="11" t="s">
        <v>484</v>
      </c>
      <c r="G244" s="11">
        <v>35.19299698</v>
      </c>
      <c r="H244" s="11">
        <v>48.89177354</v>
      </c>
      <c r="I244" s="15">
        <f t="shared" si="3"/>
        <v>49</v>
      </c>
      <c r="J244" s="16" t="str">
        <f t="shared" si="4"/>
        <v/>
      </c>
      <c r="K244" s="16" t="str">
        <f t="shared" si="5"/>
        <v/>
      </c>
      <c r="L244" s="16" t="str">
        <f t="shared" si="6"/>
        <v/>
      </c>
      <c r="M244" s="16" t="str">
        <f t="shared" si="7"/>
        <v>ARC&gt;0</v>
      </c>
      <c r="N244" s="13">
        <f t="shared" si="8"/>
        <v>0.898822274</v>
      </c>
      <c r="O244" s="11">
        <v>2.67716038</v>
      </c>
      <c r="P244" s="11">
        <v>30.40673651</v>
      </c>
      <c r="Q244" s="11">
        <v>18.02432957</v>
      </c>
      <c r="R244" s="11">
        <v>33.14457773</v>
      </c>
      <c r="S244" s="15">
        <f t="shared" si="9"/>
        <v>33</v>
      </c>
      <c r="T244" s="17" t="str">
        <f t="shared" si="10"/>
        <v/>
      </c>
      <c r="U244" s="17" t="str">
        <f t="shared" si="11"/>
        <v/>
      </c>
      <c r="V244" s="17" t="str">
        <f t="shared" si="12"/>
        <v/>
      </c>
      <c r="W244" s="17" t="str">
        <f t="shared" si="13"/>
        <v>ARC&gt;0</v>
      </c>
      <c r="X244" s="13">
        <f t="shared" si="14"/>
        <v>0.65236851</v>
      </c>
      <c r="Y244" s="11">
        <v>1.743479446</v>
      </c>
      <c r="Z244" s="11">
        <v>39.69799969</v>
      </c>
      <c r="AA244" s="11">
        <v>25.41394313</v>
      </c>
      <c r="AB244" s="11">
        <v>77.88983072</v>
      </c>
      <c r="AC244" s="15">
        <f t="shared" si="15"/>
        <v>78</v>
      </c>
      <c r="AD244" s="16" t="str">
        <f t="shared" si="16"/>
        <v/>
      </c>
      <c r="AE244" s="16" t="str">
        <f t="shared" si="17"/>
        <v/>
      </c>
      <c r="AF244" s="16" t="str">
        <f t="shared" si="18"/>
        <v/>
      </c>
      <c r="AG244" s="16" t="str">
        <f t="shared" si="19"/>
        <v>ARC&gt;0</v>
      </c>
      <c r="AH244" s="13">
        <f t="shared" si="20"/>
        <v>0.516035244</v>
      </c>
      <c r="AI244" s="11">
        <v>4.396509873</v>
      </c>
      <c r="AJ244" s="11">
        <v>13.29711369</v>
      </c>
      <c r="AK244" s="11" t="s">
        <v>485</v>
      </c>
      <c r="AL244" s="18">
        <f t="shared" si="21"/>
        <v>0.136333266</v>
      </c>
    </row>
    <row r="245" ht="15.75" customHeight="1">
      <c r="A245" s="11" t="s">
        <v>483</v>
      </c>
      <c r="B245" s="11">
        <v>2020.0</v>
      </c>
      <c r="C245" s="12" t="str">
        <f>VLOOKUP(A245, Regions!A:B, 2, FALSE)
</f>
        <v>Sub-Saharan Africa</v>
      </c>
      <c r="D245" s="13" t="str">
        <f t="shared" si="1"/>
        <v/>
      </c>
      <c r="E245" s="14" t="str">
        <f t="shared" si="2"/>
        <v/>
      </c>
      <c r="F245" s="11" t="s">
        <v>486</v>
      </c>
      <c r="G245" s="11">
        <v>38.5340004</v>
      </c>
      <c r="H245" s="11">
        <v>53.38588491</v>
      </c>
      <c r="I245" s="15">
        <f t="shared" si="3"/>
        <v>53</v>
      </c>
      <c r="J245" s="16" t="str">
        <f t="shared" si="4"/>
        <v/>
      </c>
      <c r="K245" s="16" t="str">
        <f t="shared" si="5"/>
        <v/>
      </c>
      <c r="L245" s="16" t="str">
        <f t="shared" si="6"/>
        <v/>
      </c>
      <c r="M245" s="16" t="str">
        <f t="shared" si="7"/>
        <v>ARC&gt;0</v>
      </c>
      <c r="N245" s="13" t="str">
        <f t="shared" si="8"/>
        <v/>
      </c>
      <c r="O245" s="11">
        <v>2.71797298</v>
      </c>
      <c r="P245" s="11">
        <v>32.31145967</v>
      </c>
      <c r="Q245" s="11">
        <v>11.58468244</v>
      </c>
      <c r="R245" s="11">
        <v>36.40642028</v>
      </c>
      <c r="S245" s="15">
        <f t="shared" si="9"/>
        <v>36</v>
      </c>
      <c r="T245" s="17" t="str">
        <f t="shared" si="10"/>
        <v/>
      </c>
      <c r="U245" s="17" t="str">
        <f t="shared" si="11"/>
        <v/>
      </c>
      <c r="V245" s="17" t="str">
        <f t="shared" si="12"/>
        <v/>
      </c>
      <c r="W245" s="17" t="str">
        <f t="shared" si="13"/>
        <v>ARC&gt;0</v>
      </c>
      <c r="X245" s="13" t="str">
        <f t="shared" si="14"/>
        <v/>
      </c>
      <c r="Y245" s="11">
        <v>1.601776163</v>
      </c>
      <c r="Z245" s="11">
        <v>43.95389345</v>
      </c>
      <c r="AA245" s="11">
        <v>18.03791011</v>
      </c>
      <c r="AB245" s="11">
        <v>80.47000694</v>
      </c>
      <c r="AC245" s="15">
        <f t="shared" si="15"/>
        <v>80</v>
      </c>
      <c r="AD245" s="16" t="str">
        <f t="shared" si="16"/>
        <v/>
      </c>
      <c r="AE245" s="16" t="str">
        <f t="shared" si="17"/>
        <v/>
      </c>
      <c r="AF245" s="16" t="str">
        <f t="shared" si="18"/>
        <v/>
      </c>
      <c r="AG245" s="16" t="str">
        <f t="shared" si="19"/>
        <v>ARC&gt;0</v>
      </c>
      <c r="AH245" s="13" t="str">
        <f t="shared" si="20"/>
        <v/>
      </c>
      <c r="AI245" s="11">
        <v>4.498430298</v>
      </c>
      <c r="AJ245" s="11">
        <v>13.74049434</v>
      </c>
      <c r="AK245" s="11" t="s">
        <v>487</v>
      </c>
      <c r="AL245" s="18" t="str">
        <f t="shared" si="21"/>
        <v/>
      </c>
    </row>
    <row r="246" ht="15.75" customHeight="1">
      <c r="A246" s="11" t="s">
        <v>488</v>
      </c>
      <c r="B246" s="11">
        <v>2015.0</v>
      </c>
      <c r="C246" s="12" t="str">
        <f>VLOOKUP(A246, Regions!A:B, 2, FALSE)
</f>
        <v>Sub-Saharan Africa</v>
      </c>
      <c r="D246" s="13">
        <f t="shared" si="1"/>
        <v>5</v>
      </c>
      <c r="E246" s="14">
        <f t="shared" si="2"/>
        <v>2017.5</v>
      </c>
      <c r="F246" s="11" t="s">
        <v>489</v>
      </c>
      <c r="G246" s="11">
        <v>16.31299973</v>
      </c>
      <c r="H246" s="11">
        <v>66.15495914</v>
      </c>
      <c r="I246" s="15">
        <f t="shared" si="3"/>
        <v>66</v>
      </c>
      <c r="J246" s="16" t="str">
        <f t="shared" si="4"/>
        <v/>
      </c>
      <c r="K246" s="16" t="str">
        <f t="shared" si="5"/>
        <v/>
      </c>
      <c r="L246" s="16" t="str">
        <f t="shared" si="6"/>
        <v/>
      </c>
      <c r="M246" s="16" t="str">
        <f t="shared" si="7"/>
        <v>ARC&gt;0</v>
      </c>
      <c r="N246" s="13">
        <f t="shared" si="8"/>
        <v>0.778553874</v>
      </c>
      <c r="O246" s="11">
        <v>19.71603831</v>
      </c>
      <c r="P246" s="11">
        <v>10.55451427</v>
      </c>
      <c r="Q246" s="11">
        <v>3.574488277</v>
      </c>
      <c r="R246" s="11">
        <v>62.24060864</v>
      </c>
      <c r="S246" s="15">
        <f t="shared" si="9"/>
        <v>62</v>
      </c>
      <c r="T246" s="17" t="str">
        <f t="shared" si="10"/>
        <v/>
      </c>
      <c r="U246" s="17" t="str">
        <f t="shared" si="11"/>
        <v/>
      </c>
      <c r="V246" s="17" t="str">
        <f t="shared" si="12"/>
        <v/>
      </c>
      <c r="W246" s="17" t="str">
        <f t="shared" si="13"/>
        <v>ARC&gt;0</v>
      </c>
      <c r="X246" s="13">
        <f t="shared" si="14"/>
        <v>0.868887024</v>
      </c>
      <c r="Y246" s="11">
        <v>21.69810966</v>
      </c>
      <c r="Z246" s="11">
        <v>11.87522028</v>
      </c>
      <c r="AA246" s="11">
        <v>4.186061413</v>
      </c>
      <c r="AB246" s="11">
        <v>86.23587985</v>
      </c>
      <c r="AC246" s="15">
        <f t="shared" si="15"/>
        <v>86</v>
      </c>
      <c r="AD246" s="16" t="str">
        <f t="shared" si="16"/>
        <v/>
      </c>
      <c r="AE246" s="16" t="str">
        <f t="shared" si="17"/>
        <v/>
      </c>
      <c r="AF246" s="16" t="str">
        <f t="shared" si="18"/>
        <v/>
      </c>
      <c r="AG246" s="16" t="str">
        <f t="shared" si="19"/>
        <v>ARC&gt;0</v>
      </c>
      <c r="AH246" s="13">
        <f t="shared" si="20"/>
        <v>0.043763672</v>
      </c>
      <c r="AI246" s="11">
        <v>9.547849488</v>
      </c>
      <c r="AJ246" s="11">
        <v>3.779202335</v>
      </c>
      <c r="AK246" s="11" t="s">
        <v>490</v>
      </c>
      <c r="AL246" s="18">
        <f t="shared" si="21"/>
        <v>0.825123352</v>
      </c>
    </row>
    <row r="247" ht="15.75" customHeight="1">
      <c r="A247" s="11" t="s">
        <v>488</v>
      </c>
      <c r="B247" s="11">
        <v>2020.0</v>
      </c>
      <c r="C247" s="12" t="str">
        <f>VLOOKUP(A247, Regions!A:B, 2, FALSE)
</f>
        <v>Sub-Saharan Africa</v>
      </c>
      <c r="D247" s="13" t="str">
        <f t="shared" si="1"/>
        <v/>
      </c>
      <c r="E247" s="14" t="str">
        <f t="shared" si="2"/>
        <v/>
      </c>
      <c r="F247" s="11" t="s">
        <v>491</v>
      </c>
      <c r="G247" s="11">
        <v>17.42700005</v>
      </c>
      <c r="H247" s="11">
        <v>70.04772851</v>
      </c>
      <c r="I247" s="15">
        <f t="shared" si="3"/>
        <v>70</v>
      </c>
      <c r="J247" s="16" t="str">
        <f t="shared" si="4"/>
        <v/>
      </c>
      <c r="K247" s="16" t="str">
        <f t="shared" si="5"/>
        <v/>
      </c>
      <c r="L247" s="16" t="str">
        <f t="shared" si="6"/>
        <v/>
      </c>
      <c r="M247" s="16" t="str">
        <f t="shared" si="7"/>
        <v>ARC&gt;0</v>
      </c>
      <c r="N247" s="13" t="str">
        <f t="shared" si="8"/>
        <v/>
      </c>
      <c r="O247" s="11">
        <v>21.95081497</v>
      </c>
      <c r="P247" s="11">
        <v>5.776304407</v>
      </c>
      <c r="Q247" s="11">
        <v>2.22515211</v>
      </c>
      <c r="R247" s="11">
        <v>66.58504376</v>
      </c>
      <c r="S247" s="15">
        <f t="shared" si="9"/>
        <v>67</v>
      </c>
      <c r="T247" s="17" t="str">
        <f t="shared" si="10"/>
        <v/>
      </c>
      <c r="U247" s="17" t="str">
        <f t="shared" si="11"/>
        <v/>
      </c>
      <c r="V247" s="17" t="str">
        <f t="shared" si="12"/>
        <v/>
      </c>
      <c r="W247" s="17" t="str">
        <f t="shared" si="13"/>
        <v>ARC&gt;0</v>
      </c>
      <c r="X247" s="13" t="str">
        <f t="shared" si="14"/>
        <v/>
      </c>
      <c r="Y247" s="11">
        <v>24.41415803</v>
      </c>
      <c r="Z247" s="11">
        <v>6.383874146</v>
      </c>
      <c r="AA247" s="11">
        <v>2.616924066</v>
      </c>
      <c r="AB247" s="11">
        <v>86.45469821</v>
      </c>
      <c r="AC247" s="15">
        <f t="shared" si="15"/>
        <v>86</v>
      </c>
      <c r="AD247" s="16" t="str">
        <f t="shared" si="16"/>
        <v/>
      </c>
      <c r="AE247" s="16" t="str">
        <f t="shared" si="17"/>
        <v/>
      </c>
      <c r="AF247" s="16" t="str">
        <f t="shared" si="18"/>
        <v/>
      </c>
      <c r="AG247" s="16" t="str">
        <f t="shared" si="19"/>
        <v>ARC&gt;0</v>
      </c>
      <c r="AH247" s="13" t="str">
        <f t="shared" si="20"/>
        <v/>
      </c>
      <c r="AI247" s="11">
        <v>10.27894825</v>
      </c>
      <c r="AJ247" s="11">
        <v>2.897503996</v>
      </c>
      <c r="AK247" s="11" t="s">
        <v>492</v>
      </c>
      <c r="AL247" s="18" t="str">
        <f t="shared" si="21"/>
        <v/>
      </c>
    </row>
    <row r="248" ht="15.75" customHeight="1">
      <c r="A248" s="11" t="s">
        <v>493</v>
      </c>
      <c r="B248" s="11">
        <v>2015.0</v>
      </c>
      <c r="C248" s="12" t="str">
        <f>VLOOKUP(A248, Regions!A:B, 2, FALSE)
</f>
        <v>South Asia</v>
      </c>
      <c r="D248" s="13">
        <f t="shared" si="1"/>
        <v>5</v>
      </c>
      <c r="E248" s="14">
        <f t="shared" si="2"/>
        <v>2017.5</v>
      </c>
      <c r="F248" s="11" t="s">
        <v>494</v>
      </c>
      <c r="G248" s="11">
        <v>74.21299744</v>
      </c>
      <c r="H248" s="11">
        <v>97.05220256</v>
      </c>
      <c r="I248" s="15">
        <f t="shared" si="3"/>
        <v>97</v>
      </c>
      <c r="J248" s="16" t="str">
        <f t="shared" si="4"/>
        <v/>
      </c>
      <c r="K248" s="16" t="str">
        <f t="shared" si="5"/>
        <v/>
      </c>
      <c r="L248" s="16" t="str">
        <f t="shared" si="6"/>
        <v/>
      </c>
      <c r="M248" s="16" t="str">
        <f t="shared" si="7"/>
        <v>ARC&gt;0</v>
      </c>
      <c r="N248" s="13">
        <f t="shared" si="8"/>
        <v>0.009540902</v>
      </c>
      <c r="O248" s="11">
        <v>0.3630055004</v>
      </c>
      <c r="P248" s="11">
        <v>2.584791939</v>
      </c>
      <c r="R248" s="11">
        <v>90.91830922</v>
      </c>
      <c r="S248" s="15">
        <f t="shared" si="9"/>
        <v>91</v>
      </c>
      <c r="T248" s="17" t="str">
        <f t="shared" si="10"/>
        <v/>
      </c>
      <c r="U248" s="17" t="str">
        <f t="shared" si="11"/>
        <v/>
      </c>
      <c r="V248" s="17" t="str">
        <f t="shared" si="12"/>
        <v/>
      </c>
      <c r="W248" s="17" t="str">
        <f t="shared" si="13"/>
        <v>ARC&gt;0</v>
      </c>
      <c r="X248" s="13">
        <f t="shared" si="14"/>
        <v>-0.14417222</v>
      </c>
      <c r="Y248" s="11">
        <v>0.5488026714</v>
      </c>
      <c r="Z248" s="11">
        <v>8.532888105</v>
      </c>
      <c r="AB248" s="11">
        <v>99.18356605</v>
      </c>
      <c r="AC248" s="15">
        <f t="shared" si="15"/>
        <v>99</v>
      </c>
      <c r="AD248" s="16" t="str">
        <f t="shared" si="16"/>
        <v/>
      </c>
      <c r="AE248" s="16" t="str">
        <f t="shared" si="17"/>
        <v/>
      </c>
      <c r="AF248" s="16" t="str">
        <f t="shared" si="18"/>
        <v/>
      </c>
      <c r="AG248" s="16" t="str">
        <f t="shared" si="19"/>
        <v>ARC&gt;0</v>
      </c>
      <c r="AH248" s="13">
        <f t="shared" si="20"/>
        <v>-0.008094028</v>
      </c>
      <c r="AI248" s="11">
        <v>0.2984460363</v>
      </c>
      <c r="AJ248" s="11">
        <v>0.427987911</v>
      </c>
      <c r="AK248" s="11" t="s">
        <v>495</v>
      </c>
      <c r="AL248" s="18">
        <f t="shared" si="21"/>
        <v>-0.136078192</v>
      </c>
    </row>
    <row r="249" ht="15.75" customHeight="1">
      <c r="A249" s="11" t="s">
        <v>493</v>
      </c>
      <c r="B249" s="11">
        <v>2020.0</v>
      </c>
      <c r="C249" s="12" t="str">
        <f>VLOOKUP(A249, Regions!A:B, 2, FALSE)
</f>
        <v>South Asia</v>
      </c>
      <c r="D249" s="13" t="str">
        <f t="shared" si="1"/>
        <v/>
      </c>
      <c r="E249" s="14" t="str">
        <f t="shared" si="2"/>
        <v/>
      </c>
      <c r="F249" s="11" t="s">
        <v>496</v>
      </c>
      <c r="G249" s="11">
        <v>77.15999603</v>
      </c>
      <c r="H249" s="11">
        <v>97.09990707</v>
      </c>
      <c r="I249" s="15">
        <f t="shared" si="3"/>
        <v>97</v>
      </c>
      <c r="J249" s="16" t="str">
        <f t="shared" si="4"/>
        <v/>
      </c>
      <c r="K249" s="16" t="str">
        <f t="shared" si="5"/>
        <v/>
      </c>
      <c r="L249" s="16" t="str">
        <f t="shared" si="6"/>
        <v/>
      </c>
      <c r="M249" s="16" t="str">
        <f t="shared" si="7"/>
        <v>ARC&gt;0</v>
      </c>
      <c r="N249" s="13" t="str">
        <f t="shared" si="8"/>
        <v/>
      </c>
      <c r="O249" s="11">
        <v>0.3545396865</v>
      </c>
      <c r="P249" s="11">
        <v>2.545553241</v>
      </c>
      <c r="R249" s="11">
        <v>90.19744812</v>
      </c>
      <c r="S249" s="15">
        <f t="shared" si="9"/>
        <v>90</v>
      </c>
      <c r="T249" s="17" t="str">
        <f t="shared" si="10"/>
        <v/>
      </c>
      <c r="U249" s="17" t="str">
        <f t="shared" si="11"/>
        <v/>
      </c>
      <c r="V249" s="17" t="str">
        <f t="shared" si="12"/>
        <v/>
      </c>
      <c r="W249" s="17" t="str">
        <f t="shared" si="13"/>
        <v>ARC&gt;0</v>
      </c>
      <c r="X249" s="13" t="str">
        <f t="shared" si="14"/>
        <v/>
      </c>
      <c r="Y249" s="11">
        <v>0.5444513971</v>
      </c>
      <c r="Z249" s="11">
        <v>9.258100478</v>
      </c>
      <c r="AB249" s="11">
        <v>99.14309591</v>
      </c>
      <c r="AC249" s="15">
        <f t="shared" si="15"/>
        <v>99</v>
      </c>
      <c r="AD249" s="16" t="str">
        <f t="shared" si="16"/>
        <v/>
      </c>
      <c r="AE249" s="16" t="str">
        <f t="shared" si="17"/>
        <v/>
      </c>
      <c r="AF249" s="16" t="str">
        <f t="shared" si="18"/>
        <v/>
      </c>
      <c r="AG249" s="16" t="str">
        <f t="shared" si="19"/>
        <v>ARC&gt;0</v>
      </c>
      <c r="AH249" s="13" t="str">
        <f t="shared" si="20"/>
        <v/>
      </c>
      <c r="AI249" s="11">
        <v>0.2983242605</v>
      </c>
      <c r="AJ249" s="11">
        <v>0.4685798319</v>
      </c>
      <c r="AK249" s="11" t="s">
        <v>495</v>
      </c>
      <c r="AL249" s="18" t="str">
        <f t="shared" si="21"/>
        <v/>
      </c>
    </row>
    <row r="250" ht="15.75" customHeight="1">
      <c r="A250" s="11" t="s">
        <v>497</v>
      </c>
      <c r="B250" s="11">
        <v>2015.0</v>
      </c>
      <c r="C250" s="12" t="str">
        <f>VLOOKUP(A250, Regions!A:B, 2, FALSE)
</f>
        <v>South Asia</v>
      </c>
      <c r="D250" s="13">
        <f t="shared" si="1"/>
        <v>5</v>
      </c>
      <c r="E250" s="14">
        <f t="shared" si="2"/>
        <v>2017.5</v>
      </c>
      <c r="F250" s="11" t="s">
        <v>498</v>
      </c>
      <c r="G250" s="11">
        <v>38.52899933</v>
      </c>
      <c r="H250" s="11">
        <v>98.81424429</v>
      </c>
      <c r="I250" s="15">
        <f t="shared" si="3"/>
        <v>99</v>
      </c>
      <c r="J250" s="16" t="str">
        <f t="shared" si="4"/>
        <v/>
      </c>
      <c r="K250" s="16" t="str">
        <f t="shared" si="5"/>
        <v/>
      </c>
      <c r="L250" s="16" t="str">
        <f t="shared" si="6"/>
        <v/>
      </c>
      <c r="M250" s="16" t="str">
        <f t="shared" si="7"/>
        <v>ARC&gt;0</v>
      </c>
      <c r="N250" s="13">
        <f t="shared" si="8"/>
        <v>0.146038862</v>
      </c>
      <c r="O250" s="11">
        <v>0.1121578799</v>
      </c>
      <c r="P250" s="11">
        <v>1.073597835</v>
      </c>
      <c r="Q250" s="11">
        <v>0.0</v>
      </c>
      <c r="R250" s="11">
        <v>98.87969927</v>
      </c>
      <c r="S250" s="15">
        <f t="shared" si="9"/>
        <v>99</v>
      </c>
      <c r="T250" s="17" t="str">
        <f t="shared" si="10"/>
        <v/>
      </c>
      <c r="U250" s="17" t="str">
        <f t="shared" si="11"/>
        <v/>
      </c>
      <c r="V250" s="17" t="str">
        <f t="shared" si="12"/>
        <v/>
      </c>
      <c r="W250" s="17" t="str">
        <f t="shared" si="13"/>
        <v>ARC&gt;0</v>
      </c>
      <c r="X250" s="13">
        <f t="shared" si="14"/>
        <v>0.207862646</v>
      </c>
      <c r="Y250" s="11">
        <v>0.1669852816</v>
      </c>
      <c r="Z250" s="11">
        <v>0.953315453</v>
      </c>
      <c r="AA250" s="11">
        <v>0.0</v>
      </c>
      <c r="AB250" s="11">
        <v>98.70980569</v>
      </c>
      <c r="AC250" s="15">
        <f t="shared" si="15"/>
        <v>99</v>
      </c>
      <c r="AD250" s="16" t="str">
        <f t="shared" si="16"/>
        <v/>
      </c>
      <c r="AE250" s="16" t="str">
        <f t="shared" si="17"/>
        <v/>
      </c>
      <c r="AF250" s="16" t="str">
        <f t="shared" si="18"/>
        <v/>
      </c>
      <c r="AG250" s="16" t="str">
        <f t="shared" si="19"/>
        <v>ARC&gt;0</v>
      </c>
      <c r="AH250" s="13">
        <f t="shared" si="20"/>
        <v>0.057636648</v>
      </c>
      <c r="AI250" s="11">
        <v>0.02468362233</v>
      </c>
      <c r="AJ250" s="11">
        <v>1.265510688</v>
      </c>
      <c r="AK250" s="11" t="s">
        <v>43</v>
      </c>
      <c r="AL250" s="18">
        <f t="shared" si="21"/>
        <v>0.150225998</v>
      </c>
    </row>
    <row r="251" ht="15.75" customHeight="1">
      <c r="A251" s="11" t="s">
        <v>497</v>
      </c>
      <c r="B251" s="11">
        <v>2020.0</v>
      </c>
      <c r="C251" s="12" t="str">
        <f>VLOOKUP(A251, Regions!A:B, 2, FALSE)
</f>
        <v>South Asia</v>
      </c>
      <c r="D251" s="13" t="str">
        <f t="shared" si="1"/>
        <v/>
      </c>
      <c r="E251" s="14" t="str">
        <f t="shared" si="2"/>
        <v/>
      </c>
      <c r="F251" s="11" t="s">
        <v>499</v>
      </c>
      <c r="G251" s="11">
        <v>40.66899872</v>
      </c>
      <c r="H251" s="11">
        <v>99.5444386</v>
      </c>
      <c r="I251" s="15">
        <f t="shared" si="3"/>
        <v>100</v>
      </c>
      <c r="J251" s="16" t="str">
        <f t="shared" si="4"/>
        <v/>
      </c>
      <c r="K251" s="16" t="str">
        <f t="shared" si="5"/>
        <v/>
      </c>
      <c r="L251" s="16" t="str">
        <f t="shared" si="6"/>
        <v/>
      </c>
      <c r="M251" s="16" t="str">
        <f t="shared" si="7"/>
        <v>ARC&gt;0</v>
      </c>
      <c r="N251" s="13" t="str">
        <f t="shared" si="8"/>
        <v/>
      </c>
      <c r="O251" s="11">
        <v>0.0480506913</v>
      </c>
      <c r="P251" s="11">
        <v>0.407510705</v>
      </c>
      <c r="Q251" s="11">
        <v>0.0</v>
      </c>
      <c r="R251" s="11">
        <v>99.9190125</v>
      </c>
      <c r="S251" s="15">
        <f t="shared" si="9"/>
        <v>100</v>
      </c>
      <c r="T251" s="17" t="str">
        <f t="shared" si="10"/>
        <v/>
      </c>
      <c r="U251" s="17" t="str">
        <f t="shared" si="11"/>
        <v/>
      </c>
      <c r="V251" s="17" t="str">
        <f t="shared" si="12"/>
        <v/>
      </c>
      <c r="W251" s="17" t="str">
        <f t="shared" si="13"/>
        <v>ARC&gt;0</v>
      </c>
      <c r="X251" s="13" t="str">
        <f t="shared" si="14"/>
        <v/>
      </c>
      <c r="Y251" s="11">
        <v>0.0809875</v>
      </c>
      <c r="Z251" s="11">
        <v>0.0</v>
      </c>
      <c r="AA251" s="11">
        <v>0.0</v>
      </c>
      <c r="AB251" s="11">
        <v>98.99798893</v>
      </c>
      <c r="AC251" s="15">
        <f t="shared" si="15"/>
        <v>99</v>
      </c>
      <c r="AD251" s="16" t="str">
        <f t="shared" si="16"/>
        <v/>
      </c>
      <c r="AE251" s="16" t="str">
        <f t="shared" si="17"/>
        <v/>
      </c>
      <c r="AF251" s="16" t="str">
        <f t="shared" si="18"/>
        <v/>
      </c>
      <c r="AG251" s="16" t="str">
        <f t="shared" si="19"/>
        <v>ARC&gt;0</v>
      </c>
      <c r="AH251" s="13" t="str">
        <f t="shared" si="20"/>
        <v/>
      </c>
      <c r="AI251" s="11">
        <v>0.0</v>
      </c>
      <c r="AJ251" s="11">
        <v>1.002011069</v>
      </c>
      <c r="AK251" s="11" t="s">
        <v>43</v>
      </c>
      <c r="AL251" s="18" t="str">
        <f t="shared" si="21"/>
        <v/>
      </c>
    </row>
    <row r="252" ht="15.75" customHeight="1">
      <c r="A252" s="11" t="s">
        <v>500</v>
      </c>
      <c r="B252" s="11">
        <v>2015.0</v>
      </c>
      <c r="C252" s="12" t="str">
        <f>VLOOKUP(A252, Regions!A:B, 2, FALSE)
</f>
        <v>Sub-Saharan Africa</v>
      </c>
      <c r="D252" s="13">
        <f t="shared" si="1"/>
        <v>5</v>
      </c>
      <c r="E252" s="14">
        <f t="shared" si="2"/>
        <v>2017.5</v>
      </c>
      <c r="F252" s="11" t="s">
        <v>501</v>
      </c>
      <c r="G252" s="11">
        <v>39.99099731</v>
      </c>
      <c r="H252" s="11">
        <v>74.39951222</v>
      </c>
      <c r="I252" s="15">
        <f t="shared" si="3"/>
        <v>74</v>
      </c>
      <c r="J252" s="16" t="str">
        <f t="shared" si="4"/>
        <v/>
      </c>
      <c r="K252" s="16" t="str">
        <f t="shared" si="5"/>
        <v/>
      </c>
      <c r="L252" s="16" t="str">
        <f t="shared" si="6"/>
        <v/>
      </c>
      <c r="M252" s="16" t="str">
        <f t="shared" si="7"/>
        <v>ARC&gt;0</v>
      </c>
      <c r="N252" s="13">
        <f t="shared" si="8"/>
        <v>1.629555762</v>
      </c>
      <c r="O252" s="11">
        <v>4.171846453</v>
      </c>
      <c r="P252" s="11">
        <v>19.37992934</v>
      </c>
      <c r="Q252" s="11">
        <v>2.048711981</v>
      </c>
      <c r="R252" s="11">
        <v>63.39571403</v>
      </c>
      <c r="S252" s="15">
        <f t="shared" si="9"/>
        <v>63</v>
      </c>
      <c r="T252" s="17" t="str">
        <f t="shared" si="10"/>
        <v/>
      </c>
      <c r="U252" s="17" t="str">
        <f t="shared" si="11"/>
        <v/>
      </c>
      <c r="V252" s="17" t="str">
        <f t="shared" si="12"/>
        <v/>
      </c>
      <c r="W252" s="17" t="str">
        <f t="shared" si="13"/>
        <v>ARC&gt;0</v>
      </c>
      <c r="X252" s="13">
        <f t="shared" si="14"/>
        <v>1.737036236</v>
      </c>
      <c r="Y252" s="11">
        <v>4.449382415</v>
      </c>
      <c r="Z252" s="11">
        <v>28.94484164</v>
      </c>
      <c r="AA252" s="11">
        <v>3.21006192</v>
      </c>
      <c r="AB252" s="11">
        <v>90.91140553</v>
      </c>
      <c r="AC252" s="15">
        <f t="shared" si="15"/>
        <v>91</v>
      </c>
      <c r="AD252" s="16" t="str">
        <f t="shared" si="16"/>
        <v/>
      </c>
      <c r="AE252" s="16" t="str">
        <f t="shared" si="17"/>
        <v/>
      </c>
      <c r="AF252" s="16" t="str">
        <f t="shared" si="18"/>
        <v/>
      </c>
      <c r="AG252" s="16" t="str">
        <f t="shared" si="19"/>
        <v>ARC&gt;0</v>
      </c>
      <c r="AH252" s="13">
        <f t="shared" si="20"/>
        <v>1.001209844</v>
      </c>
      <c r="AI252" s="11">
        <v>3.755386657</v>
      </c>
      <c r="AJ252" s="11">
        <v>5.027173979</v>
      </c>
      <c r="AK252" s="11" t="s">
        <v>502</v>
      </c>
      <c r="AL252" s="18">
        <f t="shared" si="21"/>
        <v>0.735826392</v>
      </c>
    </row>
    <row r="253" ht="15.75" customHeight="1">
      <c r="A253" s="11" t="s">
        <v>500</v>
      </c>
      <c r="B253" s="11">
        <v>2020.0</v>
      </c>
      <c r="C253" s="12" t="str">
        <f>VLOOKUP(A253, Regions!A:B, 2, FALSE)
</f>
        <v>Sub-Saharan Africa</v>
      </c>
      <c r="D253" s="13" t="str">
        <f t="shared" si="1"/>
        <v/>
      </c>
      <c r="E253" s="14" t="str">
        <f t="shared" si="2"/>
        <v/>
      </c>
      <c r="F253" s="11" t="s">
        <v>503</v>
      </c>
      <c r="G253" s="11">
        <v>43.90900421</v>
      </c>
      <c r="H253" s="11">
        <v>82.54729103</v>
      </c>
      <c r="I253" s="15">
        <f t="shared" si="3"/>
        <v>83</v>
      </c>
      <c r="J253" s="16" t="str">
        <f t="shared" si="4"/>
        <v/>
      </c>
      <c r="K253" s="16" t="str">
        <f t="shared" si="5"/>
        <v/>
      </c>
      <c r="L253" s="16" t="str">
        <f t="shared" si="6"/>
        <v/>
      </c>
      <c r="M253" s="16" t="str">
        <f t="shared" si="7"/>
        <v>ARC&gt;0</v>
      </c>
      <c r="N253" s="13" t="str">
        <f t="shared" si="8"/>
        <v/>
      </c>
      <c r="O253" s="11">
        <v>3.854734527</v>
      </c>
      <c r="P253" s="11">
        <v>12.24697135</v>
      </c>
      <c r="Q253" s="11">
        <v>1.35100309</v>
      </c>
      <c r="R253" s="11">
        <v>72.08089521</v>
      </c>
      <c r="S253" s="15">
        <f t="shared" si="9"/>
        <v>72</v>
      </c>
      <c r="T253" s="17" t="str">
        <f t="shared" si="10"/>
        <v/>
      </c>
      <c r="U253" s="17" t="str">
        <f t="shared" si="11"/>
        <v/>
      </c>
      <c r="V253" s="17" t="str">
        <f t="shared" si="12"/>
        <v/>
      </c>
      <c r="W253" s="17" t="str">
        <f t="shared" si="13"/>
        <v>ARC&gt;0</v>
      </c>
      <c r="X253" s="13" t="str">
        <f t="shared" si="14"/>
        <v/>
      </c>
      <c r="Y253" s="11">
        <v>3.78241223</v>
      </c>
      <c r="Z253" s="11">
        <v>21.72810084</v>
      </c>
      <c r="AA253" s="11">
        <v>2.408591717</v>
      </c>
      <c r="AB253" s="11">
        <v>95.91745475</v>
      </c>
      <c r="AC253" s="15">
        <f t="shared" si="15"/>
        <v>96</v>
      </c>
      <c r="AD253" s="16" t="str">
        <f t="shared" si="16"/>
        <v/>
      </c>
      <c r="AE253" s="16" t="str">
        <f t="shared" si="17"/>
        <v/>
      </c>
      <c r="AF253" s="16" t="str">
        <f t="shared" si="18"/>
        <v/>
      </c>
      <c r="AG253" s="16" t="str">
        <f t="shared" si="19"/>
        <v>ARC&gt;0</v>
      </c>
      <c r="AH253" s="13" t="str">
        <f t="shared" si="20"/>
        <v/>
      </c>
      <c r="AI253" s="11">
        <v>3.947121723</v>
      </c>
      <c r="AJ253" s="11">
        <v>0.1354235314</v>
      </c>
      <c r="AK253" s="11" t="s">
        <v>43</v>
      </c>
      <c r="AL253" s="18" t="str">
        <f t="shared" si="21"/>
        <v/>
      </c>
    </row>
    <row r="254" ht="15.75" customHeight="1">
      <c r="A254" s="11" t="s">
        <v>504</v>
      </c>
      <c r="B254" s="11">
        <v>2015.0</v>
      </c>
      <c r="C254" s="12" t="str">
        <f>VLOOKUP(A254, Regions!A:B, 2, FALSE)
</f>
        <v>Europe &amp; Central Asia</v>
      </c>
      <c r="D254" s="13">
        <f t="shared" si="1"/>
        <v>5</v>
      </c>
      <c r="E254" s="14">
        <f t="shared" si="2"/>
        <v>2017.5</v>
      </c>
      <c r="F254" s="11" t="s">
        <v>505</v>
      </c>
      <c r="G254" s="11">
        <v>94.41400146</v>
      </c>
      <c r="H254" s="11">
        <v>100.0</v>
      </c>
      <c r="I254" s="15">
        <f t="shared" si="3"/>
        <v>100</v>
      </c>
      <c r="J254" s="16" t="str">
        <f t="shared" si="4"/>
        <v>full access</v>
      </c>
      <c r="K254" s="16" t="str">
        <f t="shared" si="5"/>
        <v/>
      </c>
      <c r="L254" s="16" t="str">
        <f t="shared" si="6"/>
        <v/>
      </c>
      <c r="M254" s="16" t="str">
        <f t="shared" si="7"/>
        <v/>
      </c>
      <c r="N254" s="13">
        <f t="shared" si="8"/>
        <v>0.00000008000000093</v>
      </c>
      <c r="O254" s="11">
        <v>0.0</v>
      </c>
      <c r="P254" s="11">
        <v>0.0</v>
      </c>
      <c r="Q254" s="11">
        <v>0.0</v>
      </c>
      <c r="R254" s="11">
        <v>100.0</v>
      </c>
      <c r="S254" s="15">
        <f t="shared" si="9"/>
        <v>100</v>
      </c>
      <c r="T254" s="17" t="str">
        <f t="shared" si="10"/>
        <v>full access</v>
      </c>
      <c r="U254" s="17" t="str">
        <f t="shared" si="11"/>
        <v/>
      </c>
      <c r="V254" s="17" t="str">
        <f t="shared" si="12"/>
        <v/>
      </c>
      <c r="W254" s="17" t="str">
        <f t="shared" si="13"/>
        <v>ARC&gt;0</v>
      </c>
      <c r="X254" s="13">
        <f t="shared" si="14"/>
        <v>0</v>
      </c>
      <c r="Y254" s="11">
        <v>0.0</v>
      </c>
      <c r="Z254" s="11">
        <v>0.0</v>
      </c>
      <c r="AA254" s="11">
        <v>0.0</v>
      </c>
      <c r="AB254" s="11">
        <v>100.0</v>
      </c>
      <c r="AC254" s="15">
        <f t="shared" si="15"/>
        <v>100</v>
      </c>
      <c r="AD254" s="16" t="str">
        <f t="shared" si="16"/>
        <v>full access</v>
      </c>
      <c r="AE254" s="16" t="str">
        <f t="shared" si="17"/>
        <v/>
      </c>
      <c r="AF254" s="16" t="str">
        <f t="shared" si="18"/>
        <v/>
      </c>
      <c r="AG254" s="16" t="str">
        <f t="shared" si="19"/>
        <v>ARC&gt;0</v>
      </c>
      <c r="AH254" s="13">
        <f t="shared" si="20"/>
        <v>0</v>
      </c>
      <c r="AI254" s="11">
        <v>0.0</v>
      </c>
      <c r="AJ254" s="11">
        <v>0.0</v>
      </c>
      <c r="AK254" s="11" t="s">
        <v>43</v>
      </c>
      <c r="AL254" s="18">
        <f t="shared" si="21"/>
        <v>0</v>
      </c>
    </row>
    <row r="255" ht="15.75" customHeight="1">
      <c r="A255" s="11" t="s">
        <v>504</v>
      </c>
      <c r="B255" s="11">
        <v>2020.0</v>
      </c>
      <c r="C255" s="12" t="str">
        <f>VLOOKUP(A255, Regions!A:B, 2, FALSE)
</f>
        <v>Europe &amp; Central Asia</v>
      </c>
      <c r="D255" s="13" t="str">
        <f t="shared" si="1"/>
        <v/>
      </c>
      <c r="E255" s="14" t="str">
        <f t="shared" si="2"/>
        <v/>
      </c>
      <c r="F255" s="11" t="s">
        <v>506</v>
      </c>
      <c r="G255" s="11">
        <v>94.7440033</v>
      </c>
      <c r="H255" s="11">
        <v>100.0000004</v>
      </c>
      <c r="I255" s="15">
        <f t="shared" si="3"/>
        <v>100</v>
      </c>
      <c r="J255" s="16" t="str">
        <f t="shared" si="4"/>
        <v/>
      </c>
      <c r="K255" s="16" t="str">
        <f t="shared" si="5"/>
        <v/>
      </c>
      <c r="L255" s="16" t="str">
        <f t="shared" si="6"/>
        <v/>
      </c>
      <c r="M255" s="16" t="str">
        <f t="shared" si="7"/>
        <v>ARC&gt;0</v>
      </c>
      <c r="N255" s="13" t="str">
        <f t="shared" si="8"/>
        <v/>
      </c>
      <c r="O255" s="11">
        <v>0.0</v>
      </c>
      <c r="P255" s="11">
        <v>0.0</v>
      </c>
      <c r="Q255" s="11">
        <v>0.0</v>
      </c>
      <c r="R255" s="11">
        <v>100.0</v>
      </c>
      <c r="S255" s="15">
        <f t="shared" si="9"/>
        <v>100</v>
      </c>
      <c r="T255" s="17" t="str">
        <f t="shared" si="10"/>
        <v/>
      </c>
      <c r="U255" s="17" t="str">
        <f t="shared" si="11"/>
        <v/>
      </c>
      <c r="V255" s="17" t="str">
        <f t="shared" si="12"/>
        <v/>
      </c>
      <c r="W255" s="17" t="str">
        <f t="shared" si="13"/>
        <v>ARC&gt;0</v>
      </c>
      <c r="X255" s="13" t="str">
        <f t="shared" si="14"/>
        <v/>
      </c>
      <c r="Y255" s="11">
        <v>0.0</v>
      </c>
      <c r="Z255" s="11">
        <v>0.0</v>
      </c>
      <c r="AA255" s="11">
        <v>0.0</v>
      </c>
      <c r="AB255" s="11">
        <v>100.0</v>
      </c>
      <c r="AC255" s="15">
        <f t="shared" si="15"/>
        <v>100</v>
      </c>
      <c r="AD255" s="16" t="str">
        <f t="shared" si="16"/>
        <v/>
      </c>
      <c r="AE255" s="16" t="str">
        <f t="shared" si="17"/>
        <v/>
      </c>
      <c r="AF255" s="16" t="str">
        <f t="shared" si="18"/>
        <v/>
      </c>
      <c r="AG255" s="16" t="str">
        <f t="shared" si="19"/>
        <v>ARC&gt;0</v>
      </c>
      <c r="AH255" s="13" t="str">
        <f t="shared" si="20"/>
        <v/>
      </c>
      <c r="AI255" s="11">
        <v>0.0</v>
      </c>
      <c r="AJ255" s="11">
        <v>0.0</v>
      </c>
      <c r="AK255" s="11" t="s">
        <v>43</v>
      </c>
      <c r="AL255" s="18" t="str">
        <f t="shared" si="21"/>
        <v/>
      </c>
    </row>
    <row r="256" ht="15.75" customHeight="1">
      <c r="A256" s="11" t="s">
        <v>507</v>
      </c>
      <c r="B256" s="11">
        <v>2015.0</v>
      </c>
      <c r="C256" s="12" t="str">
        <f>VLOOKUP(A256, Regions!A:B, 2, FALSE)
</f>
        <v>East Asia &amp; Pacific</v>
      </c>
      <c r="D256" s="13">
        <f t="shared" si="1"/>
        <v>5</v>
      </c>
      <c r="E256" s="14">
        <f t="shared" si="2"/>
        <v>2017.5</v>
      </c>
      <c r="F256" s="11" t="s">
        <v>508</v>
      </c>
      <c r="G256" s="11">
        <v>75.81099701</v>
      </c>
      <c r="H256" s="11">
        <v>88.34252362</v>
      </c>
      <c r="I256" s="15">
        <f t="shared" si="3"/>
        <v>88</v>
      </c>
      <c r="J256" s="16" t="str">
        <f t="shared" si="4"/>
        <v/>
      </c>
      <c r="K256" s="16" t="str">
        <f t="shared" si="5"/>
        <v/>
      </c>
      <c r="L256" s="16" t="str">
        <f t="shared" si="6"/>
        <v/>
      </c>
      <c r="M256" s="16" t="str">
        <f t="shared" si="7"/>
        <v>ARC&gt;0</v>
      </c>
      <c r="N256" s="13">
        <f t="shared" si="8"/>
        <v>0.045904672</v>
      </c>
      <c r="O256" s="11">
        <v>11.18141559</v>
      </c>
      <c r="P256" s="11">
        <v>0.4760607918</v>
      </c>
      <c r="Q256" s="11">
        <v>0.0</v>
      </c>
      <c r="R256" s="11">
        <v>94.27836</v>
      </c>
      <c r="S256" s="15">
        <f t="shared" si="9"/>
        <v>94</v>
      </c>
      <c r="T256" s="17" t="str">
        <f t="shared" si="10"/>
        <v/>
      </c>
      <c r="U256" s="17" t="str">
        <f t="shared" si="11"/>
        <v/>
      </c>
      <c r="V256" s="17" t="str">
        <f t="shared" si="12"/>
        <v/>
      </c>
      <c r="W256" s="17" t="str">
        <f t="shared" si="13"/>
        <v>ARC&gt;0</v>
      </c>
      <c r="X256" s="13">
        <f t="shared" si="14"/>
        <v>0.030272</v>
      </c>
      <c r="Y256" s="11">
        <v>5.38164</v>
      </c>
      <c r="Z256" s="11">
        <v>0.34</v>
      </c>
      <c r="AA256" s="11">
        <v>0.0</v>
      </c>
      <c r="AB256" s="11">
        <v>86.44857737</v>
      </c>
      <c r="AC256" s="15">
        <f t="shared" si="15"/>
        <v>86</v>
      </c>
      <c r="AD256" s="16" t="str">
        <f t="shared" si="16"/>
        <v/>
      </c>
      <c r="AE256" s="16" t="str">
        <f t="shared" si="17"/>
        <v/>
      </c>
      <c r="AF256" s="16" t="str">
        <f t="shared" si="18"/>
        <v/>
      </c>
      <c r="AG256" s="16" t="str">
        <f t="shared" si="19"/>
        <v>ARC&gt;0</v>
      </c>
      <c r="AH256" s="13">
        <f t="shared" si="20"/>
        <v>0.090284526</v>
      </c>
      <c r="AI256" s="11">
        <v>13.03194895</v>
      </c>
      <c r="AJ256" s="11">
        <v>0.5194736842</v>
      </c>
      <c r="AK256" s="11" t="s">
        <v>43</v>
      </c>
      <c r="AL256" s="18">
        <f t="shared" si="21"/>
        <v>-0.060012526</v>
      </c>
    </row>
    <row r="257" ht="15.75" customHeight="1">
      <c r="A257" s="11" t="s">
        <v>507</v>
      </c>
      <c r="B257" s="11">
        <v>2020.0</v>
      </c>
      <c r="C257" s="12" t="str">
        <f>VLOOKUP(A257, Regions!A:B, 2, FALSE)
</f>
        <v>East Asia &amp; Pacific</v>
      </c>
      <c r="D257" s="13" t="str">
        <f t="shared" si="1"/>
        <v/>
      </c>
      <c r="E257" s="14" t="str">
        <f t="shared" si="2"/>
        <v/>
      </c>
      <c r="F257" s="11" t="s">
        <v>509</v>
      </c>
      <c r="G257" s="11">
        <v>77.79399109</v>
      </c>
      <c r="H257" s="11">
        <v>88.57204698</v>
      </c>
      <c r="I257" s="15">
        <f t="shared" si="3"/>
        <v>89</v>
      </c>
      <c r="J257" s="16" t="str">
        <f t="shared" si="4"/>
        <v/>
      </c>
      <c r="K257" s="16" t="str">
        <f t="shared" si="5"/>
        <v/>
      </c>
      <c r="L257" s="16" t="str">
        <f t="shared" si="6"/>
        <v/>
      </c>
      <c r="M257" s="16" t="str">
        <f t="shared" si="7"/>
        <v>ARC&gt;0</v>
      </c>
      <c r="N257" s="13" t="str">
        <f t="shared" si="8"/>
        <v/>
      </c>
      <c r="O257" s="11">
        <v>11.387979</v>
      </c>
      <c r="P257" s="11">
        <v>0.03997402585</v>
      </c>
      <c r="Q257" s="11">
        <v>0.0</v>
      </c>
      <c r="R257" s="11">
        <v>94.42972</v>
      </c>
      <c r="S257" s="15">
        <f t="shared" si="9"/>
        <v>94</v>
      </c>
      <c r="T257" s="17" t="str">
        <f t="shared" si="10"/>
        <v/>
      </c>
      <c r="U257" s="17" t="str">
        <f t="shared" si="11"/>
        <v/>
      </c>
      <c r="V257" s="17" t="str">
        <f t="shared" si="12"/>
        <v/>
      </c>
      <c r="W257" s="17" t="str">
        <f t="shared" si="13"/>
        <v>ARC&gt;0</v>
      </c>
      <c r="X257" s="13" t="str">
        <f t="shared" si="14"/>
        <v/>
      </c>
      <c r="Y257" s="11">
        <v>5.39028</v>
      </c>
      <c r="Z257" s="11">
        <v>0.18</v>
      </c>
      <c r="AA257" s="11">
        <v>0.0</v>
      </c>
      <c r="AB257" s="11">
        <v>86.9</v>
      </c>
      <c r="AC257" s="15">
        <f t="shared" si="15"/>
        <v>87</v>
      </c>
      <c r="AD257" s="16" t="str">
        <f t="shared" si="16"/>
        <v/>
      </c>
      <c r="AE257" s="16" t="str">
        <f t="shared" si="17"/>
        <v/>
      </c>
      <c r="AF257" s="16" t="str">
        <f t="shared" si="18"/>
        <v/>
      </c>
      <c r="AG257" s="16" t="str">
        <f t="shared" si="19"/>
        <v>ARC&gt;0</v>
      </c>
      <c r="AH257" s="13" t="str">
        <f t="shared" si="20"/>
        <v/>
      </c>
      <c r="AI257" s="11">
        <v>13.1</v>
      </c>
      <c r="AJ257" s="11">
        <v>0.0</v>
      </c>
      <c r="AK257" s="11" t="s">
        <v>43</v>
      </c>
      <c r="AL257" s="18" t="str">
        <f t="shared" si="21"/>
        <v/>
      </c>
    </row>
    <row r="258" ht="15.75" customHeight="1">
      <c r="A258" s="11" t="s">
        <v>510</v>
      </c>
      <c r="B258" s="11">
        <v>2015.0</v>
      </c>
      <c r="C258" s="12" t="str">
        <f>VLOOKUP(A258, Regions!A:B, 2, FALSE)
</f>
        <v>Latin America &amp; Caribbean</v>
      </c>
      <c r="D258" s="13">
        <f t="shared" si="1"/>
        <v>5</v>
      </c>
      <c r="E258" s="14">
        <f t="shared" si="2"/>
        <v>2017.5</v>
      </c>
      <c r="F258" s="11" t="s">
        <v>511</v>
      </c>
      <c r="G258" s="11">
        <v>88.98100281</v>
      </c>
      <c r="H258" s="11">
        <v>99.79603</v>
      </c>
      <c r="I258" s="15">
        <f t="shared" si="3"/>
        <v>100</v>
      </c>
      <c r="J258" s="16" t="str">
        <f t="shared" si="4"/>
        <v>full access</v>
      </c>
      <c r="K258" s="16" t="str">
        <f t="shared" si="5"/>
        <v/>
      </c>
      <c r="L258" s="16" t="str">
        <f t="shared" si="6"/>
        <v/>
      </c>
      <c r="M258" s="16" t="str">
        <f t="shared" si="7"/>
        <v/>
      </c>
      <c r="N258" s="13">
        <f t="shared" si="8"/>
        <v>0.009188156</v>
      </c>
      <c r="O258" s="11">
        <v>0.0</v>
      </c>
      <c r="P258" s="11">
        <v>0.2039699954</v>
      </c>
      <c r="Q258" s="11">
        <v>0.0</v>
      </c>
      <c r="S258" s="15">
        <f t="shared" si="9"/>
        <v>0</v>
      </c>
      <c r="T258" s="17" t="str">
        <f t="shared" si="10"/>
        <v/>
      </c>
      <c r="U258" s="17" t="str">
        <f t="shared" si="11"/>
        <v>ARC=0</v>
      </c>
      <c r="V258" s="17" t="str">
        <f t="shared" si="12"/>
        <v/>
      </c>
      <c r="W258" s="17" t="str">
        <f t="shared" si="13"/>
        <v/>
      </c>
      <c r="X258" s="13">
        <f t="shared" si="14"/>
        <v>0</v>
      </c>
      <c r="AC258" s="15">
        <f t="shared" si="15"/>
        <v>0</v>
      </c>
      <c r="AD258" s="16" t="str">
        <f t="shared" si="16"/>
        <v/>
      </c>
      <c r="AE258" s="16" t="str">
        <f t="shared" si="17"/>
        <v>ARC=0</v>
      </c>
      <c r="AF258" s="16" t="str">
        <f t="shared" si="18"/>
        <v/>
      </c>
      <c r="AG258" s="16" t="str">
        <f t="shared" si="19"/>
        <v/>
      </c>
      <c r="AH258" s="13">
        <f t="shared" si="20"/>
        <v>0</v>
      </c>
      <c r="AL258" s="18">
        <f t="shared" si="21"/>
        <v>0</v>
      </c>
    </row>
    <row r="259" ht="15.75" customHeight="1">
      <c r="A259" s="11" t="s">
        <v>510</v>
      </c>
      <c r="B259" s="11">
        <v>2020.0</v>
      </c>
      <c r="C259" s="12" t="str">
        <f>VLOOKUP(A259, Regions!A:B, 2, FALSE)
</f>
        <v>Latin America &amp; Caribbean</v>
      </c>
      <c r="D259" s="13" t="str">
        <f t="shared" si="1"/>
        <v/>
      </c>
      <c r="E259" s="14" t="str">
        <f t="shared" si="2"/>
        <v/>
      </c>
      <c r="F259" s="11" t="s">
        <v>512</v>
      </c>
      <c r="G259" s="11">
        <v>89.13999939</v>
      </c>
      <c r="H259" s="11">
        <v>99.84197078</v>
      </c>
      <c r="I259" s="15">
        <f t="shared" si="3"/>
        <v>100</v>
      </c>
      <c r="J259" s="16" t="str">
        <f t="shared" si="4"/>
        <v/>
      </c>
      <c r="K259" s="16" t="str">
        <f t="shared" si="5"/>
        <v/>
      </c>
      <c r="L259" s="16" t="str">
        <f t="shared" si="6"/>
        <v/>
      </c>
      <c r="M259" s="16" t="str">
        <f t="shared" si="7"/>
        <v>ARC&gt;0</v>
      </c>
      <c r="N259" s="13" t="str">
        <f t="shared" si="8"/>
        <v/>
      </c>
      <c r="O259" s="11">
        <v>0.0</v>
      </c>
      <c r="P259" s="11">
        <v>0.1580292158</v>
      </c>
      <c r="Q259" s="11">
        <v>0.0</v>
      </c>
      <c r="S259" s="15">
        <f t="shared" si="9"/>
        <v>0</v>
      </c>
      <c r="T259" s="17" t="str">
        <f t="shared" si="10"/>
        <v/>
      </c>
      <c r="U259" s="17" t="str">
        <f t="shared" si="11"/>
        <v>ARC=0</v>
      </c>
      <c r="V259" s="17" t="str">
        <f t="shared" si="12"/>
        <v/>
      </c>
      <c r="W259" s="17" t="str">
        <f t="shared" si="13"/>
        <v/>
      </c>
      <c r="X259" s="13" t="str">
        <f t="shared" si="14"/>
        <v/>
      </c>
      <c r="AC259" s="15">
        <f t="shared" si="15"/>
        <v>0</v>
      </c>
      <c r="AD259" s="16" t="str">
        <f t="shared" si="16"/>
        <v/>
      </c>
      <c r="AE259" s="16" t="str">
        <f t="shared" si="17"/>
        <v>ARC=0</v>
      </c>
      <c r="AF259" s="16" t="str">
        <f t="shared" si="18"/>
        <v/>
      </c>
      <c r="AG259" s="16" t="str">
        <f t="shared" si="19"/>
        <v/>
      </c>
      <c r="AH259" s="13" t="str">
        <f t="shared" si="20"/>
        <v/>
      </c>
      <c r="AL259" s="18" t="str">
        <f t="shared" si="21"/>
        <v/>
      </c>
    </row>
    <row r="260" ht="15.75" customHeight="1">
      <c r="A260" s="11" t="s">
        <v>513</v>
      </c>
      <c r="B260" s="11">
        <v>2015.0</v>
      </c>
      <c r="C260" s="12" t="str">
        <f>VLOOKUP(A260, Regions!A:B, 2, FALSE)
</f>
        <v>Sub-Saharan Africa</v>
      </c>
      <c r="D260" s="13">
        <f t="shared" si="1"/>
        <v>5</v>
      </c>
      <c r="E260" s="14">
        <f t="shared" si="2"/>
        <v>2017.5</v>
      </c>
      <c r="F260" s="11" t="s">
        <v>514</v>
      </c>
      <c r="G260" s="11">
        <v>51.0890007</v>
      </c>
      <c r="H260" s="11">
        <v>66.9733094</v>
      </c>
      <c r="I260" s="15">
        <f t="shared" si="3"/>
        <v>67</v>
      </c>
      <c r="J260" s="16" t="str">
        <f t="shared" si="4"/>
        <v/>
      </c>
      <c r="K260" s="16" t="str">
        <f t="shared" si="5"/>
        <v/>
      </c>
      <c r="L260" s="16" t="str">
        <f t="shared" si="6"/>
        <v/>
      </c>
      <c r="M260" s="16" t="str">
        <f t="shared" si="7"/>
        <v>ARC&gt;0</v>
      </c>
      <c r="N260" s="13">
        <f t="shared" si="8"/>
        <v>0.941547966</v>
      </c>
      <c r="O260" s="11">
        <v>14.81165357</v>
      </c>
      <c r="P260" s="11">
        <v>17.63702375</v>
      </c>
      <c r="Q260" s="11">
        <v>0.5780132824</v>
      </c>
      <c r="R260" s="11">
        <v>46.69284218</v>
      </c>
      <c r="S260" s="15">
        <f t="shared" si="9"/>
        <v>47</v>
      </c>
      <c r="T260" s="17" t="str">
        <f t="shared" si="10"/>
        <v/>
      </c>
      <c r="U260" s="17" t="str">
        <f t="shared" si="11"/>
        <v/>
      </c>
      <c r="V260" s="17" t="str">
        <f t="shared" si="12"/>
        <v/>
      </c>
      <c r="W260" s="17" t="str">
        <f t="shared" si="13"/>
        <v>ARC&gt;0</v>
      </c>
      <c r="X260" s="13">
        <f t="shared" si="14"/>
        <v>0.643699344</v>
      </c>
      <c r="Y260" s="11">
        <v>18.20063085</v>
      </c>
      <c r="Z260" s="11">
        <v>33.9247615</v>
      </c>
      <c r="AA260" s="11">
        <v>1.181765464</v>
      </c>
      <c r="AB260" s="11">
        <v>86.38918859</v>
      </c>
      <c r="AC260" s="15">
        <f t="shared" si="15"/>
        <v>86</v>
      </c>
      <c r="AD260" s="16" t="str">
        <f t="shared" si="16"/>
        <v/>
      </c>
      <c r="AE260" s="16" t="str">
        <f t="shared" si="17"/>
        <v/>
      </c>
      <c r="AF260" s="16" t="str">
        <f t="shared" si="18"/>
        <v/>
      </c>
      <c r="AG260" s="16" t="str">
        <f t="shared" si="19"/>
        <v>ARC&gt;0</v>
      </c>
      <c r="AH260" s="13">
        <f t="shared" si="20"/>
        <v>0.573901212</v>
      </c>
      <c r="AI260" s="11">
        <v>11.56715369</v>
      </c>
      <c r="AJ260" s="11">
        <v>2.043657719</v>
      </c>
      <c r="AK260" s="11" t="s">
        <v>43</v>
      </c>
      <c r="AL260" s="18">
        <f t="shared" si="21"/>
        <v>0.069798132</v>
      </c>
    </row>
    <row r="261" ht="15.75" customHeight="1">
      <c r="A261" s="11" t="s">
        <v>513</v>
      </c>
      <c r="B261" s="11">
        <v>2020.0</v>
      </c>
      <c r="C261" s="12" t="str">
        <f>VLOOKUP(A261, Regions!A:B, 2, FALSE)
</f>
        <v>Sub-Saharan Africa</v>
      </c>
      <c r="D261" s="13" t="str">
        <f t="shared" si="1"/>
        <v/>
      </c>
      <c r="E261" s="14" t="str">
        <f t="shared" si="2"/>
        <v/>
      </c>
      <c r="F261" s="11" t="s">
        <v>515</v>
      </c>
      <c r="G261" s="11">
        <v>55.32699585</v>
      </c>
      <c r="H261" s="11">
        <v>71.68104923</v>
      </c>
      <c r="I261" s="15">
        <f t="shared" si="3"/>
        <v>72</v>
      </c>
      <c r="J261" s="16" t="str">
        <f t="shared" si="4"/>
        <v/>
      </c>
      <c r="K261" s="16" t="str">
        <f t="shared" si="5"/>
        <v/>
      </c>
      <c r="L261" s="16" t="str">
        <f t="shared" si="6"/>
        <v/>
      </c>
      <c r="M261" s="16" t="str">
        <f t="shared" si="7"/>
        <v>ARC&gt;0</v>
      </c>
      <c r="N261" s="13" t="str">
        <f t="shared" si="8"/>
        <v/>
      </c>
      <c r="O261" s="11">
        <v>13.47689193</v>
      </c>
      <c r="P261" s="11">
        <v>14.82032681</v>
      </c>
      <c r="Q261" s="11">
        <v>0.02173203433</v>
      </c>
      <c r="R261" s="11">
        <v>49.9113389</v>
      </c>
      <c r="S261" s="15">
        <f t="shared" si="9"/>
        <v>50</v>
      </c>
      <c r="T261" s="17" t="str">
        <f t="shared" si="10"/>
        <v/>
      </c>
      <c r="U261" s="17" t="str">
        <f t="shared" si="11"/>
        <v/>
      </c>
      <c r="V261" s="17" t="str">
        <f t="shared" si="12"/>
        <v/>
      </c>
      <c r="W261" s="17" t="str">
        <f t="shared" si="13"/>
        <v>ARC&gt;0</v>
      </c>
      <c r="X261" s="13" t="str">
        <f t="shared" si="14"/>
        <v/>
      </c>
      <c r="Y261" s="11">
        <v>18.49039689</v>
      </c>
      <c r="Z261" s="11">
        <v>31.5496173</v>
      </c>
      <c r="AA261" s="11">
        <v>0.04864690722</v>
      </c>
      <c r="AB261" s="11">
        <v>89.25869465</v>
      </c>
      <c r="AC261" s="15">
        <f t="shared" si="15"/>
        <v>89</v>
      </c>
      <c r="AD261" s="16" t="str">
        <f t="shared" si="16"/>
        <v/>
      </c>
      <c r="AE261" s="16" t="str">
        <f t="shared" si="17"/>
        <v/>
      </c>
      <c r="AF261" s="16" t="str">
        <f t="shared" si="18"/>
        <v/>
      </c>
      <c r="AG261" s="16" t="str">
        <f t="shared" si="19"/>
        <v>ARC&gt;0</v>
      </c>
      <c r="AH261" s="13" t="str">
        <f t="shared" si="20"/>
        <v/>
      </c>
      <c r="AI261" s="11">
        <v>9.428808083</v>
      </c>
      <c r="AJ261" s="11">
        <v>1.31249727</v>
      </c>
      <c r="AK261" s="11" t="s">
        <v>43</v>
      </c>
      <c r="AL261" s="18" t="str">
        <f t="shared" si="21"/>
        <v/>
      </c>
    </row>
    <row r="262" ht="15.75" customHeight="1">
      <c r="A262" s="11" t="s">
        <v>516</v>
      </c>
      <c r="B262" s="11">
        <v>2015.0</v>
      </c>
      <c r="C262" s="12" t="str">
        <f>VLOOKUP(A262, Regions!A:B, 2, FALSE)
</f>
        <v>Sub-Saharan Africa</v>
      </c>
      <c r="D262" s="13">
        <f t="shared" si="1"/>
        <v>5</v>
      </c>
      <c r="E262" s="14">
        <f t="shared" si="2"/>
        <v>2017.5</v>
      </c>
      <c r="F262" s="11" t="s">
        <v>517</v>
      </c>
      <c r="G262" s="11">
        <v>41.0</v>
      </c>
      <c r="H262" s="11">
        <v>99.86648182</v>
      </c>
      <c r="I262" s="15">
        <f t="shared" si="3"/>
        <v>100</v>
      </c>
      <c r="J262" s="16" t="str">
        <f t="shared" si="4"/>
        <v>full access</v>
      </c>
      <c r="K262" s="16" t="str">
        <f t="shared" si="5"/>
        <v/>
      </c>
      <c r="L262" s="16" t="str">
        <f t="shared" si="6"/>
        <v/>
      </c>
      <c r="M262" s="16" t="str">
        <f t="shared" si="7"/>
        <v/>
      </c>
      <c r="N262" s="13">
        <f t="shared" si="8"/>
        <v>-0.000045424</v>
      </c>
      <c r="O262" s="11">
        <v>0.0</v>
      </c>
      <c r="P262" s="11">
        <v>0.1335181809</v>
      </c>
      <c r="Q262" s="11">
        <v>0.0</v>
      </c>
      <c r="R262" s="11">
        <v>99.82768234</v>
      </c>
      <c r="S262" s="15">
        <f t="shared" si="9"/>
        <v>100</v>
      </c>
      <c r="T262" s="17" t="str">
        <f t="shared" si="10"/>
        <v>full access</v>
      </c>
      <c r="U262" s="17" t="str">
        <f t="shared" si="11"/>
        <v/>
      </c>
      <c r="V262" s="17" t="str">
        <f t="shared" si="12"/>
        <v/>
      </c>
      <c r="W262" s="17" t="str">
        <f t="shared" si="13"/>
        <v>ARC&gt;0</v>
      </c>
      <c r="X262" s="13">
        <f t="shared" si="14"/>
        <v>0</v>
      </c>
      <c r="Y262" s="11">
        <v>0.0</v>
      </c>
      <c r="Z262" s="11">
        <v>0.1723176618</v>
      </c>
      <c r="AA262" s="11">
        <v>0.0</v>
      </c>
      <c r="AB262" s="11">
        <v>99.92231522</v>
      </c>
      <c r="AC262" s="15">
        <f t="shared" si="15"/>
        <v>100</v>
      </c>
      <c r="AD262" s="16" t="str">
        <f t="shared" si="16"/>
        <v>full access</v>
      </c>
      <c r="AE262" s="16" t="str">
        <f t="shared" si="17"/>
        <v/>
      </c>
      <c r="AF262" s="16" t="str">
        <f t="shared" si="18"/>
        <v/>
      </c>
      <c r="AG262" s="16" t="str">
        <f t="shared" si="19"/>
        <v>ARC&gt;0</v>
      </c>
      <c r="AH262" s="13">
        <f t="shared" si="20"/>
        <v>0</v>
      </c>
      <c r="AI262" s="11">
        <v>0.0</v>
      </c>
      <c r="AJ262" s="11">
        <v>0.07768478119</v>
      </c>
      <c r="AK262" s="11" t="s">
        <v>43</v>
      </c>
      <c r="AL262" s="18">
        <f t="shared" si="21"/>
        <v>0</v>
      </c>
    </row>
    <row r="263" ht="15.75" customHeight="1">
      <c r="A263" s="11" t="s">
        <v>516</v>
      </c>
      <c r="B263" s="11">
        <v>2020.0</v>
      </c>
      <c r="C263" s="12" t="str">
        <f>VLOOKUP(A263, Regions!A:B, 2, FALSE)
</f>
        <v>Sub-Saharan Africa</v>
      </c>
      <c r="D263" s="13" t="str">
        <f t="shared" si="1"/>
        <v/>
      </c>
      <c r="E263" s="14" t="str">
        <f t="shared" si="2"/>
        <v/>
      </c>
      <c r="F263" s="11" t="s">
        <v>518</v>
      </c>
      <c r="G263" s="11">
        <v>40.75999832</v>
      </c>
      <c r="H263" s="11">
        <v>99.8662547</v>
      </c>
      <c r="I263" s="15">
        <f t="shared" si="3"/>
        <v>100</v>
      </c>
      <c r="J263" s="16" t="str">
        <f t="shared" si="4"/>
        <v/>
      </c>
      <c r="K263" s="16" t="str">
        <f t="shared" si="5"/>
        <v/>
      </c>
      <c r="L263" s="16" t="str">
        <f t="shared" si="6"/>
        <v/>
      </c>
      <c r="M263" s="16" t="str">
        <f t="shared" si="7"/>
        <v>ARC&gt;0</v>
      </c>
      <c r="N263" s="13" t="str">
        <f t="shared" si="8"/>
        <v/>
      </c>
      <c r="O263" s="11">
        <v>0.0</v>
      </c>
      <c r="P263" s="11">
        <v>0.1337453014</v>
      </c>
      <c r="Q263" s="11">
        <v>0.0</v>
      </c>
      <c r="R263" s="11">
        <v>99.82768234</v>
      </c>
      <c r="S263" s="15">
        <f t="shared" si="9"/>
        <v>100</v>
      </c>
      <c r="T263" s="17" t="str">
        <f t="shared" si="10"/>
        <v/>
      </c>
      <c r="U263" s="17" t="str">
        <f t="shared" si="11"/>
        <v/>
      </c>
      <c r="V263" s="17" t="str">
        <f t="shared" si="12"/>
        <v/>
      </c>
      <c r="W263" s="17" t="str">
        <f t="shared" si="13"/>
        <v>ARC&gt;0</v>
      </c>
      <c r="X263" s="13" t="str">
        <f t="shared" si="14"/>
        <v/>
      </c>
      <c r="Y263" s="11">
        <v>0.0</v>
      </c>
      <c r="Z263" s="11">
        <v>0.1723176618</v>
      </c>
      <c r="AA263" s="11">
        <v>0.0</v>
      </c>
      <c r="AB263" s="11">
        <v>99.92231522</v>
      </c>
      <c r="AC263" s="15">
        <f t="shared" si="15"/>
        <v>100</v>
      </c>
      <c r="AD263" s="16" t="str">
        <f t="shared" si="16"/>
        <v/>
      </c>
      <c r="AE263" s="16" t="str">
        <f t="shared" si="17"/>
        <v/>
      </c>
      <c r="AF263" s="16" t="str">
        <f t="shared" si="18"/>
        <v/>
      </c>
      <c r="AG263" s="16" t="str">
        <f t="shared" si="19"/>
        <v>ARC&gt;0</v>
      </c>
      <c r="AH263" s="13" t="str">
        <f t="shared" si="20"/>
        <v/>
      </c>
      <c r="AI263" s="11">
        <v>0.0</v>
      </c>
      <c r="AJ263" s="11">
        <v>0.07768478119</v>
      </c>
      <c r="AK263" s="11" t="s">
        <v>43</v>
      </c>
      <c r="AL263" s="18" t="str">
        <f t="shared" si="21"/>
        <v/>
      </c>
    </row>
    <row r="264" ht="15.75" customHeight="1">
      <c r="A264" s="11" t="s">
        <v>519</v>
      </c>
      <c r="B264" s="11">
        <v>2015.0</v>
      </c>
      <c r="C264" s="12" t="str">
        <f>VLOOKUP(A264, Regions!A:B, 2, FALSE)
</f>
        <v>Sub-Saharan Africa</v>
      </c>
      <c r="D264" s="13">
        <f t="shared" si="1"/>
        <v>5</v>
      </c>
      <c r="E264" s="14">
        <f t="shared" si="2"/>
        <v>2017.5</v>
      </c>
      <c r="F264" s="11" t="s">
        <v>520</v>
      </c>
      <c r="G264" s="11">
        <v>46.98900223</v>
      </c>
      <c r="H264" s="11">
        <v>96.83781128</v>
      </c>
      <c r="I264" s="15">
        <f t="shared" si="3"/>
        <v>97</v>
      </c>
      <c r="J264" s="16" t="str">
        <f t="shared" si="4"/>
        <v/>
      </c>
      <c r="K264" s="16" t="str">
        <f t="shared" si="5"/>
        <v/>
      </c>
      <c r="L264" s="16" t="str">
        <f t="shared" si="6"/>
        <v/>
      </c>
      <c r="M264" s="16" t="str">
        <f t="shared" si="7"/>
        <v>ARC&gt;0</v>
      </c>
      <c r="N264" s="13">
        <f t="shared" si="8"/>
        <v>-0.093326314</v>
      </c>
      <c r="O264" s="11">
        <v>0.0</v>
      </c>
      <c r="P264" s="11">
        <v>0.2820184669</v>
      </c>
      <c r="Q264" s="11">
        <v>2.880170256</v>
      </c>
      <c r="S264" s="15">
        <f t="shared" si="9"/>
        <v>0</v>
      </c>
      <c r="T264" s="17" t="str">
        <f t="shared" si="10"/>
        <v/>
      </c>
      <c r="U264" s="17" t="str">
        <f t="shared" si="11"/>
        <v>ARC=0</v>
      </c>
      <c r="V264" s="17" t="str">
        <f t="shared" si="12"/>
        <v/>
      </c>
      <c r="W264" s="17" t="str">
        <f t="shared" si="13"/>
        <v/>
      </c>
      <c r="X264" s="13">
        <f t="shared" si="14"/>
        <v>0</v>
      </c>
      <c r="AC264" s="15">
        <f t="shared" si="15"/>
        <v>0</v>
      </c>
      <c r="AD264" s="16" t="str">
        <f t="shared" si="16"/>
        <v/>
      </c>
      <c r="AE264" s="16" t="str">
        <f t="shared" si="17"/>
        <v>ARC=0</v>
      </c>
      <c r="AF264" s="16" t="str">
        <f t="shared" si="18"/>
        <v/>
      </c>
      <c r="AG264" s="16" t="str">
        <f t="shared" si="19"/>
        <v/>
      </c>
      <c r="AH264" s="13">
        <f t="shared" si="20"/>
        <v>0</v>
      </c>
      <c r="AL264" s="18">
        <f t="shared" si="21"/>
        <v>0</v>
      </c>
    </row>
    <row r="265" ht="15.75" customHeight="1">
      <c r="A265" s="11" t="s">
        <v>519</v>
      </c>
      <c r="B265" s="11">
        <v>2020.0</v>
      </c>
      <c r="C265" s="12" t="str">
        <f>VLOOKUP(A265, Regions!A:B, 2, FALSE)
</f>
        <v>Sub-Saharan Africa</v>
      </c>
      <c r="D265" s="13" t="str">
        <f t="shared" si="1"/>
        <v/>
      </c>
      <c r="E265" s="14" t="str">
        <f t="shared" si="2"/>
        <v/>
      </c>
      <c r="F265" s="11" t="s">
        <v>521</v>
      </c>
      <c r="G265" s="11">
        <v>45.75099945</v>
      </c>
      <c r="H265" s="11">
        <v>96.37117971</v>
      </c>
      <c r="I265" s="15">
        <f t="shared" si="3"/>
        <v>96</v>
      </c>
      <c r="J265" s="16" t="str">
        <f t="shared" si="4"/>
        <v/>
      </c>
      <c r="K265" s="16" t="str">
        <f t="shared" si="5"/>
        <v/>
      </c>
      <c r="L265" s="16" t="str">
        <f t="shared" si="6"/>
        <v/>
      </c>
      <c r="M265" s="16" t="str">
        <f t="shared" si="7"/>
        <v>ARC&gt;0</v>
      </c>
      <c r="N265" s="13" t="str">
        <f t="shared" si="8"/>
        <v/>
      </c>
      <c r="O265" s="11">
        <v>0.0</v>
      </c>
      <c r="P265" s="11">
        <v>3.628820295</v>
      </c>
      <c r="S265" s="15">
        <f t="shared" si="9"/>
        <v>0</v>
      </c>
      <c r="T265" s="17" t="str">
        <f t="shared" si="10"/>
        <v/>
      </c>
      <c r="U265" s="17" t="str">
        <f t="shared" si="11"/>
        <v>ARC=0</v>
      </c>
      <c r="V265" s="17" t="str">
        <f t="shared" si="12"/>
        <v/>
      </c>
      <c r="W265" s="17" t="str">
        <f t="shared" si="13"/>
        <v/>
      </c>
      <c r="X265" s="13" t="str">
        <f t="shared" si="14"/>
        <v/>
      </c>
      <c r="AC265" s="15">
        <f t="shared" si="15"/>
        <v>0</v>
      </c>
      <c r="AD265" s="16" t="str">
        <f t="shared" si="16"/>
        <v/>
      </c>
      <c r="AE265" s="16" t="str">
        <f t="shared" si="17"/>
        <v>ARC=0</v>
      </c>
      <c r="AF265" s="16" t="str">
        <f t="shared" si="18"/>
        <v/>
      </c>
      <c r="AG265" s="16" t="str">
        <f t="shared" si="19"/>
        <v/>
      </c>
      <c r="AH265" s="13" t="str">
        <f t="shared" si="20"/>
        <v/>
      </c>
      <c r="AL265" s="18" t="str">
        <f t="shared" si="21"/>
        <v/>
      </c>
    </row>
    <row r="266" ht="15.75" customHeight="1">
      <c r="A266" s="11" t="s">
        <v>522</v>
      </c>
      <c r="B266" s="11">
        <v>2015.0</v>
      </c>
      <c r="C266" s="12" t="str">
        <f>VLOOKUP(A266, Regions!A:B, 2, FALSE)
</f>
        <v>Latin America &amp; Caribbean</v>
      </c>
      <c r="D266" s="13">
        <f t="shared" si="1"/>
        <v>5</v>
      </c>
      <c r="E266" s="14">
        <f t="shared" si="2"/>
        <v>2017.5</v>
      </c>
      <c r="F266" s="11" t="s">
        <v>523</v>
      </c>
      <c r="G266" s="11">
        <v>79.28499603</v>
      </c>
      <c r="H266" s="11">
        <v>98.02544354</v>
      </c>
      <c r="I266" s="15">
        <f t="shared" si="3"/>
        <v>98</v>
      </c>
      <c r="J266" s="16" t="str">
        <f t="shared" si="4"/>
        <v/>
      </c>
      <c r="K266" s="16" t="str">
        <f t="shared" si="5"/>
        <v/>
      </c>
      <c r="L266" s="16" t="str">
        <f t="shared" si="6"/>
        <v/>
      </c>
      <c r="M266" s="16" t="str">
        <f t="shared" si="7"/>
        <v>ARC&gt;0</v>
      </c>
      <c r="N266" s="13">
        <f t="shared" si="8"/>
        <v>0.330824948</v>
      </c>
      <c r="O266" s="11">
        <v>0.0</v>
      </c>
      <c r="P266" s="11">
        <v>1.412360964</v>
      </c>
      <c r="Q266" s="11">
        <v>0.5621954921</v>
      </c>
      <c r="R266" s="11">
        <v>93.28669403</v>
      </c>
      <c r="S266" s="15">
        <f t="shared" si="9"/>
        <v>93</v>
      </c>
      <c r="T266" s="17" t="str">
        <f t="shared" si="10"/>
        <v/>
      </c>
      <c r="U266" s="17" t="str">
        <f t="shared" si="11"/>
        <v/>
      </c>
      <c r="V266" s="17" t="str">
        <f t="shared" si="12"/>
        <v/>
      </c>
      <c r="W266" s="17" t="str">
        <f t="shared" si="13"/>
        <v>ARC&gt;0</v>
      </c>
      <c r="X266" s="13">
        <f t="shared" si="14"/>
        <v>1.01007498</v>
      </c>
      <c r="Y266" s="11">
        <v>0.0</v>
      </c>
      <c r="Z266" s="11">
        <v>4.310938852</v>
      </c>
      <c r="AA266" s="11">
        <v>2.402367121</v>
      </c>
      <c r="AB266" s="11">
        <v>99.2635529</v>
      </c>
      <c r="AC266" s="15">
        <f t="shared" si="15"/>
        <v>99</v>
      </c>
      <c r="AD266" s="16" t="str">
        <f t="shared" si="16"/>
        <v/>
      </c>
      <c r="AE266" s="16" t="str">
        <f t="shared" si="17"/>
        <v/>
      </c>
      <c r="AF266" s="16" t="str">
        <f t="shared" si="18"/>
        <v/>
      </c>
      <c r="AG266" s="16" t="str">
        <f t="shared" si="19"/>
        <v>ARC&gt;0</v>
      </c>
      <c r="AH266" s="13">
        <f t="shared" si="20"/>
        <v>0.14728942</v>
      </c>
      <c r="AI266" s="11">
        <v>0.0</v>
      </c>
      <c r="AJ266" s="11">
        <v>0.655038006</v>
      </c>
      <c r="AK266" s="11" t="s">
        <v>524</v>
      </c>
      <c r="AL266" s="18">
        <f t="shared" si="21"/>
        <v>0.86278556</v>
      </c>
    </row>
    <row r="267" ht="15.75" customHeight="1">
      <c r="A267" s="11" t="s">
        <v>522</v>
      </c>
      <c r="B267" s="11">
        <v>2020.0</v>
      </c>
      <c r="C267" s="12" t="str">
        <f>VLOOKUP(A267, Regions!A:B, 2, FALSE)
</f>
        <v>Latin America &amp; Caribbean</v>
      </c>
      <c r="D267" s="13" t="str">
        <f t="shared" si="1"/>
        <v/>
      </c>
      <c r="E267" s="14" t="str">
        <f t="shared" si="2"/>
        <v/>
      </c>
      <c r="F267" s="11" t="s">
        <v>525</v>
      </c>
      <c r="G267" s="11">
        <v>80.73099518</v>
      </c>
      <c r="H267" s="11">
        <v>99.67956828</v>
      </c>
      <c r="I267" s="15">
        <f t="shared" si="3"/>
        <v>100</v>
      </c>
      <c r="J267" s="16" t="str">
        <f t="shared" si="4"/>
        <v/>
      </c>
      <c r="K267" s="16" t="str">
        <f t="shared" si="5"/>
        <v/>
      </c>
      <c r="L267" s="16" t="str">
        <f t="shared" si="6"/>
        <v/>
      </c>
      <c r="M267" s="16" t="str">
        <f t="shared" si="7"/>
        <v>ARC&gt;0</v>
      </c>
      <c r="N267" s="13" t="str">
        <f t="shared" si="8"/>
        <v/>
      </c>
      <c r="O267" s="11">
        <v>0.0</v>
      </c>
      <c r="P267" s="11">
        <v>0.3204317169</v>
      </c>
      <c r="Q267" s="11">
        <v>0.0</v>
      </c>
      <c r="R267" s="11">
        <v>98.33706893</v>
      </c>
      <c r="S267" s="15">
        <f t="shared" si="9"/>
        <v>98</v>
      </c>
      <c r="T267" s="17" t="str">
        <f t="shared" si="10"/>
        <v/>
      </c>
      <c r="U267" s="17" t="str">
        <f t="shared" si="11"/>
        <v/>
      </c>
      <c r="V267" s="17" t="str">
        <f t="shared" si="12"/>
        <v/>
      </c>
      <c r="W267" s="17" t="str">
        <f t="shared" si="13"/>
        <v>ARC&gt;0</v>
      </c>
      <c r="X267" s="13" t="str">
        <f t="shared" si="14"/>
        <v/>
      </c>
      <c r="Y267" s="11">
        <v>0.0</v>
      </c>
      <c r="Z267" s="11">
        <v>1.662931067</v>
      </c>
      <c r="AA267" s="11">
        <v>0.0</v>
      </c>
      <c r="AB267" s="11">
        <v>100.0</v>
      </c>
      <c r="AC267" s="15">
        <f t="shared" si="15"/>
        <v>100</v>
      </c>
      <c r="AD267" s="16" t="str">
        <f t="shared" si="16"/>
        <v/>
      </c>
      <c r="AE267" s="16" t="str">
        <f t="shared" si="17"/>
        <v/>
      </c>
      <c r="AF267" s="16" t="str">
        <f t="shared" si="18"/>
        <v/>
      </c>
      <c r="AG267" s="16" t="str">
        <f t="shared" si="19"/>
        <v>ARC&gt;0</v>
      </c>
      <c r="AH267" s="13" t="str">
        <f t="shared" si="20"/>
        <v/>
      </c>
      <c r="AI267" s="11">
        <v>0.0</v>
      </c>
      <c r="AJ267" s="11">
        <v>0.0</v>
      </c>
      <c r="AK267" s="11" t="s">
        <v>43</v>
      </c>
      <c r="AL267" s="18" t="str">
        <f t="shared" si="21"/>
        <v/>
      </c>
    </row>
    <row r="268" ht="15.75" customHeight="1">
      <c r="A268" s="11" t="s">
        <v>526</v>
      </c>
      <c r="B268" s="11">
        <v>2015.0</v>
      </c>
      <c r="C268" s="12" t="str">
        <f>VLOOKUP(A268, Regions!A:B, 2, FALSE)
</f>
        <v>East Asia &amp; Pacific</v>
      </c>
      <c r="D268" s="13">
        <f t="shared" si="1"/>
        <v>4</v>
      </c>
      <c r="E268" s="14">
        <f t="shared" si="2"/>
        <v>2017</v>
      </c>
      <c r="F268" s="11" t="s">
        <v>527</v>
      </c>
      <c r="G268" s="11">
        <v>22.45599937</v>
      </c>
      <c r="H268" s="11">
        <v>88.30815668</v>
      </c>
      <c r="I268" s="15">
        <f t="shared" si="3"/>
        <v>88</v>
      </c>
      <c r="J268" s="16" t="str">
        <f t="shared" si="4"/>
        <v/>
      </c>
      <c r="K268" s="16" t="str">
        <f t="shared" si="5"/>
        <v/>
      </c>
      <c r="L268" s="16" t="str">
        <f t="shared" si="6"/>
        <v/>
      </c>
      <c r="M268" s="16" t="str">
        <f t="shared" si="7"/>
        <v>ARC&gt;0</v>
      </c>
      <c r="N268" s="13">
        <f t="shared" si="8"/>
        <v>0</v>
      </c>
      <c r="O268" s="11">
        <v>0.0</v>
      </c>
      <c r="P268" s="11">
        <v>11.69184332</v>
      </c>
      <c r="S268" s="15">
        <f t="shared" si="9"/>
        <v>0</v>
      </c>
      <c r="T268" s="17" t="str">
        <f t="shared" si="10"/>
        <v/>
      </c>
      <c r="U268" s="17" t="str">
        <f t="shared" si="11"/>
        <v>ARC=0</v>
      </c>
      <c r="V268" s="17" t="str">
        <f t="shared" si="12"/>
        <v/>
      </c>
      <c r="W268" s="17" t="str">
        <f t="shared" si="13"/>
        <v/>
      </c>
      <c r="X268" s="13">
        <f t="shared" si="14"/>
        <v>0</v>
      </c>
      <c r="AC268" s="15">
        <f t="shared" si="15"/>
        <v>0</v>
      </c>
      <c r="AD268" s="16" t="str">
        <f t="shared" si="16"/>
        <v/>
      </c>
      <c r="AE268" s="16" t="str">
        <f t="shared" si="17"/>
        <v>ARC=0</v>
      </c>
      <c r="AF268" s="16" t="str">
        <f t="shared" si="18"/>
        <v/>
      </c>
      <c r="AG268" s="16" t="str">
        <f t="shared" si="19"/>
        <v/>
      </c>
      <c r="AH268" s="13">
        <f t="shared" si="20"/>
        <v>0</v>
      </c>
      <c r="AL268" s="18">
        <f t="shared" si="21"/>
        <v>0</v>
      </c>
    </row>
    <row r="269" ht="15.75" customHeight="1">
      <c r="A269" s="11" t="s">
        <v>526</v>
      </c>
      <c r="B269" s="11">
        <v>2019.0</v>
      </c>
      <c r="C269" s="12" t="str">
        <f>VLOOKUP(A269, Regions!A:B, 2, FALSE)
</f>
        <v>East Asia &amp; Pacific</v>
      </c>
      <c r="D269" s="13" t="str">
        <f t="shared" si="1"/>
        <v/>
      </c>
      <c r="E269" s="14" t="str">
        <f t="shared" si="2"/>
        <v/>
      </c>
      <c r="F269" s="11" t="s">
        <v>528</v>
      </c>
      <c r="G269" s="11">
        <v>22.81200027</v>
      </c>
      <c r="H269" s="11">
        <v>88.30815668</v>
      </c>
      <c r="I269" s="15">
        <f t="shared" si="3"/>
        <v>88</v>
      </c>
      <c r="J269" s="16" t="str">
        <f t="shared" si="4"/>
        <v/>
      </c>
      <c r="K269" s="16" t="str">
        <f t="shared" si="5"/>
        <v/>
      </c>
      <c r="L269" s="16" t="str">
        <f t="shared" si="6"/>
        <v/>
      </c>
      <c r="M269" s="16" t="str">
        <f t="shared" si="7"/>
        <v>ARC&gt;0</v>
      </c>
      <c r="N269" s="13" t="str">
        <f t="shared" si="8"/>
        <v/>
      </c>
      <c r="O269" s="11">
        <v>0.0</v>
      </c>
      <c r="P269" s="11">
        <v>11.69184332</v>
      </c>
      <c r="S269" s="15">
        <f t="shared" si="9"/>
        <v>0</v>
      </c>
      <c r="T269" s="17" t="str">
        <f t="shared" si="10"/>
        <v/>
      </c>
      <c r="U269" s="17" t="str">
        <f t="shared" si="11"/>
        <v>ARC=0</v>
      </c>
      <c r="V269" s="17" t="str">
        <f t="shared" si="12"/>
        <v/>
      </c>
      <c r="W269" s="17" t="str">
        <f t="shared" si="13"/>
        <v/>
      </c>
      <c r="X269" s="13" t="str">
        <f t="shared" si="14"/>
        <v/>
      </c>
      <c r="AC269" s="15">
        <f t="shared" si="15"/>
        <v>0</v>
      </c>
      <c r="AD269" s="16" t="str">
        <f t="shared" si="16"/>
        <v/>
      </c>
      <c r="AE269" s="16" t="str">
        <f t="shared" si="17"/>
        <v>ARC=0</v>
      </c>
      <c r="AF269" s="16" t="str">
        <f t="shared" si="18"/>
        <v/>
      </c>
      <c r="AG269" s="16" t="str">
        <f t="shared" si="19"/>
        <v/>
      </c>
      <c r="AH269" s="13" t="str">
        <f t="shared" si="20"/>
        <v/>
      </c>
      <c r="AL269" s="18" t="str">
        <f t="shared" si="21"/>
        <v/>
      </c>
    </row>
    <row r="270" ht="15.75" customHeight="1">
      <c r="A270" s="11" t="s">
        <v>529</v>
      </c>
      <c r="B270" s="11">
        <v>2015.0</v>
      </c>
      <c r="C270" s="12" t="str">
        <f>VLOOKUP(A270, Regions!A:B, 2, FALSE)
</f>
        <v>Europe &amp; Central Asia</v>
      </c>
      <c r="D270" s="13">
        <f t="shared" si="1"/>
        <v>5</v>
      </c>
      <c r="E270" s="14">
        <f t="shared" si="2"/>
        <v>2017.5</v>
      </c>
      <c r="F270" s="11" t="s">
        <v>530</v>
      </c>
      <c r="G270" s="11">
        <v>100.0</v>
      </c>
      <c r="H270" s="11">
        <v>100.0</v>
      </c>
      <c r="I270" s="15">
        <f t="shared" si="3"/>
        <v>100</v>
      </c>
      <c r="J270" s="16" t="str">
        <f t="shared" si="4"/>
        <v>full access</v>
      </c>
      <c r="K270" s="16" t="str">
        <f t="shared" si="5"/>
        <v/>
      </c>
      <c r="L270" s="16" t="str">
        <f t="shared" si="6"/>
        <v/>
      </c>
      <c r="M270" s="16" t="str">
        <f t="shared" si="7"/>
        <v/>
      </c>
      <c r="N270" s="13">
        <f t="shared" si="8"/>
        <v>0</v>
      </c>
      <c r="O270" s="11">
        <v>0.0</v>
      </c>
      <c r="P270" s="11">
        <v>0.0</v>
      </c>
      <c r="Q270" s="11">
        <v>0.0</v>
      </c>
      <c r="S270" s="15">
        <f t="shared" si="9"/>
        <v>0</v>
      </c>
      <c r="T270" s="17" t="str">
        <f t="shared" si="10"/>
        <v/>
      </c>
      <c r="U270" s="17" t="str">
        <f t="shared" si="11"/>
        <v>ARC=0</v>
      </c>
      <c r="V270" s="17" t="str">
        <f t="shared" si="12"/>
        <v/>
      </c>
      <c r="W270" s="17" t="str">
        <f t="shared" si="13"/>
        <v/>
      </c>
      <c r="X270" s="13">
        <f t="shared" si="14"/>
        <v>0</v>
      </c>
      <c r="AB270" s="11">
        <v>100.0</v>
      </c>
      <c r="AC270" s="15">
        <f t="shared" si="15"/>
        <v>100</v>
      </c>
      <c r="AD270" s="16" t="str">
        <f t="shared" si="16"/>
        <v>full access</v>
      </c>
      <c r="AE270" s="16" t="str">
        <f t="shared" si="17"/>
        <v/>
      </c>
      <c r="AF270" s="16" t="str">
        <f t="shared" si="18"/>
        <v/>
      </c>
      <c r="AG270" s="16" t="str">
        <f t="shared" si="19"/>
        <v>ARC&gt;0</v>
      </c>
      <c r="AH270" s="13">
        <f t="shared" si="20"/>
        <v>0</v>
      </c>
      <c r="AI270" s="11">
        <v>0.0</v>
      </c>
      <c r="AJ270" s="11">
        <v>0.0</v>
      </c>
      <c r="AK270" s="11" t="s">
        <v>43</v>
      </c>
      <c r="AL270" s="18">
        <f t="shared" si="21"/>
        <v>0</v>
      </c>
    </row>
    <row r="271" ht="15.75" customHeight="1">
      <c r="A271" s="11" t="s">
        <v>529</v>
      </c>
      <c r="B271" s="11">
        <v>2020.0</v>
      </c>
      <c r="C271" s="12" t="str">
        <f>VLOOKUP(A271, Regions!A:B, 2, FALSE)
</f>
        <v>Europe &amp; Central Asia</v>
      </c>
      <c r="D271" s="13" t="str">
        <f t="shared" si="1"/>
        <v/>
      </c>
      <c r="E271" s="14" t="str">
        <f t="shared" si="2"/>
        <v/>
      </c>
      <c r="F271" s="11" t="s">
        <v>531</v>
      </c>
      <c r="G271" s="11">
        <v>100.0</v>
      </c>
      <c r="H271" s="11">
        <v>100.0</v>
      </c>
      <c r="I271" s="15">
        <f t="shared" si="3"/>
        <v>100</v>
      </c>
      <c r="J271" s="16" t="str">
        <f t="shared" si="4"/>
        <v/>
      </c>
      <c r="K271" s="16" t="str">
        <f t="shared" si="5"/>
        <v/>
      </c>
      <c r="L271" s="16" t="str">
        <f t="shared" si="6"/>
        <v/>
      </c>
      <c r="M271" s="16" t="str">
        <f t="shared" si="7"/>
        <v>ARC&gt;0</v>
      </c>
      <c r="N271" s="13" t="str">
        <f t="shared" si="8"/>
        <v/>
      </c>
      <c r="O271" s="11">
        <v>0.0</v>
      </c>
      <c r="P271" s="11">
        <v>0.0</v>
      </c>
      <c r="Q271" s="11">
        <v>0.0</v>
      </c>
      <c r="S271" s="15">
        <f t="shared" si="9"/>
        <v>0</v>
      </c>
      <c r="T271" s="17" t="str">
        <f t="shared" si="10"/>
        <v/>
      </c>
      <c r="U271" s="17" t="str">
        <f t="shared" si="11"/>
        <v>ARC=0</v>
      </c>
      <c r="V271" s="17" t="str">
        <f t="shared" si="12"/>
        <v/>
      </c>
      <c r="W271" s="17" t="str">
        <f t="shared" si="13"/>
        <v/>
      </c>
      <c r="X271" s="13" t="str">
        <f t="shared" si="14"/>
        <v/>
      </c>
      <c r="AB271" s="11">
        <v>100.0</v>
      </c>
      <c r="AC271" s="15">
        <f t="shared" si="15"/>
        <v>100</v>
      </c>
      <c r="AD271" s="16" t="str">
        <f t="shared" si="16"/>
        <v/>
      </c>
      <c r="AE271" s="16" t="str">
        <f t="shared" si="17"/>
        <v/>
      </c>
      <c r="AF271" s="16" t="str">
        <f t="shared" si="18"/>
        <v/>
      </c>
      <c r="AG271" s="16" t="str">
        <f t="shared" si="19"/>
        <v>ARC&gt;0</v>
      </c>
      <c r="AH271" s="13" t="str">
        <f t="shared" si="20"/>
        <v/>
      </c>
      <c r="AI271" s="11">
        <v>0.0</v>
      </c>
      <c r="AJ271" s="11">
        <v>0.0</v>
      </c>
      <c r="AK271" s="11" t="s">
        <v>43</v>
      </c>
      <c r="AL271" s="18" t="str">
        <f t="shared" si="21"/>
        <v/>
      </c>
    </row>
    <row r="272" ht="15.75" customHeight="1">
      <c r="A272" s="11" t="s">
        <v>532</v>
      </c>
      <c r="B272" s="11">
        <v>2015.0</v>
      </c>
      <c r="C272" s="12" t="str">
        <f>VLOOKUP(A272, Regions!A:B, 2, FALSE)
</f>
        <v>East Asia &amp; Pacific</v>
      </c>
      <c r="D272" s="13">
        <f t="shared" si="1"/>
        <v>5</v>
      </c>
      <c r="E272" s="14">
        <f t="shared" si="2"/>
        <v>2017.5</v>
      </c>
      <c r="F272" s="11" t="s">
        <v>533</v>
      </c>
      <c r="G272" s="11">
        <v>68.22999573</v>
      </c>
      <c r="H272" s="11">
        <v>80.81301209</v>
      </c>
      <c r="I272" s="15">
        <f t="shared" si="3"/>
        <v>81</v>
      </c>
      <c r="J272" s="16" t="str">
        <f t="shared" si="4"/>
        <v/>
      </c>
      <c r="K272" s="16" t="str">
        <f t="shared" si="5"/>
        <v/>
      </c>
      <c r="L272" s="16" t="str">
        <f t="shared" si="6"/>
        <v/>
      </c>
      <c r="M272" s="16" t="str">
        <f t="shared" si="7"/>
        <v>ARC&gt;0</v>
      </c>
      <c r="N272" s="13">
        <f t="shared" si="8"/>
        <v>0.936522636</v>
      </c>
      <c r="O272" s="11">
        <v>3.905181378</v>
      </c>
      <c r="P272" s="11">
        <v>7.578644581</v>
      </c>
      <c r="Q272" s="11">
        <v>7.70316195</v>
      </c>
      <c r="R272" s="11">
        <v>52.09388801</v>
      </c>
      <c r="S272" s="15">
        <f t="shared" si="9"/>
        <v>52</v>
      </c>
      <c r="T272" s="17" t="str">
        <f t="shared" si="10"/>
        <v/>
      </c>
      <c r="U272" s="17" t="str">
        <f t="shared" si="11"/>
        <v/>
      </c>
      <c r="V272" s="17" t="str">
        <f t="shared" si="12"/>
        <v/>
      </c>
      <c r="W272" s="17" t="str">
        <f t="shared" si="13"/>
        <v>ARC&gt;0</v>
      </c>
      <c r="X272" s="13">
        <f t="shared" si="14"/>
        <v>1.795372626</v>
      </c>
      <c r="Y272" s="11">
        <v>5.33358915</v>
      </c>
      <c r="Z272" s="11">
        <v>18.71864336</v>
      </c>
      <c r="AA272" s="11">
        <v>23.85387948</v>
      </c>
      <c r="AB272" s="11">
        <v>94.18552724</v>
      </c>
      <c r="AC272" s="15">
        <f t="shared" si="15"/>
        <v>94</v>
      </c>
      <c r="AD272" s="16" t="str">
        <f t="shared" si="16"/>
        <v/>
      </c>
      <c r="AE272" s="16" t="str">
        <f t="shared" si="17"/>
        <v/>
      </c>
      <c r="AF272" s="16" t="str">
        <f t="shared" si="18"/>
        <v/>
      </c>
      <c r="AG272" s="16" t="str">
        <f t="shared" si="19"/>
        <v>ARC&gt;0</v>
      </c>
      <c r="AH272" s="13">
        <f t="shared" si="20"/>
        <v>0.492087668</v>
      </c>
      <c r="AI272" s="11">
        <v>3.240070405</v>
      </c>
      <c r="AJ272" s="11">
        <v>2.391515544</v>
      </c>
      <c r="AK272" s="11" t="s">
        <v>534</v>
      </c>
      <c r="AL272" s="18">
        <f t="shared" si="21"/>
        <v>1.303284958</v>
      </c>
    </row>
    <row r="273" ht="15.75" customHeight="1">
      <c r="A273" s="11" t="s">
        <v>532</v>
      </c>
      <c r="B273" s="11">
        <v>2020.0</v>
      </c>
      <c r="C273" s="12" t="str">
        <f>VLOOKUP(A273, Regions!A:B, 2, FALSE)
</f>
        <v>East Asia &amp; Pacific</v>
      </c>
      <c r="D273" s="13" t="str">
        <f t="shared" si="1"/>
        <v/>
      </c>
      <c r="E273" s="14" t="str">
        <f t="shared" si="2"/>
        <v/>
      </c>
      <c r="F273" s="11" t="s">
        <v>535</v>
      </c>
      <c r="G273" s="11">
        <v>68.65699768</v>
      </c>
      <c r="H273" s="11">
        <v>85.49562527</v>
      </c>
      <c r="I273" s="15">
        <f t="shared" si="3"/>
        <v>85</v>
      </c>
      <c r="J273" s="16" t="str">
        <f t="shared" si="4"/>
        <v/>
      </c>
      <c r="K273" s="16" t="str">
        <f t="shared" si="5"/>
        <v/>
      </c>
      <c r="L273" s="16" t="str">
        <f t="shared" si="6"/>
        <v/>
      </c>
      <c r="M273" s="16" t="str">
        <f t="shared" si="7"/>
        <v>ARC&gt;0</v>
      </c>
      <c r="N273" s="13" t="str">
        <f t="shared" si="8"/>
        <v/>
      </c>
      <c r="O273" s="11">
        <v>2.14642893</v>
      </c>
      <c r="P273" s="11">
        <v>6.633366714</v>
      </c>
      <c r="Q273" s="11">
        <v>5.724579081</v>
      </c>
      <c r="R273" s="11">
        <v>61.07075114</v>
      </c>
      <c r="S273" s="15">
        <f t="shared" si="9"/>
        <v>61</v>
      </c>
      <c r="T273" s="17" t="str">
        <f t="shared" si="10"/>
        <v/>
      </c>
      <c r="U273" s="17" t="str">
        <f t="shared" si="11"/>
        <v/>
      </c>
      <c r="V273" s="17" t="str">
        <f t="shared" si="12"/>
        <v/>
      </c>
      <c r="W273" s="17" t="str">
        <f t="shared" si="13"/>
        <v>ARC&gt;0</v>
      </c>
      <c r="X273" s="13" t="str">
        <f t="shared" si="14"/>
        <v/>
      </c>
      <c r="Y273" s="11">
        <v>3.084170572</v>
      </c>
      <c r="Z273" s="11">
        <v>17.58078116</v>
      </c>
      <c r="AA273" s="11">
        <v>18.26429713</v>
      </c>
      <c r="AB273" s="11">
        <v>96.64596558</v>
      </c>
      <c r="AC273" s="15">
        <f t="shared" si="15"/>
        <v>97</v>
      </c>
      <c r="AD273" s="16" t="str">
        <f t="shared" si="16"/>
        <v/>
      </c>
      <c r="AE273" s="16" t="str">
        <f t="shared" si="17"/>
        <v/>
      </c>
      <c r="AF273" s="16" t="str">
        <f t="shared" si="18"/>
        <v/>
      </c>
      <c r="AG273" s="16" t="str">
        <f t="shared" si="19"/>
        <v>ARC&gt;0</v>
      </c>
      <c r="AH273" s="13" t="str">
        <f t="shared" si="20"/>
        <v/>
      </c>
      <c r="AI273" s="11">
        <v>1.718335079</v>
      </c>
      <c r="AJ273" s="11">
        <v>1.635699341</v>
      </c>
      <c r="AK273" s="11" t="s">
        <v>43</v>
      </c>
      <c r="AL273" s="18" t="str">
        <f t="shared" si="21"/>
        <v/>
      </c>
    </row>
    <row r="274" ht="15.75" customHeight="1">
      <c r="A274" s="11" t="s">
        <v>536</v>
      </c>
      <c r="B274" s="11">
        <v>2015.0</v>
      </c>
      <c r="C274" s="12" t="str">
        <f>VLOOKUP(A274, Regions!A:B, 2, FALSE)
</f>
        <v>Europe &amp; Central Asia</v>
      </c>
      <c r="D274" s="13">
        <f t="shared" si="1"/>
        <v>5</v>
      </c>
      <c r="E274" s="14">
        <f t="shared" si="2"/>
        <v>2017.5</v>
      </c>
      <c r="F274" s="11" t="s">
        <v>537</v>
      </c>
      <c r="G274" s="11">
        <v>65.80599976</v>
      </c>
      <c r="H274" s="11">
        <v>97.39129537</v>
      </c>
      <c r="I274" s="15">
        <f t="shared" si="3"/>
        <v>97</v>
      </c>
      <c r="J274" s="16" t="str">
        <f t="shared" si="4"/>
        <v/>
      </c>
      <c r="K274" s="16" t="str">
        <f t="shared" si="5"/>
        <v/>
      </c>
      <c r="L274" s="16" t="str">
        <f t="shared" si="6"/>
        <v/>
      </c>
      <c r="M274" s="16" t="str">
        <f t="shared" si="7"/>
        <v>ARC&gt;0</v>
      </c>
      <c r="N274" s="13">
        <f t="shared" si="8"/>
        <v>0.29312423</v>
      </c>
      <c r="O274" s="11">
        <v>1.68690191</v>
      </c>
      <c r="P274" s="11">
        <v>0.8814458462</v>
      </c>
      <c r="Q274" s="11">
        <v>0.04035686954</v>
      </c>
      <c r="R274" s="11">
        <v>95.96066218</v>
      </c>
      <c r="S274" s="15">
        <f t="shared" si="9"/>
        <v>96</v>
      </c>
      <c r="T274" s="17" t="str">
        <f t="shared" si="10"/>
        <v/>
      </c>
      <c r="U274" s="17" t="str">
        <f t="shared" si="11"/>
        <v/>
      </c>
      <c r="V274" s="17" t="str">
        <f t="shared" si="12"/>
        <v/>
      </c>
      <c r="W274" s="17" t="str">
        <f t="shared" si="13"/>
        <v>ARC&gt;0</v>
      </c>
      <c r="X274" s="13">
        <f t="shared" si="14"/>
        <v>0.440245072</v>
      </c>
      <c r="Y274" s="11">
        <v>1.539303155</v>
      </c>
      <c r="Z274" s="11">
        <v>2.38201141</v>
      </c>
      <c r="AA274" s="11">
        <v>0.1180232558</v>
      </c>
      <c r="AB274" s="11">
        <v>98.13467845</v>
      </c>
      <c r="AC274" s="15">
        <f t="shared" si="15"/>
        <v>98</v>
      </c>
      <c r="AD274" s="16" t="str">
        <f t="shared" si="16"/>
        <v/>
      </c>
      <c r="AE274" s="16" t="str">
        <f t="shared" si="17"/>
        <v/>
      </c>
      <c r="AF274" s="16" t="str">
        <f t="shared" si="18"/>
        <v/>
      </c>
      <c r="AG274" s="16" t="str">
        <f t="shared" si="19"/>
        <v>ARC&gt;0</v>
      </c>
      <c r="AH274" s="13">
        <f t="shared" si="20"/>
        <v>0.211412228</v>
      </c>
      <c r="AI274" s="11">
        <v>1.763596913</v>
      </c>
      <c r="AJ274" s="11">
        <v>0.101724636</v>
      </c>
      <c r="AK274" s="11" t="s">
        <v>43</v>
      </c>
      <c r="AL274" s="18">
        <f t="shared" si="21"/>
        <v>0.228832844</v>
      </c>
    </row>
    <row r="275" ht="15.75" customHeight="1">
      <c r="A275" s="11" t="s">
        <v>536</v>
      </c>
      <c r="B275" s="11">
        <v>2020.0</v>
      </c>
      <c r="C275" s="12" t="str">
        <f>VLOOKUP(A275, Regions!A:B, 2, FALSE)
</f>
        <v>Europe &amp; Central Asia</v>
      </c>
      <c r="D275" s="13" t="str">
        <f t="shared" si="1"/>
        <v/>
      </c>
      <c r="E275" s="14" t="str">
        <f t="shared" si="2"/>
        <v/>
      </c>
      <c r="F275" s="11" t="s">
        <v>538</v>
      </c>
      <c r="G275" s="11">
        <v>67.48800659</v>
      </c>
      <c r="H275" s="11">
        <v>98.85691652</v>
      </c>
      <c r="I275" s="15">
        <f t="shared" si="3"/>
        <v>99</v>
      </c>
      <c r="J275" s="16" t="str">
        <f t="shared" si="4"/>
        <v/>
      </c>
      <c r="K275" s="16" t="str">
        <f t="shared" si="5"/>
        <v/>
      </c>
      <c r="L275" s="16" t="str">
        <f t="shared" si="6"/>
        <v/>
      </c>
      <c r="M275" s="16" t="str">
        <f t="shared" si="7"/>
        <v>ARC&gt;0</v>
      </c>
      <c r="N275" s="13" t="str">
        <f t="shared" si="8"/>
        <v/>
      </c>
      <c r="O275" s="11">
        <v>0.5454788204</v>
      </c>
      <c r="P275" s="11">
        <v>0.592312011</v>
      </c>
      <c r="Q275" s="11">
        <v>0.005292650894</v>
      </c>
      <c r="R275" s="11">
        <v>98.16188754</v>
      </c>
      <c r="S275" s="15">
        <f t="shared" si="9"/>
        <v>98</v>
      </c>
      <c r="T275" s="17" t="str">
        <f t="shared" si="10"/>
        <v/>
      </c>
      <c r="U275" s="17" t="str">
        <f t="shared" si="11"/>
        <v/>
      </c>
      <c r="V275" s="17" t="str">
        <f t="shared" si="12"/>
        <v/>
      </c>
      <c r="W275" s="17" t="str">
        <f t="shared" si="13"/>
        <v>ARC&gt;0</v>
      </c>
      <c r="X275" s="13" t="str">
        <f t="shared" si="14"/>
        <v/>
      </c>
      <c r="Y275" s="11">
        <v>0.0</v>
      </c>
      <c r="Z275" s="11">
        <v>1.821833386</v>
      </c>
      <c r="AA275" s="11">
        <v>0.01627906977</v>
      </c>
      <c r="AB275" s="11">
        <v>99.19173959</v>
      </c>
      <c r="AC275" s="15">
        <f t="shared" si="15"/>
        <v>99</v>
      </c>
      <c r="AD275" s="16" t="str">
        <f t="shared" si="16"/>
        <v/>
      </c>
      <c r="AE275" s="16" t="str">
        <f t="shared" si="17"/>
        <v/>
      </c>
      <c r="AF275" s="16" t="str">
        <f t="shared" si="18"/>
        <v/>
      </c>
      <c r="AG275" s="16" t="str">
        <f t="shared" si="19"/>
        <v>ARC&gt;0</v>
      </c>
      <c r="AH275" s="13" t="str">
        <f t="shared" si="20"/>
        <v/>
      </c>
      <c r="AI275" s="11">
        <v>0.8082604128</v>
      </c>
      <c r="AJ275" s="11">
        <v>0.0</v>
      </c>
      <c r="AK275" s="11" t="s">
        <v>43</v>
      </c>
      <c r="AL275" s="18" t="str">
        <f t="shared" si="21"/>
        <v/>
      </c>
    </row>
    <row r="276" ht="15.75" customHeight="1">
      <c r="A276" s="11" t="s">
        <v>539</v>
      </c>
      <c r="B276" s="11">
        <v>2015.0</v>
      </c>
      <c r="C276" s="12" t="str">
        <f>VLOOKUP(A276, Regions!A:B, 2, FALSE)
</f>
        <v>Latin America &amp; Caribbean</v>
      </c>
      <c r="D276" s="13">
        <f t="shared" si="1"/>
        <v>5</v>
      </c>
      <c r="E276" s="14">
        <f t="shared" si="2"/>
        <v>2017.5</v>
      </c>
      <c r="F276" s="11" t="s">
        <v>540</v>
      </c>
      <c r="G276" s="11">
        <v>9.041000366</v>
      </c>
      <c r="H276" s="11">
        <v>98.07082056</v>
      </c>
      <c r="I276" s="15">
        <f t="shared" si="3"/>
        <v>98</v>
      </c>
      <c r="J276" s="16" t="str">
        <f t="shared" si="4"/>
        <v/>
      </c>
      <c r="K276" s="16" t="str">
        <f t="shared" si="5"/>
        <v/>
      </c>
      <c r="L276" s="16" t="str">
        <f t="shared" si="6"/>
        <v/>
      </c>
      <c r="M276" s="16" t="str">
        <f t="shared" si="7"/>
        <v>ARC&gt;0</v>
      </c>
      <c r="N276" s="13">
        <f t="shared" si="8"/>
        <v>0.001332412</v>
      </c>
      <c r="O276" s="11">
        <v>0.0</v>
      </c>
      <c r="P276" s="11">
        <v>1.929179439</v>
      </c>
      <c r="Q276" s="11">
        <v>0.0</v>
      </c>
      <c r="S276" s="15">
        <f t="shared" si="9"/>
        <v>0</v>
      </c>
      <c r="T276" s="17" t="str">
        <f t="shared" si="10"/>
        <v/>
      </c>
      <c r="U276" s="17" t="str">
        <f t="shared" si="11"/>
        <v>ARC=0</v>
      </c>
      <c r="V276" s="17" t="str">
        <f t="shared" si="12"/>
        <v/>
      </c>
      <c r="W276" s="17" t="str">
        <f t="shared" si="13"/>
        <v/>
      </c>
      <c r="X276" s="13">
        <f t="shared" si="14"/>
        <v>0</v>
      </c>
      <c r="AC276" s="15">
        <f t="shared" si="15"/>
        <v>0</v>
      </c>
      <c r="AD276" s="16" t="str">
        <f t="shared" si="16"/>
        <v/>
      </c>
      <c r="AE276" s="16" t="str">
        <f t="shared" si="17"/>
        <v>ARC=0</v>
      </c>
      <c r="AF276" s="16" t="str">
        <f t="shared" si="18"/>
        <v/>
      </c>
      <c r="AG276" s="16" t="str">
        <f t="shared" si="19"/>
        <v/>
      </c>
      <c r="AH276" s="13">
        <f t="shared" si="20"/>
        <v>0</v>
      </c>
      <c r="AL276" s="18">
        <f t="shared" si="21"/>
        <v>0</v>
      </c>
    </row>
    <row r="277" ht="15.75" customHeight="1">
      <c r="A277" s="11" t="s">
        <v>539</v>
      </c>
      <c r="B277" s="11">
        <v>2020.0</v>
      </c>
      <c r="C277" s="12" t="str">
        <f>VLOOKUP(A277, Regions!A:B, 2, FALSE)
</f>
        <v>Latin America &amp; Caribbean</v>
      </c>
      <c r="D277" s="13" t="str">
        <f t="shared" si="1"/>
        <v/>
      </c>
      <c r="E277" s="14" t="str">
        <f t="shared" si="2"/>
        <v/>
      </c>
      <c r="F277" s="11" t="s">
        <v>541</v>
      </c>
      <c r="G277" s="11">
        <v>9.114999771</v>
      </c>
      <c r="H277" s="11">
        <v>98.07748262</v>
      </c>
      <c r="I277" s="15">
        <f t="shared" si="3"/>
        <v>98</v>
      </c>
      <c r="J277" s="16" t="str">
        <f t="shared" si="4"/>
        <v/>
      </c>
      <c r="K277" s="16" t="str">
        <f t="shared" si="5"/>
        <v/>
      </c>
      <c r="L277" s="16" t="str">
        <f t="shared" si="6"/>
        <v/>
      </c>
      <c r="M277" s="16" t="str">
        <f t="shared" si="7"/>
        <v>ARC&gt;0</v>
      </c>
      <c r="N277" s="13" t="str">
        <f t="shared" si="8"/>
        <v/>
      </c>
      <c r="O277" s="11">
        <v>0.0</v>
      </c>
      <c r="P277" s="11">
        <v>1.922517378</v>
      </c>
      <c r="Q277" s="11">
        <v>0.0</v>
      </c>
      <c r="S277" s="15">
        <f t="shared" si="9"/>
        <v>0</v>
      </c>
      <c r="T277" s="17" t="str">
        <f t="shared" si="10"/>
        <v/>
      </c>
      <c r="U277" s="17" t="str">
        <f t="shared" si="11"/>
        <v>ARC=0</v>
      </c>
      <c r="V277" s="17" t="str">
        <f t="shared" si="12"/>
        <v/>
      </c>
      <c r="W277" s="17" t="str">
        <f t="shared" si="13"/>
        <v/>
      </c>
      <c r="X277" s="13" t="str">
        <f t="shared" si="14"/>
        <v/>
      </c>
      <c r="AC277" s="15">
        <f t="shared" si="15"/>
        <v>0</v>
      </c>
      <c r="AD277" s="16" t="str">
        <f t="shared" si="16"/>
        <v/>
      </c>
      <c r="AE277" s="16" t="str">
        <f t="shared" si="17"/>
        <v>ARC=0</v>
      </c>
      <c r="AF277" s="16" t="str">
        <f t="shared" si="18"/>
        <v/>
      </c>
      <c r="AG277" s="16" t="str">
        <f t="shared" si="19"/>
        <v/>
      </c>
      <c r="AH277" s="13" t="str">
        <f t="shared" si="20"/>
        <v/>
      </c>
      <c r="AL277" s="18" t="str">
        <f t="shared" si="21"/>
        <v/>
      </c>
    </row>
    <row r="278" ht="15.75" customHeight="1">
      <c r="A278" s="11" t="s">
        <v>542</v>
      </c>
      <c r="B278" s="11">
        <v>2015.0</v>
      </c>
      <c r="C278" s="12" t="str">
        <f>VLOOKUP(A278, Regions!A:B, 2, FALSE)
</f>
        <v>Middle East &amp; North Africa</v>
      </c>
      <c r="D278" s="13">
        <f t="shared" si="1"/>
        <v>5</v>
      </c>
      <c r="E278" s="14">
        <f t="shared" si="2"/>
        <v>2017.5</v>
      </c>
      <c r="F278" s="11" t="s">
        <v>543</v>
      </c>
      <c r="G278" s="11">
        <v>60.80899811</v>
      </c>
      <c r="H278" s="11">
        <v>83.75113288</v>
      </c>
      <c r="I278" s="15">
        <f t="shared" si="3"/>
        <v>84</v>
      </c>
      <c r="J278" s="16" t="str">
        <f t="shared" si="4"/>
        <v/>
      </c>
      <c r="K278" s="16" t="str">
        <f t="shared" si="5"/>
        <v/>
      </c>
      <c r="L278" s="16" t="str">
        <f t="shared" si="6"/>
        <v/>
      </c>
      <c r="M278" s="16" t="str">
        <f t="shared" si="7"/>
        <v>ARC&gt;0</v>
      </c>
      <c r="N278" s="13">
        <f t="shared" si="8"/>
        <v>1.33024236</v>
      </c>
      <c r="O278" s="11">
        <v>5.937188415</v>
      </c>
      <c r="P278" s="11">
        <v>8.517881858</v>
      </c>
      <c r="Q278" s="11">
        <v>1.793796851</v>
      </c>
      <c r="R278" s="11">
        <v>64.17252874</v>
      </c>
      <c r="S278" s="15">
        <f t="shared" si="9"/>
        <v>64</v>
      </c>
      <c r="T278" s="17" t="str">
        <f t="shared" si="10"/>
        <v/>
      </c>
      <c r="U278" s="17" t="str">
        <f t="shared" si="11"/>
        <v/>
      </c>
      <c r="V278" s="17" t="str">
        <f t="shared" si="12"/>
        <v/>
      </c>
      <c r="W278" s="17" t="str">
        <f t="shared" si="13"/>
        <v>ARC&gt;0</v>
      </c>
      <c r="X278" s="13">
        <f t="shared" si="14"/>
        <v>2.634720044</v>
      </c>
      <c r="Y278" s="11">
        <v>12.25581871</v>
      </c>
      <c r="Z278" s="11">
        <v>19.02957964</v>
      </c>
      <c r="AA278" s="11">
        <v>4.542072914</v>
      </c>
      <c r="AB278" s="11">
        <v>96.36941502</v>
      </c>
      <c r="AC278" s="15">
        <f t="shared" si="15"/>
        <v>96</v>
      </c>
      <c r="AD278" s="16" t="str">
        <f t="shared" si="16"/>
        <v/>
      </c>
      <c r="AE278" s="16" t="str">
        <f t="shared" si="17"/>
        <v/>
      </c>
      <c r="AF278" s="16" t="str">
        <f t="shared" si="18"/>
        <v/>
      </c>
      <c r="AG278" s="16" t="str">
        <f t="shared" si="19"/>
        <v>ARC&gt;0</v>
      </c>
      <c r="AH278" s="13">
        <f t="shared" si="20"/>
        <v>0.305466198</v>
      </c>
      <c r="AI278" s="11">
        <v>1.864872571</v>
      </c>
      <c r="AJ278" s="11">
        <v>1.743161481</v>
      </c>
      <c r="AK278" s="11" t="s">
        <v>544</v>
      </c>
      <c r="AL278" s="18">
        <f t="shared" si="21"/>
        <v>2.329253846</v>
      </c>
    </row>
    <row r="279" ht="15.75" customHeight="1">
      <c r="A279" s="11" t="s">
        <v>542</v>
      </c>
      <c r="B279" s="11">
        <v>2020.0</v>
      </c>
      <c r="C279" s="12" t="str">
        <f>VLOOKUP(A279, Regions!A:B, 2, FALSE)
</f>
        <v>Middle East &amp; North Africa</v>
      </c>
      <c r="D279" s="13" t="str">
        <f t="shared" si="1"/>
        <v/>
      </c>
      <c r="E279" s="14" t="str">
        <f t="shared" si="2"/>
        <v/>
      </c>
      <c r="F279" s="11" t="s">
        <v>545</v>
      </c>
      <c r="G279" s="11">
        <v>63.53199768</v>
      </c>
      <c r="H279" s="11">
        <v>90.40234468</v>
      </c>
      <c r="I279" s="15">
        <f t="shared" si="3"/>
        <v>90</v>
      </c>
      <c r="J279" s="16" t="str">
        <f t="shared" si="4"/>
        <v/>
      </c>
      <c r="K279" s="16" t="str">
        <f t="shared" si="5"/>
        <v/>
      </c>
      <c r="L279" s="16" t="str">
        <f t="shared" si="6"/>
        <v/>
      </c>
      <c r="M279" s="16" t="str">
        <f t="shared" si="7"/>
        <v>ARC&gt;0</v>
      </c>
      <c r="N279" s="13" t="str">
        <f t="shared" si="8"/>
        <v/>
      </c>
      <c r="O279" s="11">
        <v>5.263549601</v>
      </c>
      <c r="P279" s="11">
        <v>2.8776725</v>
      </c>
      <c r="Q279" s="11">
        <v>1.456433219</v>
      </c>
      <c r="R279" s="11">
        <v>77.34612896</v>
      </c>
      <c r="S279" s="15">
        <f t="shared" si="9"/>
        <v>77</v>
      </c>
      <c r="T279" s="17" t="str">
        <f t="shared" si="10"/>
        <v/>
      </c>
      <c r="U279" s="17" t="str">
        <f t="shared" si="11"/>
        <v/>
      </c>
      <c r="V279" s="17" t="str">
        <f t="shared" si="12"/>
        <v/>
      </c>
      <c r="W279" s="17" t="str">
        <f t="shared" si="13"/>
        <v>ARC&gt;0</v>
      </c>
      <c r="X279" s="13" t="str">
        <f t="shared" si="14"/>
        <v/>
      </c>
      <c r="Y279" s="11">
        <v>12.03707816</v>
      </c>
      <c r="Z279" s="11">
        <v>6.623063373</v>
      </c>
      <c r="AA279" s="11">
        <v>3.993729502</v>
      </c>
      <c r="AB279" s="11">
        <v>97.89674601</v>
      </c>
      <c r="AC279" s="15">
        <f t="shared" si="15"/>
        <v>98</v>
      </c>
      <c r="AD279" s="16" t="str">
        <f t="shared" si="16"/>
        <v/>
      </c>
      <c r="AE279" s="16" t="str">
        <f t="shared" si="17"/>
        <v/>
      </c>
      <c r="AF279" s="16" t="str">
        <f t="shared" si="18"/>
        <v/>
      </c>
      <c r="AG279" s="16" t="str">
        <f t="shared" si="19"/>
        <v>ARC&gt;0</v>
      </c>
      <c r="AH279" s="13" t="str">
        <f t="shared" si="20"/>
        <v/>
      </c>
      <c r="AI279" s="11">
        <v>1.375477117</v>
      </c>
      <c r="AJ279" s="11">
        <v>0.7277768759</v>
      </c>
      <c r="AK279" s="11" t="s">
        <v>43</v>
      </c>
      <c r="AL279" s="18" t="str">
        <f t="shared" si="21"/>
        <v/>
      </c>
    </row>
    <row r="280" ht="15.75" customHeight="1">
      <c r="A280" s="11" t="s">
        <v>546</v>
      </c>
      <c r="B280" s="11">
        <v>2015.0</v>
      </c>
      <c r="C280" s="12" t="str">
        <f>VLOOKUP(A280, Regions!A:B, 2, FALSE)
</f>
        <v>Sub-Saharan Africa</v>
      </c>
      <c r="D280" s="13">
        <f t="shared" si="1"/>
        <v>5</v>
      </c>
      <c r="E280" s="14">
        <f t="shared" si="2"/>
        <v>2017.5</v>
      </c>
      <c r="F280" s="11" t="s">
        <v>547</v>
      </c>
      <c r="G280" s="11">
        <v>34.40000153</v>
      </c>
      <c r="H280" s="11">
        <v>51.17617521</v>
      </c>
      <c r="I280" s="15">
        <f t="shared" si="3"/>
        <v>51</v>
      </c>
      <c r="J280" s="16" t="str">
        <f t="shared" si="4"/>
        <v/>
      </c>
      <c r="K280" s="16" t="str">
        <f t="shared" si="5"/>
        <v/>
      </c>
      <c r="L280" s="16" t="str">
        <f t="shared" si="6"/>
        <v/>
      </c>
      <c r="M280" s="16" t="str">
        <f t="shared" si="7"/>
        <v>ARC&gt;0</v>
      </c>
      <c r="N280" s="13">
        <f t="shared" si="8"/>
        <v>2.438650084</v>
      </c>
      <c r="O280" s="11">
        <v>10.3714084</v>
      </c>
      <c r="P280" s="11">
        <v>26.51349315</v>
      </c>
      <c r="Q280" s="11">
        <v>11.93892324</v>
      </c>
      <c r="R280" s="11">
        <v>35.97137876</v>
      </c>
      <c r="S280" s="15">
        <f t="shared" si="9"/>
        <v>36</v>
      </c>
      <c r="T280" s="17" t="str">
        <f t="shared" si="10"/>
        <v/>
      </c>
      <c r="U280" s="17" t="str">
        <f t="shared" si="11"/>
        <v/>
      </c>
      <c r="V280" s="17" t="str">
        <f t="shared" si="12"/>
        <v/>
      </c>
      <c r="W280" s="17" t="str">
        <f t="shared" si="13"/>
        <v>ARC&gt;0</v>
      </c>
      <c r="X280" s="13">
        <f t="shared" si="14"/>
        <v>2.579061548</v>
      </c>
      <c r="Y280" s="11">
        <v>12.36707992</v>
      </c>
      <c r="Z280" s="11">
        <v>34.81487395</v>
      </c>
      <c r="AA280" s="11">
        <v>16.84666736</v>
      </c>
      <c r="AB280" s="11">
        <v>80.17136583</v>
      </c>
      <c r="AC280" s="15">
        <f t="shared" si="15"/>
        <v>80</v>
      </c>
      <c r="AD280" s="16" t="str">
        <f t="shared" si="16"/>
        <v/>
      </c>
      <c r="AE280" s="16" t="str">
        <f t="shared" si="17"/>
        <v/>
      </c>
      <c r="AF280" s="16" t="str">
        <f t="shared" si="18"/>
        <v/>
      </c>
      <c r="AG280" s="16" t="str">
        <f t="shared" si="19"/>
        <v>ARC&gt;0</v>
      </c>
      <c r="AH280" s="13">
        <f t="shared" si="20"/>
        <v>1.562736418</v>
      </c>
      <c r="AI280" s="11">
        <v>6.565709571</v>
      </c>
      <c r="AJ280" s="11">
        <v>10.68295442</v>
      </c>
      <c r="AK280" s="11" t="s">
        <v>548</v>
      </c>
      <c r="AL280" s="18">
        <f t="shared" si="21"/>
        <v>1.01632513</v>
      </c>
    </row>
    <row r="281" ht="15.75" customHeight="1">
      <c r="A281" s="11" t="s">
        <v>546</v>
      </c>
      <c r="B281" s="11">
        <v>2020.0</v>
      </c>
      <c r="C281" s="12" t="str">
        <f>VLOOKUP(A281, Regions!A:B, 2, FALSE)
</f>
        <v>Sub-Saharan Africa</v>
      </c>
      <c r="D281" s="13" t="str">
        <f t="shared" si="1"/>
        <v/>
      </c>
      <c r="E281" s="14" t="str">
        <f t="shared" si="2"/>
        <v/>
      </c>
      <c r="F281" s="11" t="s">
        <v>549</v>
      </c>
      <c r="G281" s="11">
        <v>37.0739975</v>
      </c>
      <c r="H281" s="11">
        <v>63.36942563</v>
      </c>
      <c r="I281" s="15">
        <f t="shared" si="3"/>
        <v>63</v>
      </c>
      <c r="J281" s="16" t="str">
        <f t="shared" si="4"/>
        <v/>
      </c>
      <c r="K281" s="16" t="str">
        <f t="shared" si="5"/>
        <v/>
      </c>
      <c r="L281" s="16" t="str">
        <f t="shared" si="6"/>
        <v/>
      </c>
      <c r="M281" s="16" t="str">
        <f t="shared" si="7"/>
        <v>ARC&gt;0</v>
      </c>
      <c r="N281" s="13" t="str">
        <f t="shared" si="8"/>
        <v/>
      </c>
      <c r="O281" s="11">
        <v>9.975784507</v>
      </c>
      <c r="P281" s="11">
        <v>16.72614511</v>
      </c>
      <c r="Q281" s="11">
        <v>9.928644759</v>
      </c>
      <c r="R281" s="11">
        <v>48.8666865</v>
      </c>
      <c r="S281" s="15">
        <f t="shared" si="9"/>
        <v>49</v>
      </c>
      <c r="T281" s="17" t="str">
        <f t="shared" si="10"/>
        <v/>
      </c>
      <c r="U281" s="17" t="str">
        <f t="shared" si="11"/>
        <v/>
      </c>
      <c r="V281" s="17" t="str">
        <f t="shared" si="12"/>
        <v/>
      </c>
      <c r="W281" s="17" t="str">
        <f t="shared" si="13"/>
        <v>ARC&gt;0</v>
      </c>
      <c r="X281" s="13" t="str">
        <f t="shared" si="14"/>
        <v/>
      </c>
      <c r="Y281" s="11">
        <v>12.64088359</v>
      </c>
      <c r="Z281" s="11">
        <v>23.6862564</v>
      </c>
      <c r="AA281" s="11">
        <v>14.80617352</v>
      </c>
      <c r="AB281" s="11">
        <v>87.98504792</v>
      </c>
      <c r="AC281" s="15">
        <f t="shared" si="15"/>
        <v>88</v>
      </c>
      <c r="AD281" s="16" t="str">
        <f t="shared" si="16"/>
        <v/>
      </c>
      <c r="AE281" s="16" t="str">
        <f t="shared" si="17"/>
        <v/>
      </c>
      <c r="AF281" s="16" t="str">
        <f t="shared" si="18"/>
        <v/>
      </c>
      <c r="AG281" s="16" t="str">
        <f t="shared" si="19"/>
        <v>ARC&gt;0</v>
      </c>
      <c r="AH281" s="13" t="str">
        <f t="shared" si="20"/>
        <v/>
      </c>
      <c r="AI281" s="11">
        <v>5.452291027</v>
      </c>
      <c r="AJ281" s="11">
        <v>4.912684644</v>
      </c>
      <c r="AK281" s="11" t="s">
        <v>550</v>
      </c>
      <c r="AL281" s="18" t="str">
        <f t="shared" si="21"/>
        <v/>
      </c>
    </row>
    <row r="282" ht="15.75" customHeight="1">
      <c r="A282" s="11" t="s">
        <v>551</v>
      </c>
      <c r="B282" s="11">
        <v>2015.0</v>
      </c>
      <c r="C282" s="12" t="str">
        <f>VLOOKUP(A282, Regions!A:B, 2, FALSE)
</f>
        <v>East Asia &amp; Pacific</v>
      </c>
      <c r="D282" s="13">
        <f t="shared" si="1"/>
        <v>5</v>
      </c>
      <c r="E282" s="14">
        <f t="shared" si="2"/>
        <v>2017.5</v>
      </c>
      <c r="F282" s="11" t="s">
        <v>552</v>
      </c>
      <c r="G282" s="11">
        <v>29.8579998</v>
      </c>
      <c r="H282" s="11">
        <v>73.5874705</v>
      </c>
      <c r="I282" s="15">
        <f t="shared" si="3"/>
        <v>74</v>
      </c>
      <c r="J282" s="16" t="str">
        <f t="shared" si="4"/>
        <v/>
      </c>
      <c r="K282" s="16" t="str">
        <f t="shared" si="5"/>
        <v/>
      </c>
      <c r="L282" s="16" t="str">
        <f t="shared" si="6"/>
        <v/>
      </c>
      <c r="M282" s="16" t="str">
        <f t="shared" si="7"/>
        <v>ARC&gt;0</v>
      </c>
      <c r="N282" s="13">
        <f t="shared" si="8"/>
        <v>2.026144282</v>
      </c>
      <c r="O282" s="11">
        <v>6.835532269</v>
      </c>
      <c r="P282" s="11">
        <v>8.269037119</v>
      </c>
      <c r="Q282" s="11">
        <v>11.30796011</v>
      </c>
      <c r="R282" s="11">
        <v>67.24961354</v>
      </c>
      <c r="S282" s="15">
        <f t="shared" si="9"/>
        <v>67</v>
      </c>
      <c r="T282" s="17" t="str">
        <f t="shared" si="10"/>
        <v/>
      </c>
      <c r="U282" s="17" t="str">
        <f t="shared" si="11"/>
        <v/>
      </c>
      <c r="V282" s="17" t="str">
        <f t="shared" si="12"/>
        <v/>
      </c>
      <c r="W282" s="17" t="str">
        <f t="shared" si="13"/>
        <v>ARC&gt;0</v>
      </c>
      <c r="X282" s="13">
        <f t="shared" si="14"/>
        <v>2.23459023</v>
      </c>
      <c r="Y282" s="11">
        <v>8.042280354</v>
      </c>
      <c r="Z282" s="11">
        <v>10.1459869</v>
      </c>
      <c r="AA282" s="11">
        <v>14.56211921</v>
      </c>
      <c r="AB282" s="11">
        <v>88.47627629</v>
      </c>
      <c r="AC282" s="15">
        <f t="shared" si="15"/>
        <v>88</v>
      </c>
      <c r="AD282" s="16" t="str">
        <f t="shared" si="16"/>
        <v/>
      </c>
      <c r="AE282" s="16" t="str">
        <f t="shared" si="17"/>
        <v/>
      </c>
      <c r="AF282" s="16" t="str">
        <f t="shared" si="18"/>
        <v/>
      </c>
      <c r="AG282" s="16" t="str">
        <f t="shared" si="19"/>
        <v>ARC&gt;0</v>
      </c>
      <c r="AH282" s="13">
        <f t="shared" si="20"/>
        <v>1.390321954</v>
      </c>
      <c r="AI282" s="11">
        <v>4.000656379</v>
      </c>
      <c r="AJ282" s="11">
        <v>3.859732696</v>
      </c>
      <c r="AK282" s="11" t="s">
        <v>553</v>
      </c>
      <c r="AL282" s="18">
        <f t="shared" si="21"/>
        <v>0.844268276</v>
      </c>
    </row>
    <row r="283" ht="15.75" customHeight="1">
      <c r="A283" s="11" t="s">
        <v>551</v>
      </c>
      <c r="B283" s="11">
        <v>2020.0</v>
      </c>
      <c r="C283" s="12" t="str">
        <f>VLOOKUP(A283, Regions!A:B, 2, FALSE)
</f>
        <v>East Asia &amp; Pacific</v>
      </c>
      <c r="D283" s="13" t="str">
        <f t="shared" si="1"/>
        <v/>
      </c>
      <c r="E283" s="14" t="str">
        <f t="shared" si="2"/>
        <v/>
      </c>
      <c r="F283" s="11" t="s">
        <v>554</v>
      </c>
      <c r="G283" s="11">
        <v>31.14100075</v>
      </c>
      <c r="H283" s="11">
        <v>83.71819191</v>
      </c>
      <c r="I283" s="15">
        <f t="shared" si="3"/>
        <v>84</v>
      </c>
      <c r="J283" s="16" t="str">
        <f t="shared" si="4"/>
        <v/>
      </c>
      <c r="K283" s="16" t="str">
        <f t="shared" si="5"/>
        <v/>
      </c>
      <c r="L283" s="16" t="str">
        <f t="shared" si="6"/>
        <v/>
      </c>
      <c r="M283" s="16" t="str">
        <f t="shared" si="7"/>
        <v>ARC&gt;0</v>
      </c>
      <c r="N283" s="13" t="str">
        <f t="shared" si="8"/>
        <v/>
      </c>
      <c r="O283" s="11">
        <v>1.595436949</v>
      </c>
      <c r="P283" s="11">
        <v>5.10942478</v>
      </c>
      <c r="Q283" s="11">
        <v>9.576946362</v>
      </c>
      <c r="R283" s="11">
        <v>78.42256469</v>
      </c>
      <c r="S283" s="15">
        <f t="shared" si="9"/>
        <v>78</v>
      </c>
      <c r="T283" s="17" t="str">
        <f t="shared" si="10"/>
        <v/>
      </c>
      <c r="U283" s="17" t="str">
        <f t="shared" si="11"/>
        <v/>
      </c>
      <c r="V283" s="17" t="str">
        <f t="shared" si="12"/>
        <v/>
      </c>
      <c r="W283" s="17" t="str">
        <f t="shared" si="13"/>
        <v>ARC&gt;0</v>
      </c>
      <c r="X283" s="13" t="str">
        <f t="shared" si="14"/>
        <v/>
      </c>
      <c r="Y283" s="11">
        <v>2.316962142</v>
      </c>
      <c r="Z283" s="11">
        <v>6.592393694</v>
      </c>
      <c r="AA283" s="11">
        <v>12.66807947</v>
      </c>
      <c r="AB283" s="11">
        <v>95.42788606</v>
      </c>
      <c r="AC283" s="15">
        <f t="shared" si="15"/>
        <v>95</v>
      </c>
      <c r="AD283" s="16" t="str">
        <f t="shared" si="16"/>
        <v/>
      </c>
      <c r="AE283" s="16" t="str">
        <f t="shared" si="17"/>
        <v/>
      </c>
      <c r="AF283" s="16" t="str">
        <f t="shared" si="18"/>
        <v/>
      </c>
      <c r="AG283" s="16" t="str">
        <f t="shared" si="19"/>
        <v>ARC&gt;0</v>
      </c>
      <c r="AH283" s="13" t="str">
        <f t="shared" si="20"/>
        <v/>
      </c>
      <c r="AI283" s="11">
        <v>0.0</v>
      </c>
      <c r="AJ283" s="11">
        <v>1.830283006</v>
      </c>
      <c r="AK283" s="11" t="s">
        <v>555</v>
      </c>
      <c r="AL283" s="18" t="str">
        <f t="shared" si="21"/>
        <v/>
      </c>
    </row>
    <row r="284" ht="15.75" customHeight="1">
      <c r="A284" s="11" t="s">
        <v>556</v>
      </c>
      <c r="B284" s="11">
        <v>2015.0</v>
      </c>
      <c r="C284" s="12" t="str">
        <f>VLOOKUP(A284, Regions!A:B, 2, FALSE)
</f>
        <v>Sub-Saharan Africa</v>
      </c>
      <c r="D284" s="13">
        <f t="shared" si="1"/>
        <v>5</v>
      </c>
      <c r="E284" s="14">
        <f t="shared" si="2"/>
        <v>2017.5</v>
      </c>
      <c r="F284" s="11" t="s">
        <v>557</v>
      </c>
      <c r="G284" s="11">
        <v>46.90000534</v>
      </c>
      <c r="H284" s="11">
        <v>82.52413515</v>
      </c>
      <c r="I284" s="15">
        <f t="shared" si="3"/>
        <v>83</v>
      </c>
      <c r="J284" s="16" t="str">
        <f t="shared" si="4"/>
        <v/>
      </c>
      <c r="K284" s="16" t="str">
        <f t="shared" si="5"/>
        <v/>
      </c>
      <c r="L284" s="16" t="str">
        <f t="shared" si="6"/>
        <v/>
      </c>
      <c r="M284" s="16" t="str">
        <f t="shared" si="7"/>
        <v>ARC&gt;0</v>
      </c>
      <c r="N284" s="13">
        <f t="shared" si="8"/>
        <v>0.349180226</v>
      </c>
      <c r="O284" s="11">
        <v>7.275476154</v>
      </c>
      <c r="P284" s="11">
        <v>4.416461411</v>
      </c>
      <c r="Q284" s="11">
        <v>5.783927281</v>
      </c>
      <c r="R284" s="11">
        <v>70.14103138</v>
      </c>
      <c r="S284" s="15">
        <f t="shared" si="9"/>
        <v>70</v>
      </c>
      <c r="T284" s="17" t="str">
        <f t="shared" si="10"/>
        <v/>
      </c>
      <c r="U284" s="17" t="str">
        <f t="shared" si="11"/>
        <v/>
      </c>
      <c r="V284" s="17" t="str">
        <f t="shared" si="12"/>
        <v/>
      </c>
      <c r="W284" s="17" t="str">
        <f t="shared" si="13"/>
        <v>ARC&gt;0</v>
      </c>
      <c r="X284" s="13">
        <f t="shared" si="14"/>
        <v>0.22302721</v>
      </c>
      <c r="Y284" s="11">
        <v>11.72007222</v>
      </c>
      <c r="Z284" s="11">
        <v>7.614389637</v>
      </c>
      <c r="AA284" s="11">
        <v>10.52450676</v>
      </c>
      <c r="AB284" s="11">
        <v>96.54423562</v>
      </c>
      <c r="AC284" s="15">
        <f t="shared" si="15"/>
        <v>97</v>
      </c>
      <c r="AD284" s="16" t="str">
        <f t="shared" si="16"/>
        <v/>
      </c>
      <c r="AE284" s="16" t="str">
        <f t="shared" si="17"/>
        <v/>
      </c>
      <c r="AF284" s="16" t="str">
        <f t="shared" si="18"/>
        <v/>
      </c>
      <c r="AG284" s="16" t="str">
        <f t="shared" si="19"/>
        <v>ARC&gt;0</v>
      </c>
      <c r="AH284" s="13">
        <f t="shared" si="20"/>
        <v>-0.055454054</v>
      </c>
      <c r="AI284" s="11">
        <v>2.243322298</v>
      </c>
      <c r="AJ284" s="11">
        <v>0.7957798889</v>
      </c>
      <c r="AK284" s="11" t="s">
        <v>558</v>
      </c>
      <c r="AL284" s="18">
        <f t="shared" si="21"/>
        <v>0.278481264</v>
      </c>
    </row>
    <row r="285" ht="15.75" customHeight="1">
      <c r="A285" s="11" t="s">
        <v>556</v>
      </c>
      <c r="B285" s="11">
        <v>2020.0</v>
      </c>
      <c r="C285" s="12" t="str">
        <f>VLOOKUP(A285, Regions!A:B, 2, FALSE)
</f>
        <v>Sub-Saharan Africa</v>
      </c>
      <c r="D285" s="13" t="str">
        <f t="shared" si="1"/>
        <v/>
      </c>
      <c r="E285" s="14" t="str">
        <f t="shared" si="2"/>
        <v/>
      </c>
      <c r="F285" s="11" t="s">
        <v>559</v>
      </c>
      <c r="G285" s="11">
        <v>52.03300095</v>
      </c>
      <c r="H285" s="11">
        <v>84.27003628</v>
      </c>
      <c r="I285" s="15">
        <f t="shared" si="3"/>
        <v>84</v>
      </c>
      <c r="J285" s="16" t="str">
        <f t="shared" si="4"/>
        <v/>
      </c>
      <c r="K285" s="16" t="str">
        <f t="shared" si="5"/>
        <v/>
      </c>
      <c r="L285" s="16" t="str">
        <f t="shared" si="6"/>
        <v/>
      </c>
      <c r="M285" s="16" t="str">
        <f t="shared" si="7"/>
        <v>ARC&gt;0</v>
      </c>
      <c r="N285" s="13" t="str">
        <f t="shared" si="8"/>
        <v/>
      </c>
      <c r="O285" s="11">
        <v>7.08762751</v>
      </c>
      <c r="P285" s="11">
        <v>3.740143722</v>
      </c>
      <c r="Q285" s="11">
        <v>4.902192485</v>
      </c>
      <c r="R285" s="11">
        <v>71.25616743</v>
      </c>
      <c r="S285" s="15">
        <f t="shared" si="9"/>
        <v>71</v>
      </c>
      <c r="T285" s="17" t="str">
        <f t="shared" si="10"/>
        <v/>
      </c>
      <c r="U285" s="17" t="str">
        <f t="shared" si="11"/>
        <v/>
      </c>
      <c r="V285" s="17" t="str">
        <f t="shared" si="12"/>
        <v/>
      </c>
      <c r="W285" s="17" t="str">
        <f t="shared" si="13"/>
        <v>ARC&gt;0</v>
      </c>
      <c r="X285" s="13" t="str">
        <f t="shared" si="14"/>
        <v/>
      </c>
      <c r="Y285" s="11">
        <v>11.97218925</v>
      </c>
      <c r="Z285" s="11">
        <v>7.081803759</v>
      </c>
      <c r="AA285" s="11">
        <v>9.689839563</v>
      </c>
      <c r="AB285" s="11">
        <v>96.26696535</v>
      </c>
      <c r="AC285" s="15">
        <f t="shared" si="15"/>
        <v>96</v>
      </c>
      <c r="AD285" s="16" t="str">
        <f t="shared" si="16"/>
        <v/>
      </c>
      <c r="AE285" s="16" t="str">
        <f t="shared" si="17"/>
        <v/>
      </c>
      <c r="AF285" s="16" t="str">
        <f t="shared" si="18"/>
        <v/>
      </c>
      <c r="AG285" s="16" t="str">
        <f t="shared" si="19"/>
        <v>ARC&gt;0</v>
      </c>
      <c r="AH285" s="13" t="str">
        <f t="shared" si="20"/>
        <v/>
      </c>
      <c r="AI285" s="11">
        <v>2.584758965</v>
      </c>
      <c r="AJ285" s="11">
        <v>0.6596102638</v>
      </c>
      <c r="AK285" s="11" t="s">
        <v>560</v>
      </c>
      <c r="AL285" s="18" t="str">
        <f t="shared" si="21"/>
        <v/>
      </c>
    </row>
    <row r="286" ht="15.75" customHeight="1">
      <c r="A286" s="11" t="s">
        <v>561</v>
      </c>
      <c r="B286" s="11">
        <v>2015.0</v>
      </c>
      <c r="C286" s="12" t="str">
        <f>VLOOKUP(A286, Regions!A:B, 2, FALSE)
</f>
        <v>East Asia &amp; Pacific</v>
      </c>
      <c r="D286" s="13">
        <f t="shared" si="1"/>
        <v>5</v>
      </c>
      <c r="E286" s="14">
        <f t="shared" si="2"/>
        <v>2017.5</v>
      </c>
      <c r="F286" s="11" t="s">
        <v>562</v>
      </c>
      <c r="G286" s="11">
        <v>100.0</v>
      </c>
      <c r="H286" s="11">
        <v>100.0</v>
      </c>
      <c r="I286" s="15">
        <f t="shared" si="3"/>
        <v>100</v>
      </c>
      <c r="J286" s="16" t="str">
        <f t="shared" si="4"/>
        <v>full access</v>
      </c>
      <c r="K286" s="16" t="str">
        <f t="shared" si="5"/>
        <v/>
      </c>
      <c r="L286" s="16" t="str">
        <f t="shared" si="6"/>
        <v/>
      </c>
      <c r="M286" s="16" t="str">
        <f t="shared" si="7"/>
        <v/>
      </c>
      <c r="N286" s="13">
        <f t="shared" si="8"/>
        <v>0</v>
      </c>
      <c r="O286" s="11">
        <v>0.0</v>
      </c>
      <c r="P286" s="11">
        <v>0.0</v>
      </c>
      <c r="Q286" s="11">
        <v>0.0</v>
      </c>
      <c r="S286" s="15">
        <f t="shared" si="9"/>
        <v>0</v>
      </c>
      <c r="T286" s="17" t="str">
        <f t="shared" si="10"/>
        <v/>
      </c>
      <c r="U286" s="17" t="str">
        <f t="shared" si="11"/>
        <v>ARC=0</v>
      </c>
      <c r="V286" s="17" t="str">
        <f t="shared" si="12"/>
        <v/>
      </c>
      <c r="W286" s="17" t="str">
        <f t="shared" si="13"/>
        <v/>
      </c>
      <c r="X286" s="13">
        <f t="shared" si="14"/>
        <v>0</v>
      </c>
      <c r="AB286" s="11">
        <v>100.0</v>
      </c>
      <c r="AC286" s="15">
        <f t="shared" si="15"/>
        <v>100</v>
      </c>
      <c r="AD286" s="16" t="str">
        <f t="shared" si="16"/>
        <v>full access</v>
      </c>
      <c r="AE286" s="16" t="str">
        <f t="shared" si="17"/>
        <v/>
      </c>
      <c r="AF286" s="16" t="str">
        <f t="shared" si="18"/>
        <v/>
      </c>
      <c r="AG286" s="16" t="str">
        <f t="shared" si="19"/>
        <v>ARC&gt;0</v>
      </c>
      <c r="AH286" s="13">
        <f t="shared" si="20"/>
        <v>0</v>
      </c>
      <c r="AI286" s="11">
        <v>0.0</v>
      </c>
      <c r="AJ286" s="11">
        <v>0.0</v>
      </c>
      <c r="AK286" s="11" t="s">
        <v>43</v>
      </c>
      <c r="AL286" s="18">
        <f t="shared" si="21"/>
        <v>0</v>
      </c>
    </row>
    <row r="287" ht="15.75" customHeight="1">
      <c r="A287" s="11" t="s">
        <v>561</v>
      </c>
      <c r="B287" s="11">
        <v>2020.0</v>
      </c>
      <c r="C287" s="12" t="str">
        <f>VLOOKUP(A287, Regions!A:B, 2, FALSE)
</f>
        <v>East Asia &amp; Pacific</v>
      </c>
      <c r="D287" s="13" t="str">
        <f t="shared" si="1"/>
        <v/>
      </c>
      <c r="E287" s="14" t="str">
        <f t="shared" si="2"/>
        <v/>
      </c>
      <c r="F287" s="11" t="s">
        <v>563</v>
      </c>
      <c r="G287" s="11">
        <v>100.0</v>
      </c>
      <c r="H287" s="11">
        <v>100.0</v>
      </c>
      <c r="I287" s="15">
        <f t="shared" si="3"/>
        <v>100</v>
      </c>
      <c r="J287" s="16" t="str">
        <f t="shared" si="4"/>
        <v/>
      </c>
      <c r="K287" s="16" t="str">
        <f t="shared" si="5"/>
        <v/>
      </c>
      <c r="L287" s="16" t="str">
        <f t="shared" si="6"/>
        <v/>
      </c>
      <c r="M287" s="16" t="str">
        <f t="shared" si="7"/>
        <v>ARC&gt;0</v>
      </c>
      <c r="N287" s="13" t="str">
        <f t="shared" si="8"/>
        <v/>
      </c>
      <c r="O287" s="11">
        <v>0.0</v>
      </c>
      <c r="P287" s="11">
        <v>0.0</v>
      </c>
      <c r="Q287" s="11">
        <v>0.0</v>
      </c>
      <c r="S287" s="15">
        <f t="shared" si="9"/>
        <v>0</v>
      </c>
      <c r="T287" s="17" t="str">
        <f t="shared" si="10"/>
        <v/>
      </c>
      <c r="U287" s="17" t="str">
        <f t="shared" si="11"/>
        <v>ARC=0</v>
      </c>
      <c r="V287" s="17" t="str">
        <f t="shared" si="12"/>
        <v/>
      </c>
      <c r="W287" s="17" t="str">
        <f t="shared" si="13"/>
        <v/>
      </c>
      <c r="X287" s="13" t="str">
        <f t="shared" si="14"/>
        <v/>
      </c>
      <c r="AB287" s="11">
        <v>100.0</v>
      </c>
      <c r="AC287" s="15">
        <f t="shared" si="15"/>
        <v>100</v>
      </c>
      <c r="AD287" s="16" t="str">
        <f t="shared" si="16"/>
        <v/>
      </c>
      <c r="AE287" s="16" t="str">
        <f t="shared" si="17"/>
        <v/>
      </c>
      <c r="AF287" s="16" t="str">
        <f t="shared" si="18"/>
        <v/>
      </c>
      <c r="AG287" s="16" t="str">
        <f t="shared" si="19"/>
        <v>ARC&gt;0</v>
      </c>
      <c r="AH287" s="13" t="str">
        <f t="shared" si="20"/>
        <v/>
      </c>
      <c r="AI287" s="11">
        <v>0.0</v>
      </c>
      <c r="AJ287" s="11">
        <v>0.0</v>
      </c>
      <c r="AK287" s="11" t="s">
        <v>43</v>
      </c>
      <c r="AL287" s="18" t="str">
        <f t="shared" si="21"/>
        <v/>
      </c>
    </row>
    <row r="288" ht="15.75" customHeight="1">
      <c r="A288" s="11" t="s">
        <v>564</v>
      </c>
      <c r="B288" s="11">
        <v>2015.0</v>
      </c>
      <c r="C288" s="12" t="str">
        <f>VLOOKUP(A288, Regions!A:B, 2, FALSE)
</f>
        <v>South Asia</v>
      </c>
      <c r="D288" s="13">
        <f t="shared" si="1"/>
        <v>5</v>
      </c>
      <c r="E288" s="14">
        <f t="shared" si="2"/>
        <v>2017.5</v>
      </c>
      <c r="F288" s="11" t="s">
        <v>565</v>
      </c>
      <c r="G288" s="11">
        <v>18.55699921</v>
      </c>
      <c r="H288" s="11">
        <v>87.80846759</v>
      </c>
      <c r="I288" s="15">
        <f t="shared" si="3"/>
        <v>88</v>
      </c>
      <c r="J288" s="16" t="str">
        <f t="shared" si="4"/>
        <v/>
      </c>
      <c r="K288" s="16" t="str">
        <f t="shared" si="5"/>
        <v/>
      </c>
      <c r="L288" s="16" t="str">
        <f t="shared" si="6"/>
        <v/>
      </c>
      <c r="M288" s="16" t="str">
        <f t="shared" si="7"/>
        <v>ARC&gt;0</v>
      </c>
      <c r="N288" s="13">
        <f t="shared" si="8"/>
        <v>0.45321484</v>
      </c>
      <c r="O288" s="11">
        <v>3.167904459</v>
      </c>
      <c r="P288" s="11">
        <v>7.264208528</v>
      </c>
      <c r="Q288" s="11">
        <v>1.759419423</v>
      </c>
      <c r="R288" s="11">
        <v>87.24197964</v>
      </c>
      <c r="S288" s="15">
        <f t="shared" si="9"/>
        <v>87</v>
      </c>
      <c r="T288" s="17" t="str">
        <f t="shared" si="10"/>
        <v/>
      </c>
      <c r="U288" s="17" t="str">
        <f t="shared" si="11"/>
        <v/>
      </c>
      <c r="V288" s="17" t="str">
        <f t="shared" si="12"/>
        <v/>
      </c>
      <c r="W288" s="17" t="str">
        <f t="shared" si="13"/>
        <v>ARC&gt;0</v>
      </c>
      <c r="X288" s="13">
        <f t="shared" si="14"/>
        <v>0.592258402</v>
      </c>
      <c r="Y288" s="11">
        <v>3.310271258</v>
      </c>
      <c r="Z288" s="11">
        <v>7.531317484</v>
      </c>
      <c r="AA288" s="11">
        <v>1.916431618</v>
      </c>
      <c r="AB288" s="11">
        <v>90.2946711</v>
      </c>
      <c r="AC288" s="15">
        <f t="shared" si="15"/>
        <v>90</v>
      </c>
      <c r="AD288" s="16" t="str">
        <f t="shared" si="16"/>
        <v/>
      </c>
      <c r="AE288" s="16" t="str">
        <f t="shared" si="17"/>
        <v/>
      </c>
      <c r="AF288" s="16" t="str">
        <f t="shared" si="18"/>
        <v/>
      </c>
      <c r="AG288" s="16" t="str">
        <f t="shared" si="19"/>
        <v>ARC&gt;0</v>
      </c>
      <c r="AH288" s="13">
        <f t="shared" si="20"/>
        <v>-0.143407588</v>
      </c>
      <c r="AI288" s="11">
        <v>2.543084752</v>
      </c>
      <c r="AJ288" s="11">
        <v>6.091920182</v>
      </c>
      <c r="AK288" s="11" t="s">
        <v>566</v>
      </c>
      <c r="AL288" s="18">
        <f t="shared" si="21"/>
        <v>0.73566599</v>
      </c>
    </row>
    <row r="289" ht="15.75" customHeight="1">
      <c r="A289" s="11" t="s">
        <v>564</v>
      </c>
      <c r="B289" s="11">
        <v>2020.0</v>
      </c>
      <c r="C289" s="12" t="str">
        <f>VLOOKUP(A289, Regions!A:B, 2, FALSE)
</f>
        <v>South Asia</v>
      </c>
      <c r="D289" s="13" t="str">
        <f t="shared" si="1"/>
        <v/>
      </c>
      <c r="E289" s="14" t="str">
        <f t="shared" si="2"/>
        <v/>
      </c>
      <c r="F289" s="11" t="s">
        <v>567</v>
      </c>
      <c r="G289" s="11">
        <v>20.57600021</v>
      </c>
      <c r="H289" s="11">
        <v>90.07454179</v>
      </c>
      <c r="I289" s="15">
        <f t="shared" si="3"/>
        <v>90</v>
      </c>
      <c r="J289" s="16" t="str">
        <f t="shared" si="4"/>
        <v/>
      </c>
      <c r="K289" s="16" t="str">
        <f t="shared" si="5"/>
        <v/>
      </c>
      <c r="L289" s="16" t="str">
        <f t="shared" si="6"/>
        <v/>
      </c>
      <c r="M289" s="16" t="str">
        <f t="shared" si="7"/>
        <v>ARC&gt;0</v>
      </c>
      <c r="N289" s="13" t="str">
        <f t="shared" si="8"/>
        <v/>
      </c>
      <c r="O289" s="11">
        <v>3.979825725</v>
      </c>
      <c r="P289" s="11">
        <v>4.699081176</v>
      </c>
      <c r="Q289" s="11">
        <v>1.246551314</v>
      </c>
      <c r="R289" s="11">
        <v>90.20327165</v>
      </c>
      <c r="S289" s="15">
        <f t="shared" si="9"/>
        <v>90</v>
      </c>
      <c r="T289" s="17" t="str">
        <f t="shared" si="10"/>
        <v/>
      </c>
      <c r="U289" s="17" t="str">
        <f t="shared" si="11"/>
        <v/>
      </c>
      <c r="V289" s="17" t="str">
        <f t="shared" si="12"/>
        <v/>
      </c>
      <c r="W289" s="17" t="str">
        <f t="shared" si="13"/>
        <v>ARC&gt;0</v>
      </c>
      <c r="X289" s="13" t="str">
        <f t="shared" si="14"/>
        <v/>
      </c>
      <c r="Y289" s="11">
        <v>4.207348246</v>
      </c>
      <c r="Z289" s="11">
        <v>4.269023951</v>
      </c>
      <c r="AA289" s="11">
        <v>1.320356149</v>
      </c>
      <c r="AB289" s="11">
        <v>89.57763316</v>
      </c>
      <c r="AC289" s="15">
        <f t="shared" si="15"/>
        <v>90</v>
      </c>
      <c r="AD289" s="16" t="str">
        <f t="shared" si="16"/>
        <v/>
      </c>
      <c r="AE289" s="16" t="str">
        <f t="shared" si="17"/>
        <v/>
      </c>
      <c r="AF289" s="16" t="str">
        <f t="shared" si="18"/>
        <v/>
      </c>
      <c r="AG289" s="16" t="str">
        <f t="shared" si="19"/>
        <v>ARC&gt;0</v>
      </c>
      <c r="AH289" s="13" t="str">
        <f t="shared" si="20"/>
        <v/>
      </c>
      <c r="AI289" s="11">
        <v>3.101581411</v>
      </c>
      <c r="AJ289" s="11">
        <v>6.359123168</v>
      </c>
      <c r="AK289" s="11" t="s">
        <v>568</v>
      </c>
      <c r="AL289" s="18" t="str">
        <f t="shared" si="21"/>
        <v/>
      </c>
    </row>
    <row r="290" ht="15.75" customHeight="1">
      <c r="A290" s="11" t="s">
        <v>569</v>
      </c>
      <c r="B290" s="11">
        <v>2015.0</v>
      </c>
      <c r="C290" s="12" t="str">
        <f>VLOOKUP(A290, Regions!A:B, 2, FALSE)
</f>
        <v>Europe &amp; Central Asia</v>
      </c>
      <c r="D290" s="13">
        <f t="shared" si="1"/>
        <v>5</v>
      </c>
      <c r="E290" s="14">
        <f t="shared" si="2"/>
        <v>2017.5</v>
      </c>
      <c r="F290" s="11" t="s">
        <v>570</v>
      </c>
      <c r="G290" s="11">
        <v>90.17299652</v>
      </c>
      <c r="H290" s="11">
        <v>99.99999856</v>
      </c>
      <c r="I290" s="15">
        <f t="shared" si="3"/>
        <v>100</v>
      </c>
      <c r="J290" s="16" t="str">
        <f t="shared" si="4"/>
        <v>full access</v>
      </c>
      <c r="K290" s="16" t="str">
        <f t="shared" si="5"/>
        <v/>
      </c>
      <c r="L290" s="16" t="str">
        <f t="shared" si="6"/>
        <v/>
      </c>
      <c r="M290" s="16" t="str">
        <f t="shared" si="7"/>
        <v/>
      </c>
      <c r="N290" s="13">
        <f t="shared" si="8"/>
        <v>0.0000001460000021</v>
      </c>
      <c r="O290" s="11">
        <v>0.0</v>
      </c>
      <c r="P290" s="11">
        <v>1.441336238E-6</v>
      </c>
      <c r="Q290" s="11">
        <v>0.0</v>
      </c>
      <c r="R290" s="11">
        <v>100.0</v>
      </c>
      <c r="S290" s="15">
        <f t="shared" si="9"/>
        <v>100</v>
      </c>
      <c r="T290" s="17" t="str">
        <f t="shared" si="10"/>
        <v>full access</v>
      </c>
      <c r="U290" s="17" t="str">
        <f t="shared" si="11"/>
        <v/>
      </c>
      <c r="V290" s="17" t="str">
        <f t="shared" si="12"/>
        <v/>
      </c>
      <c r="W290" s="17" t="str">
        <f t="shared" si="13"/>
        <v>ARC&gt;0</v>
      </c>
      <c r="X290" s="13">
        <f t="shared" si="14"/>
        <v>0</v>
      </c>
      <c r="Y290" s="11">
        <v>0.0</v>
      </c>
      <c r="Z290" s="11">
        <v>0.0</v>
      </c>
      <c r="AA290" s="11">
        <v>0.0</v>
      </c>
      <c r="AB290" s="11">
        <v>100.0</v>
      </c>
      <c r="AC290" s="15">
        <f t="shared" si="15"/>
        <v>100</v>
      </c>
      <c r="AD290" s="16" t="str">
        <f t="shared" si="16"/>
        <v>full access</v>
      </c>
      <c r="AE290" s="16" t="str">
        <f t="shared" si="17"/>
        <v/>
      </c>
      <c r="AF290" s="16" t="str">
        <f t="shared" si="18"/>
        <v/>
      </c>
      <c r="AG290" s="16" t="str">
        <f t="shared" si="19"/>
        <v>ARC&gt;0</v>
      </c>
      <c r="AH290" s="13">
        <f t="shared" si="20"/>
        <v>0</v>
      </c>
      <c r="AI290" s="11">
        <v>0.0</v>
      </c>
      <c r="AJ290" s="11">
        <v>0.0</v>
      </c>
      <c r="AK290" s="11" t="s">
        <v>43</v>
      </c>
      <c r="AL290" s="18">
        <f t="shared" si="21"/>
        <v>0</v>
      </c>
    </row>
    <row r="291" ht="15.75" customHeight="1">
      <c r="A291" s="11" t="s">
        <v>569</v>
      </c>
      <c r="B291" s="11">
        <v>2020.0</v>
      </c>
      <c r="C291" s="12" t="str">
        <f>VLOOKUP(A291, Regions!A:B, 2, FALSE)
</f>
        <v>Europe &amp; Central Asia</v>
      </c>
      <c r="D291" s="13" t="str">
        <f t="shared" si="1"/>
        <v/>
      </c>
      <c r="E291" s="14" t="str">
        <f t="shared" si="2"/>
        <v/>
      </c>
      <c r="F291" s="11" t="s">
        <v>571</v>
      </c>
      <c r="G291" s="11">
        <v>92.23600006</v>
      </c>
      <c r="H291" s="11">
        <v>99.99999929</v>
      </c>
      <c r="I291" s="15">
        <f t="shared" si="3"/>
        <v>100</v>
      </c>
      <c r="J291" s="16" t="str">
        <f t="shared" si="4"/>
        <v/>
      </c>
      <c r="K291" s="16" t="str">
        <f t="shared" si="5"/>
        <v/>
      </c>
      <c r="L291" s="16" t="str">
        <f t="shared" si="6"/>
        <v/>
      </c>
      <c r="M291" s="16" t="str">
        <f t="shared" si="7"/>
        <v>ARC&gt;0</v>
      </c>
      <c r="N291" s="13" t="str">
        <f t="shared" si="8"/>
        <v/>
      </c>
      <c r="O291" s="11">
        <v>0.0</v>
      </c>
      <c r="P291" s="11">
        <v>7.12408621E-7</v>
      </c>
      <c r="Q291" s="11">
        <v>0.0</v>
      </c>
      <c r="R291" s="11">
        <v>100.0</v>
      </c>
      <c r="S291" s="15">
        <f t="shared" si="9"/>
        <v>100</v>
      </c>
      <c r="T291" s="17" t="str">
        <f t="shared" si="10"/>
        <v/>
      </c>
      <c r="U291" s="17" t="str">
        <f t="shared" si="11"/>
        <v/>
      </c>
      <c r="V291" s="17" t="str">
        <f t="shared" si="12"/>
        <v/>
      </c>
      <c r="W291" s="17" t="str">
        <f t="shared" si="13"/>
        <v>ARC&gt;0</v>
      </c>
      <c r="X291" s="13" t="str">
        <f t="shared" si="14"/>
        <v/>
      </c>
      <c r="Y291" s="11">
        <v>0.0</v>
      </c>
      <c r="Z291" s="11">
        <v>0.0</v>
      </c>
      <c r="AA291" s="11">
        <v>0.0</v>
      </c>
      <c r="AB291" s="11">
        <v>100.0</v>
      </c>
      <c r="AC291" s="15">
        <f t="shared" si="15"/>
        <v>100</v>
      </c>
      <c r="AD291" s="16" t="str">
        <f t="shared" si="16"/>
        <v/>
      </c>
      <c r="AE291" s="16" t="str">
        <f t="shared" si="17"/>
        <v/>
      </c>
      <c r="AF291" s="16" t="str">
        <f t="shared" si="18"/>
        <v/>
      </c>
      <c r="AG291" s="16" t="str">
        <f t="shared" si="19"/>
        <v>ARC&gt;0</v>
      </c>
      <c r="AH291" s="13" t="str">
        <f t="shared" si="20"/>
        <v/>
      </c>
      <c r="AI291" s="11">
        <v>0.0</v>
      </c>
      <c r="AJ291" s="11">
        <v>0.0</v>
      </c>
      <c r="AK291" s="11" t="s">
        <v>43</v>
      </c>
      <c r="AL291" s="18" t="str">
        <f t="shared" si="21"/>
        <v/>
      </c>
    </row>
    <row r="292" ht="15.75" customHeight="1">
      <c r="A292" s="11" t="s">
        <v>572</v>
      </c>
      <c r="B292" s="11">
        <v>2015.0</v>
      </c>
      <c r="C292" s="12" t="str">
        <f>VLOOKUP(A292, Regions!A:B, 2, FALSE)
</f>
        <v>East Asia &amp; Pacific</v>
      </c>
      <c r="D292" s="13">
        <f t="shared" si="1"/>
        <v>5</v>
      </c>
      <c r="E292" s="14">
        <f t="shared" si="2"/>
        <v>2017.5</v>
      </c>
      <c r="F292" s="11" t="s">
        <v>573</v>
      </c>
      <c r="G292" s="11">
        <v>69.37900543</v>
      </c>
      <c r="H292" s="11">
        <v>98.13855849</v>
      </c>
      <c r="I292" s="15">
        <f t="shared" si="3"/>
        <v>98</v>
      </c>
      <c r="J292" s="16" t="str">
        <f t="shared" si="4"/>
        <v/>
      </c>
      <c r="K292" s="16" t="str">
        <f t="shared" si="5"/>
        <v/>
      </c>
      <c r="L292" s="16" t="str">
        <f t="shared" si="6"/>
        <v/>
      </c>
      <c r="M292" s="16" t="str">
        <f t="shared" si="7"/>
        <v>ARC&gt;0</v>
      </c>
      <c r="N292" s="13">
        <f t="shared" si="8"/>
        <v>0.233352416</v>
      </c>
      <c r="O292" s="11">
        <v>0.0</v>
      </c>
      <c r="P292" s="11">
        <v>1.861441508</v>
      </c>
      <c r="Q292" s="11">
        <v>0.0</v>
      </c>
      <c r="S292" s="15">
        <f t="shared" si="9"/>
        <v>0</v>
      </c>
      <c r="T292" s="17" t="str">
        <f t="shared" si="10"/>
        <v/>
      </c>
      <c r="U292" s="17" t="str">
        <f t="shared" si="11"/>
        <v>ARC=0</v>
      </c>
      <c r="V292" s="17" t="str">
        <f t="shared" si="12"/>
        <v/>
      </c>
      <c r="W292" s="17" t="str">
        <f t="shared" si="13"/>
        <v/>
      </c>
      <c r="X292" s="13">
        <f t="shared" si="14"/>
        <v>0</v>
      </c>
      <c r="AC292" s="15">
        <f t="shared" si="15"/>
        <v>0</v>
      </c>
      <c r="AD292" s="16" t="str">
        <f t="shared" si="16"/>
        <v/>
      </c>
      <c r="AE292" s="16" t="str">
        <f t="shared" si="17"/>
        <v>ARC=0</v>
      </c>
      <c r="AF292" s="16" t="str">
        <f t="shared" si="18"/>
        <v/>
      </c>
      <c r="AG292" s="16" t="str">
        <f t="shared" si="19"/>
        <v/>
      </c>
      <c r="AH292" s="13">
        <f t="shared" si="20"/>
        <v>0</v>
      </c>
      <c r="AL292" s="18">
        <f t="shared" si="21"/>
        <v>0</v>
      </c>
    </row>
    <row r="293" ht="15.75" customHeight="1">
      <c r="A293" s="11" t="s">
        <v>572</v>
      </c>
      <c r="B293" s="11">
        <v>2020.0</v>
      </c>
      <c r="C293" s="12" t="str">
        <f>VLOOKUP(A293, Regions!A:B, 2, FALSE)
</f>
        <v>East Asia &amp; Pacific</v>
      </c>
      <c r="D293" s="13" t="str">
        <f t="shared" si="1"/>
        <v/>
      </c>
      <c r="E293" s="14" t="str">
        <f t="shared" si="2"/>
        <v/>
      </c>
      <c r="F293" s="11" t="s">
        <v>574</v>
      </c>
      <c r="G293" s="11">
        <v>71.51799774</v>
      </c>
      <c r="H293" s="11">
        <v>99.30532057</v>
      </c>
      <c r="I293" s="15">
        <f t="shared" si="3"/>
        <v>99</v>
      </c>
      <c r="J293" s="16" t="str">
        <f t="shared" si="4"/>
        <v/>
      </c>
      <c r="K293" s="16" t="str">
        <f t="shared" si="5"/>
        <v/>
      </c>
      <c r="L293" s="16" t="str">
        <f t="shared" si="6"/>
        <v/>
      </c>
      <c r="M293" s="16" t="str">
        <f t="shared" si="7"/>
        <v>ARC&gt;0</v>
      </c>
      <c r="N293" s="13" t="str">
        <f t="shared" si="8"/>
        <v/>
      </c>
      <c r="O293" s="11">
        <v>0.0</v>
      </c>
      <c r="P293" s="11">
        <v>0.6946794278</v>
      </c>
      <c r="Q293" s="11">
        <v>0.0</v>
      </c>
      <c r="S293" s="15">
        <f t="shared" si="9"/>
        <v>0</v>
      </c>
      <c r="T293" s="17" t="str">
        <f t="shared" si="10"/>
        <v/>
      </c>
      <c r="U293" s="17" t="str">
        <f t="shared" si="11"/>
        <v>ARC=0</v>
      </c>
      <c r="V293" s="17" t="str">
        <f t="shared" si="12"/>
        <v/>
      </c>
      <c r="W293" s="17" t="str">
        <f t="shared" si="13"/>
        <v/>
      </c>
      <c r="X293" s="13" t="str">
        <f t="shared" si="14"/>
        <v/>
      </c>
      <c r="AC293" s="15">
        <f t="shared" si="15"/>
        <v>0</v>
      </c>
      <c r="AD293" s="16" t="str">
        <f t="shared" si="16"/>
        <v/>
      </c>
      <c r="AE293" s="16" t="str">
        <f t="shared" si="17"/>
        <v>ARC=0</v>
      </c>
      <c r="AF293" s="16" t="str">
        <f t="shared" si="18"/>
        <v/>
      </c>
      <c r="AG293" s="16" t="str">
        <f t="shared" si="19"/>
        <v/>
      </c>
      <c r="AH293" s="13" t="str">
        <f t="shared" si="20"/>
        <v/>
      </c>
      <c r="AL293" s="18" t="str">
        <f t="shared" si="21"/>
        <v/>
      </c>
    </row>
    <row r="294" ht="15.75" customHeight="1">
      <c r="A294" s="11" t="s">
        <v>575</v>
      </c>
      <c r="B294" s="11">
        <v>2015.0</v>
      </c>
      <c r="C294" s="12" t="str">
        <f>VLOOKUP(A294, Regions!A:B, 2, FALSE)
</f>
        <v>East Asia &amp; Pacific</v>
      </c>
      <c r="D294" s="13">
        <f t="shared" si="1"/>
        <v>5</v>
      </c>
      <c r="E294" s="14">
        <f t="shared" si="2"/>
        <v>2017.5</v>
      </c>
      <c r="F294" s="11" t="s">
        <v>576</v>
      </c>
      <c r="G294" s="11">
        <v>86.34099579</v>
      </c>
      <c r="H294" s="11">
        <v>99.99999735</v>
      </c>
      <c r="I294" s="15">
        <f t="shared" si="3"/>
        <v>100</v>
      </c>
      <c r="J294" s="16" t="str">
        <f t="shared" si="4"/>
        <v>full access</v>
      </c>
      <c r="K294" s="16" t="str">
        <f t="shared" si="5"/>
        <v/>
      </c>
      <c r="L294" s="16" t="str">
        <f t="shared" si="6"/>
        <v/>
      </c>
      <c r="M294" s="16" t="str">
        <f t="shared" si="7"/>
        <v/>
      </c>
      <c r="N294" s="13">
        <f t="shared" si="8"/>
        <v>0.0000007899999986</v>
      </c>
      <c r="O294" s="11">
        <v>0.0</v>
      </c>
      <c r="P294" s="11">
        <v>2.645348403E-6</v>
      </c>
      <c r="Q294" s="11">
        <v>0.0</v>
      </c>
      <c r="R294" s="11">
        <v>100.0</v>
      </c>
      <c r="S294" s="15">
        <f t="shared" si="9"/>
        <v>100</v>
      </c>
      <c r="T294" s="17" t="str">
        <f t="shared" si="10"/>
        <v>full access</v>
      </c>
      <c r="U294" s="17" t="str">
        <f t="shared" si="11"/>
        <v/>
      </c>
      <c r="V294" s="17" t="str">
        <f t="shared" si="12"/>
        <v/>
      </c>
      <c r="W294" s="17" t="str">
        <f t="shared" si="13"/>
        <v>ARC&gt;0</v>
      </c>
      <c r="X294" s="13">
        <f t="shared" si="14"/>
        <v>0</v>
      </c>
      <c r="Y294" s="11">
        <v>0.0</v>
      </c>
      <c r="Z294" s="11">
        <v>0.0</v>
      </c>
      <c r="AA294" s="11">
        <v>0.0</v>
      </c>
      <c r="AB294" s="11">
        <v>100.0</v>
      </c>
      <c r="AC294" s="15">
        <f t="shared" si="15"/>
        <v>100</v>
      </c>
      <c r="AD294" s="16" t="str">
        <f t="shared" si="16"/>
        <v>full access</v>
      </c>
      <c r="AE294" s="16" t="str">
        <f t="shared" si="17"/>
        <v/>
      </c>
      <c r="AF294" s="16" t="str">
        <f t="shared" si="18"/>
        <v/>
      </c>
      <c r="AG294" s="16" t="str">
        <f t="shared" si="19"/>
        <v>ARC&gt;0</v>
      </c>
      <c r="AH294" s="13">
        <f t="shared" si="20"/>
        <v>0</v>
      </c>
      <c r="AI294" s="11">
        <v>0.0</v>
      </c>
      <c r="AJ294" s="11">
        <v>0.0</v>
      </c>
      <c r="AK294" s="11" t="s">
        <v>43</v>
      </c>
      <c r="AL294" s="18">
        <f t="shared" si="21"/>
        <v>0</v>
      </c>
    </row>
    <row r="295" ht="15.75" customHeight="1">
      <c r="A295" s="11" t="s">
        <v>575</v>
      </c>
      <c r="B295" s="11">
        <v>2020.0</v>
      </c>
      <c r="C295" s="12" t="str">
        <f>VLOOKUP(A295, Regions!A:B, 2, FALSE)
</f>
        <v>East Asia &amp; Pacific</v>
      </c>
      <c r="D295" s="13" t="str">
        <f t="shared" si="1"/>
        <v/>
      </c>
      <c r="E295" s="14" t="str">
        <f t="shared" si="2"/>
        <v/>
      </c>
      <c r="F295" s="11" t="s">
        <v>577</v>
      </c>
      <c r="G295" s="11">
        <v>86.6989975</v>
      </c>
      <c r="H295" s="11">
        <v>100.0000013</v>
      </c>
      <c r="I295" s="15">
        <f t="shared" si="3"/>
        <v>100</v>
      </c>
      <c r="J295" s="16" t="str">
        <f t="shared" si="4"/>
        <v/>
      </c>
      <c r="K295" s="16" t="str">
        <f t="shared" si="5"/>
        <v/>
      </c>
      <c r="L295" s="16" t="str">
        <f t="shared" si="6"/>
        <v/>
      </c>
      <c r="M295" s="16" t="str">
        <f t="shared" si="7"/>
        <v>ARC&gt;0</v>
      </c>
      <c r="N295" s="13" t="str">
        <f t="shared" si="8"/>
        <v/>
      </c>
      <c r="O295" s="11">
        <v>0.0</v>
      </c>
      <c r="P295" s="11">
        <v>0.0</v>
      </c>
      <c r="Q295" s="11">
        <v>0.0</v>
      </c>
      <c r="R295" s="11">
        <v>100.0</v>
      </c>
      <c r="S295" s="15">
        <f t="shared" si="9"/>
        <v>100</v>
      </c>
      <c r="T295" s="17" t="str">
        <f t="shared" si="10"/>
        <v/>
      </c>
      <c r="U295" s="17" t="str">
        <f t="shared" si="11"/>
        <v/>
      </c>
      <c r="V295" s="17" t="str">
        <f t="shared" si="12"/>
        <v/>
      </c>
      <c r="W295" s="17" t="str">
        <f t="shared" si="13"/>
        <v>ARC&gt;0</v>
      </c>
      <c r="X295" s="13" t="str">
        <f t="shared" si="14"/>
        <v/>
      </c>
      <c r="Y295" s="11">
        <v>0.0</v>
      </c>
      <c r="Z295" s="11">
        <v>0.0</v>
      </c>
      <c r="AA295" s="11">
        <v>0.0</v>
      </c>
      <c r="AB295" s="11">
        <v>100.0</v>
      </c>
      <c r="AC295" s="15">
        <f t="shared" si="15"/>
        <v>100</v>
      </c>
      <c r="AD295" s="16" t="str">
        <f t="shared" si="16"/>
        <v/>
      </c>
      <c r="AE295" s="16" t="str">
        <f t="shared" si="17"/>
        <v/>
      </c>
      <c r="AF295" s="16" t="str">
        <f t="shared" si="18"/>
        <v/>
      </c>
      <c r="AG295" s="16" t="str">
        <f t="shared" si="19"/>
        <v>ARC&gt;0</v>
      </c>
      <c r="AH295" s="13" t="str">
        <f t="shared" si="20"/>
        <v/>
      </c>
      <c r="AI295" s="11">
        <v>0.0</v>
      </c>
      <c r="AJ295" s="11">
        <v>0.0</v>
      </c>
      <c r="AK295" s="11" t="s">
        <v>43</v>
      </c>
      <c r="AL295" s="18" t="str">
        <f t="shared" si="21"/>
        <v/>
      </c>
    </row>
    <row r="296" ht="15.75" customHeight="1">
      <c r="A296" s="11" t="s">
        <v>578</v>
      </c>
      <c r="B296" s="11">
        <v>2015.0</v>
      </c>
      <c r="C296" s="12" t="str">
        <f>VLOOKUP(A296, Regions!A:B, 2, FALSE)
</f>
        <v>Latin America &amp; Caribbean</v>
      </c>
      <c r="D296" s="13">
        <f t="shared" si="1"/>
        <v>5</v>
      </c>
      <c r="E296" s="14">
        <f t="shared" si="2"/>
        <v>2017.5</v>
      </c>
      <c r="F296" s="11" t="s">
        <v>579</v>
      </c>
      <c r="G296" s="11">
        <v>57.89499664</v>
      </c>
      <c r="H296" s="11">
        <v>81.35312854</v>
      </c>
      <c r="I296" s="15">
        <f t="shared" si="3"/>
        <v>81</v>
      </c>
      <c r="J296" s="16" t="str">
        <f t="shared" si="4"/>
        <v/>
      </c>
      <c r="K296" s="16" t="str">
        <f t="shared" si="5"/>
        <v/>
      </c>
      <c r="L296" s="16" t="str">
        <f t="shared" si="6"/>
        <v/>
      </c>
      <c r="M296" s="16" t="str">
        <f t="shared" si="7"/>
        <v>ARC&gt;0</v>
      </c>
      <c r="N296" s="13">
        <f t="shared" si="8"/>
        <v>0.071125052</v>
      </c>
      <c r="O296" s="11">
        <v>1.425927388</v>
      </c>
      <c r="P296" s="11">
        <v>13.835759</v>
      </c>
      <c r="Q296" s="11">
        <v>3.38518507</v>
      </c>
      <c r="R296" s="11">
        <v>59.50465784</v>
      </c>
      <c r="S296" s="15">
        <f t="shared" si="9"/>
        <v>60</v>
      </c>
      <c r="T296" s="17" t="str">
        <f t="shared" si="10"/>
        <v/>
      </c>
      <c r="U296" s="17" t="str">
        <f t="shared" si="11"/>
        <v/>
      </c>
      <c r="V296" s="17" t="str">
        <f t="shared" si="12"/>
        <v/>
      </c>
      <c r="W296" s="17" t="str">
        <f t="shared" si="13"/>
        <v>ARC&gt;0</v>
      </c>
      <c r="X296" s="13">
        <f t="shared" si="14"/>
        <v>-0.079442242</v>
      </c>
      <c r="Y296" s="11">
        <v>3.238961865</v>
      </c>
      <c r="Z296" s="11">
        <v>29.55960602</v>
      </c>
      <c r="AA296" s="11">
        <v>7.696774271</v>
      </c>
      <c r="AB296" s="11">
        <v>97.24275488</v>
      </c>
      <c r="AC296" s="15">
        <f t="shared" si="15"/>
        <v>97</v>
      </c>
      <c r="AD296" s="16" t="str">
        <f t="shared" si="16"/>
        <v/>
      </c>
      <c r="AE296" s="16" t="str">
        <f t="shared" si="17"/>
        <v/>
      </c>
      <c r="AF296" s="16" t="str">
        <f t="shared" si="18"/>
        <v/>
      </c>
      <c r="AG296" s="16" t="str">
        <f t="shared" si="19"/>
        <v>ARC&gt;0</v>
      </c>
      <c r="AH296" s="13">
        <f t="shared" si="20"/>
        <v>0.032840346</v>
      </c>
      <c r="AI296" s="11">
        <v>0.1073710103</v>
      </c>
      <c r="AJ296" s="11">
        <v>2.400356622</v>
      </c>
      <c r="AK296" s="11" t="s">
        <v>580</v>
      </c>
      <c r="AL296" s="18">
        <f t="shared" si="21"/>
        <v>-0.112282588</v>
      </c>
    </row>
    <row r="297" ht="15.75" customHeight="1">
      <c r="A297" s="11" t="s">
        <v>578</v>
      </c>
      <c r="B297" s="11">
        <v>2020.0</v>
      </c>
      <c r="C297" s="12" t="str">
        <f>VLOOKUP(A297, Regions!A:B, 2, FALSE)
</f>
        <v>Latin America &amp; Caribbean</v>
      </c>
      <c r="D297" s="13" t="str">
        <f t="shared" si="1"/>
        <v/>
      </c>
      <c r="E297" s="14" t="str">
        <f t="shared" si="2"/>
        <v/>
      </c>
      <c r="F297" s="11" t="s">
        <v>581</v>
      </c>
      <c r="G297" s="11">
        <v>59.01200104</v>
      </c>
      <c r="H297" s="11">
        <v>81.7087538</v>
      </c>
      <c r="I297" s="15">
        <f t="shared" si="3"/>
        <v>82</v>
      </c>
      <c r="J297" s="16" t="str">
        <f t="shared" si="4"/>
        <v/>
      </c>
      <c r="K297" s="16" t="str">
        <f t="shared" si="5"/>
        <v/>
      </c>
      <c r="L297" s="16" t="str">
        <f t="shared" si="6"/>
        <v/>
      </c>
      <c r="M297" s="16" t="str">
        <f t="shared" si="7"/>
        <v>ARC&gt;0</v>
      </c>
      <c r="N297" s="13" t="str">
        <f t="shared" si="8"/>
        <v/>
      </c>
      <c r="O297" s="11">
        <v>1.506645682</v>
      </c>
      <c r="P297" s="11">
        <v>13.53053114</v>
      </c>
      <c r="Q297" s="11">
        <v>3.254069378</v>
      </c>
      <c r="R297" s="11">
        <v>59.10744663</v>
      </c>
      <c r="S297" s="15">
        <f t="shared" si="9"/>
        <v>59</v>
      </c>
      <c r="T297" s="17" t="str">
        <f t="shared" si="10"/>
        <v/>
      </c>
      <c r="U297" s="17" t="str">
        <f t="shared" si="11"/>
        <v/>
      </c>
      <c r="V297" s="17" t="str">
        <f t="shared" si="12"/>
        <v/>
      </c>
      <c r="W297" s="17" t="str">
        <f t="shared" si="13"/>
        <v>ARC&gt;0</v>
      </c>
      <c r="X297" s="13" t="str">
        <f t="shared" si="14"/>
        <v/>
      </c>
      <c r="Y297" s="11">
        <v>3.520974285</v>
      </c>
      <c r="Z297" s="11">
        <v>29.78017368</v>
      </c>
      <c r="AA297" s="11">
        <v>7.5914054</v>
      </c>
      <c r="AB297" s="11">
        <v>97.40695661</v>
      </c>
      <c r="AC297" s="15">
        <f t="shared" si="15"/>
        <v>97</v>
      </c>
      <c r="AD297" s="16" t="str">
        <f t="shared" si="16"/>
        <v/>
      </c>
      <c r="AE297" s="16" t="str">
        <f t="shared" si="17"/>
        <v/>
      </c>
      <c r="AF297" s="16" t="str">
        <f t="shared" si="18"/>
        <v/>
      </c>
      <c r="AG297" s="16" t="str">
        <f t="shared" si="19"/>
        <v>ARC&gt;0</v>
      </c>
      <c r="AH297" s="13" t="str">
        <f t="shared" si="20"/>
        <v/>
      </c>
      <c r="AI297" s="11">
        <v>0.1075523143</v>
      </c>
      <c r="AJ297" s="11">
        <v>2.244007656</v>
      </c>
      <c r="AK297" s="11" t="s">
        <v>582</v>
      </c>
      <c r="AL297" s="18" t="str">
        <f t="shared" si="21"/>
        <v/>
      </c>
    </row>
    <row r="298" ht="15.75" customHeight="1">
      <c r="A298" s="11" t="s">
        <v>583</v>
      </c>
      <c r="B298" s="11">
        <v>2015.0</v>
      </c>
      <c r="C298" s="12" t="str">
        <f>VLOOKUP(A298, Regions!A:B, 2, FALSE)
</f>
        <v>Sub-Saharan Africa</v>
      </c>
      <c r="D298" s="13">
        <f t="shared" si="1"/>
        <v>5</v>
      </c>
      <c r="E298" s="14">
        <f t="shared" si="2"/>
        <v>2017.5</v>
      </c>
      <c r="F298" s="11" t="s">
        <v>584</v>
      </c>
      <c r="G298" s="11">
        <v>16.24699974</v>
      </c>
      <c r="H298" s="11">
        <v>45.48245806</v>
      </c>
      <c r="I298" s="15">
        <f t="shared" si="3"/>
        <v>45</v>
      </c>
      <c r="J298" s="16" t="str">
        <f t="shared" si="4"/>
        <v/>
      </c>
      <c r="K298" s="16" t="str">
        <f t="shared" si="5"/>
        <v/>
      </c>
      <c r="L298" s="16" t="str">
        <f t="shared" si="6"/>
        <v/>
      </c>
      <c r="M298" s="16" t="str">
        <f t="shared" si="7"/>
        <v>ARC&gt;0</v>
      </c>
      <c r="N298" s="13">
        <f t="shared" si="8"/>
        <v>0.285867882</v>
      </c>
      <c r="O298" s="11">
        <v>16.12883696</v>
      </c>
      <c r="P298" s="11">
        <v>34.71956001</v>
      </c>
      <c r="Q298" s="11">
        <v>3.669144972</v>
      </c>
      <c r="R298" s="11">
        <v>37.32994165</v>
      </c>
      <c r="S298" s="15">
        <f t="shared" si="9"/>
        <v>37</v>
      </c>
      <c r="T298" s="17" t="str">
        <f t="shared" si="10"/>
        <v/>
      </c>
      <c r="U298" s="17" t="str">
        <f t="shared" si="11"/>
        <v/>
      </c>
      <c r="V298" s="17" t="str">
        <f t="shared" si="12"/>
        <v/>
      </c>
      <c r="W298" s="17" t="str">
        <f t="shared" si="13"/>
        <v>ARC&gt;0</v>
      </c>
      <c r="X298" s="13">
        <f t="shared" si="14"/>
        <v>0.364843534</v>
      </c>
      <c r="Y298" s="11">
        <v>17.64359486</v>
      </c>
      <c r="Z298" s="11">
        <v>40.88848775</v>
      </c>
      <c r="AA298" s="11">
        <v>4.137975751</v>
      </c>
      <c r="AB298" s="11">
        <v>87.50853904</v>
      </c>
      <c r="AC298" s="15">
        <f t="shared" si="15"/>
        <v>88</v>
      </c>
      <c r="AD298" s="16" t="str">
        <f t="shared" si="16"/>
        <v/>
      </c>
      <c r="AE298" s="16" t="str">
        <f t="shared" si="17"/>
        <v/>
      </c>
      <c r="AF298" s="16" t="str">
        <f t="shared" si="18"/>
        <v/>
      </c>
      <c r="AG298" s="16" t="str">
        <f t="shared" si="19"/>
        <v>ARC&gt;0</v>
      </c>
      <c r="AH298" s="13">
        <f t="shared" si="20"/>
        <v>-0.338939856</v>
      </c>
      <c r="AI298" s="11">
        <v>8.320286196</v>
      </c>
      <c r="AJ298" s="11">
        <v>2.918844344</v>
      </c>
      <c r="AK298" s="11" t="s">
        <v>585</v>
      </c>
      <c r="AL298" s="18">
        <f t="shared" si="21"/>
        <v>0.70378339</v>
      </c>
    </row>
    <row r="299" ht="15.75" customHeight="1">
      <c r="A299" s="11" t="s">
        <v>583</v>
      </c>
      <c r="B299" s="11">
        <v>2020.0</v>
      </c>
      <c r="C299" s="12" t="str">
        <f>VLOOKUP(A299, Regions!A:B, 2, FALSE)
</f>
        <v>Sub-Saharan Africa</v>
      </c>
      <c r="D299" s="13" t="str">
        <f t="shared" si="1"/>
        <v/>
      </c>
      <c r="E299" s="14" t="str">
        <f t="shared" si="2"/>
        <v/>
      </c>
      <c r="F299" s="11" t="s">
        <v>586</v>
      </c>
      <c r="G299" s="11">
        <v>16.62599945</v>
      </c>
      <c r="H299" s="11">
        <v>46.91179747</v>
      </c>
      <c r="I299" s="15">
        <f t="shared" si="3"/>
        <v>47</v>
      </c>
      <c r="J299" s="16" t="str">
        <f t="shared" si="4"/>
        <v/>
      </c>
      <c r="K299" s="16" t="str">
        <f t="shared" si="5"/>
        <v/>
      </c>
      <c r="L299" s="16" t="str">
        <f t="shared" si="6"/>
        <v/>
      </c>
      <c r="M299" s="16" t="str">
        <f t="shared" si="7"/>
        <v>ARC&gt;0</v>
      </c>
      <c r="N299" s="13" t="str">
        <f t="shared" si="8"/>
        <v/>
      </c>
      <c r="O299" s="11">
        <v>21.6538987</v>
      </c>
      <c r="P299" s="11">
        <v>27.02751244</v>
      </c>
      <c r="Q299" s="11">
        <v>4.406791392</v>
      </c>
      <c r="R299" s="11">
        <v>39.15415932</v>
      </c>
      <c r="S299" s="15">
        <f t="shared" si="9"/>
        <v>39</v>
      </c>
      <c r="T299" s="17" t="str">
        <f t="shared" si="10"/>
        <v/>
      </c>
      <c r="U299" s="17" t="str">
        <f t="shared" si="11"/>
        <v/>
      </c>
      <c r="V299" s="17" t="str">
        <f t="shared" si="12"/>
        <v/>
      </c>
      <c r="W299" s="17" t="str">
        <f t="shared" si="13"/>
        <v>ARC&gt;0</v>
      </c>
      <c r="X299" s="13" t="str">
        <f t="shared" si="14"/>
        <v/>
      </c>
      <c r="Y299" s="11">
        <v>23.98774039</v>
      </c>
      <c r="Z299" s="11">
        <v>31.99150648</v>
      </c>
      <c r="AA299" s="11">
        <v>4.866593813</v>
      </c>
      <c r="AB299" s="11">
        <v>85.81383976</v>
      </c>
      <c r="AC299" s="15">
        <f t="shared" si="15"/>
        <v>86</v>
      </c>
      <c r="AD299" s="16" t="str">
        <f t="shared" si="16"/>
        <v/>
      </c>
      <c r="AE299" s="16" t="str">
        <f t="shared" si="17"/>
        <v/>
      </c>
      <c r="AF299" s="16" t="str">
        <f t="shared" si="18"/>
        <v/>
      </c>
      <c r="AG299" s="16" t="str">
        <f t="shared" si="19"/>
        <v>ARC&gt;0</v>
      </c>
      <c r="AH299" s="13" t="str">
        <f t="shared" si="20"/>
        <v/>
      </c>
      <c r="AI299" s="11">
        <v>9.950440829</v>
      </c>
      <c r="AJ299" s="11">
        <v>2.13468778</v>
      </c>
      <c r="AK299" s="11" t="s">
        <v>587</v>
      </c>
      <c r="AL299" s="18" t="str">
        <f t="shared" si="21"/>
        <v/>
      </c>
    </row>
    <row r="300" ht="15.75" customHeight="1">
      <c r="A300" s="11" t="s">
        <v>588</v>
      </c>
      <c r="B300" s="11">
        <v>2015.0</v>
      </c>
      <c r="C300" s="12" t="str">
        <f>VLOOKUP(A300, Regions!A:B, 2, FALSE)
</f>
        <v>Sub-Saharan Africa</v>
      </c>
      <c r="D300" s="13">
        <f t="shared" si="1"/>
        <v>5</v>
      </c>
      <c r="E300" s="14">
        <f t="shared" si="2"/>
        <v>2017.5</v>
      </c>
      <c r="F300" s="11" t="s">
        <v>589</v>
      </c>
      <c r="G300" s="11">
        <v>47.83799744</v>
      </c>
      <c r="H300" s="11">
        <v>68.77975546</v>
      </c>
      <c r="I300" s="15">
        <f t="shared" si="3"/>
        <v>69</v>
      </c>
      <c r="J300" s="16" t="str">
        <f t="shared" si="4"/>
        <v/>
      </c>
      <c r="K300" s="16" t="str">
        <f t="shared" si="5"/>
        <v/>
      </c>
      <c r="L300" s="16" t="str">
        <f t="shared" si="6"/>
        <v/>
      </c>
      <c r="M300" s="16" t="str">
        <f t="shared" si="7"/>
        <v>ARC&gt;0</v>
      </c>
      <c r="N300" s="13">
        <f t="shared" si="8"/>
        <v>1.765859584</v>
      </c>
      <c r="O300" s="11">
        <v>6.713550996</v>
      </c>
      <c r="P300" s="11">
        <v>14.73376246</v>
      </c>
      <c r="Q300" s="11">
        <v>9.772931086</v>
      </c>
      <c r="R300" s="11">
        <v>53.492449</v>
      </c>
      <c r="S300" s="15">
        <f t="shared" si="9"/>
        <v>53</v>
      </c>
      <c r="T300" s="17" t="str">
        <f t="shared" si="10"/>
        <v/>
      </c>
      <c r="U300" s="17" t="str">
        <f t="shared" si="11"/>
        <v/>
      </c>
      <c r="V300" s="17" t="str">
        <f t="shared" si="12"/>
        <v/>
      </c>
      <c r="W300" s="17" t="str">
        <f t="shared" si="13"/>
        <v>ARC&gt;0</v>
      </c>
      <c r="X300" s="13">
        <f t="shared" si="14"/>
        <v>1.633152206</v>
      </c>
      <c r="Y300" s="11">
        <v>7.106440271</v>
      </c>
      <c r="Z300" s="11">
        <v>23.1071601</v>
      </c>
      <c r="AA300" s="11">
        <v>16.29395062</v>
      </c>
      <c r="AB300" s="11">
        <v>85.44885832</v>
      </c>
      <c r="AC300" s="15">
        <f t="shared" si="15"/>
        <v>85</v>
      </c>
      <c r="AD300" s="16" t="str">
        <f t="shared" si="16"/>
        <v/>
      </c>
      <c r="AE300" s="16" t="str">
        <f t="shared" si="17"/>
        <v/>
      </c>
      <c r="AF300" s="16" t="str">
        <f t="shared" si="18"/>
        <v/>
      </c>
      <c r="AG300" s="16" t="str">
        <f t="shared" si="19"/>
        <v>ARC&gt;0</v>
      </c>
      <c r="AH300" s="13">
        <f t="shared" si="20"/>
        <v>1.381769374</v>
      </c>
      <c r="AI300" s="11">
        <v>6.285149056</v>
      </c>
      <c r="AJ300" s="11">
        <v>5.603506118</v>
      </c>
      <c r="AK300" s="11" t="s">
        <v>590</v>
      </c>
      <c r="AL300" s="18">
        <f t="shared" si="21"/>
        <v>0.251382832</v>
      </c>
    </row>
    <row r="301" ht="15.75" customHeight="1">
      <c r="A301" s="11" t="s">
        <v>588</v>
      </c>
      <c r="B301" s="11">
        <v>2020.0</v>
      </c>
      <c r="C301" s="12" t="str">
        <f>VLOOKUP(A301, Regions!A:B, 2, FALSE)
</f>
        <v>Sub-Saharan Africa</v>
      </c>
      <c r="D301" s="13" t="str">
        <f t="shared" si="1"/>
        <v/>
      </c>
      <c r="E301" s="14" t="str">
        <f t="shared" si="2"/>
        <v/>
      </c>
      <c r="F301" s="11" t="s">
        <v>591</v>
      </c>
      <c r="G301" s="11">
        <v>51.95800018</v>
      </c>
      <c r="H301" s="11">
        <v>77.60905338</v>
      </c>
      <c r="I301" s="15">
        <f t="shared" si="3"/>
        <v>78</v>
      </c>
      <c r="J301" s="16" t="str">
        <f t="shared" si="4"/>
        <v/>
      </c>
      <c r="K301" s="16" t="str">
        <f t="shared" si="5"/>
        <v/>
      </c>
      <c r="L301" s="16" t="str">
        <f t="shared" si="6"/>
        <v/>
      </c>
      <c r="M301" s="16" t="str">
        <f t="shared" si="7"/>
        <v>ARC&gt;0</v>
      </c>
      <c r="N301" s="13" t="str">
        <f t="shared" si="8"/>
        <v/>
      </c>
      <c r="O301" s="11">
        <v>4.979399343</v>
      </c>
      <c r="P301" s="11">
        <v>11.79691148</v>
      </c>
      <c r="Q301" s="11">
        <v>5.614635794</v>
      </c>
      <c r="R301" s="11">
        <v>61.65821003</v>
      </c>
      <c r="S301" s="15">
        <f t="shared" si="9"/>
        <v>62</v>
      </c>
      <c r="T301" s="17" t="str">
        <f t="shared" si="10"/>
        <v/>
      </c>
      <c r="U301" s="17" t="str">
        <f t="shared" si="11"/>
        <v/>
      </c>
      <c r="V301" s="17" t="str">
        <f t="shared" si="12"/>
        <v/>
      </c>
      <c r="W301" s="17" t="str">
        <f t="shared" si="13"/>
        <v>ARC&gt;0</v>
      </c>
      <c r="X301" s="13" t="str">
        <f t="shared" si="14"/>
        <v/>
      </c>
      <c r="Y301" s="11">
        <v>7.128924583</v>
      </c>
      <c r="Z301" s="11">
        <v>20.92487535</v>
      </c>
      <c r="AA301" s="11">
        <v>10.28799004</v>
      </c>
      <c r="AB301" s="11">
        <v>92.35770519</v>
      </c>
      <c r="AC301" s="15">
        <f t="shared" si="15"/>
        <v>92</v>
      </c>
      <c r="AD301" s="16" t="str">
        <f t="shared" si="16"/>
        <v/>
      </c>
      <c r="AE301" s="16" t="str">
        <f t="shared" si="17"/>
        <v/>
      </c>
      <c r="AF301" s="16" t="str">
        <f t="shared" si="18"/>
        <v/>
      </c>
      <c r="AG301" s="16" t="str">
        <f t="shared" si="19"/>
        <v>ARC&gt;0</v>
      </c>
      <c r="AH301" s="13" t="str">
        <f t="shared" si="20"/>
        <v/>
      </c>
      <c r="AI301" s="11">
        <v>2.99188065</v>
      </c>
      <c r="AJ301" s="11">
        <v>3.356908786</v>
      </c>
      <c r="AK301" s="11" t="s">
        <v>592</v>
      </c>
      <c r="AL301" s="18" t="str">
        <f t="shared" si="21"/>
        <v/>
      </c>
    </row>
    <row r="302" ht="15.75" customHeight="1">
      <c r="A302" s="11" t="s">
        <v>593</v>
      </c>
      <c r="B302" s="11">
        <v>2015.0</v>
      </c>
      <c r="C302" s="12" t="str">
        <f>VLOOKUP(A302, Regions!A:B, 2, FALSE)
</f>
        <v>East Asia &amp; Pacific</v>
      </c>
      <c r="D302" s="13">
        <f t="shared" si="1"/>
        <v>5</v>
      </c>
      <c r="E302" s="14">
        <f t="shared" si="2"/>
        <v>2017.5</v>
      </c>
      <c r="F302" s="11" t="s">
        <v>594</v>
      </c>
      <c r="G302" s="11">
        <v>42.56800079</v>
      </c>
      <c r="H302" s="11">
        <v>97.60613941</v>
      </c>
      <c r="I302" s="15">
        <f t="shared" si="3"/>
        <v>98</v>
      </c>
      <c r="J302" s="16" t="str">
        <f t="shared" si="4"/>
        <v/>
      </c>
      <c r="K302" s="16" t="str">
        <f t="shared" si="5"/>
        <v/>
      </c>
      <c r="L302" s="16" t="str">
        <f t="shared" si="6"/>
        <v/>
      </c>
      <c r="M302" s="16" t="str">
        <f t="shared" si="7"/>
        <v>ARC&gt;0</v>
      </c>
      <c r="N302" s="13">
        <f t="shared" si="8"/>
        <v>-0.119052646</v>
      </c>
      <c r="O302" s="11">
        <v>0.0</v>
      </c>
      <c r="P302" s="11">
        <v>2.393860594</v>
      </c>
      <c r="Q302" s="11">
        <v>0.0</v>
      </c>
      <c r="S302" s="15">
        <f t="shared" si="9"/>
        <v>0</v>
      </c>
      <c r="T302" s="17" t="str">
        <f t="shared" si="10"/>
        <v/>
      </c>
      <c r="U302" s="17" t="str">
        <f t="shared" si="11"/>
        <v>ARC=0</v>
      </c>
      <c r="V302" s="17" t="str">
        <f t="shared" si="12"/>
        <v/>
      </c>
      <c r="W302" s="17" t="str">
        <f t="shared" si="13"/>
        <v/>
      </c>
      <c r="X302" s="13">
        <f t="shared" si="14"/>
        <v>0</v>
      </c>
      <c r="AC302" s="15">
        <f t="shared" si="15"/>
        <v>0</v>
      </c>
      <c r="AD302" s="16" t="str">
        <f t="shared" si="16"/>
        <v/>
      </c>
      <c r="AE302" s="16" t="str">
        <f t="shared" si="17"/>
        <v>ARC=0</v>
      </c>
      <c r="AF302" s="16" t="str">
        <f t="shared" si="18"/>
        <v/>
      </c>
      <c r="AG302" s="16" t="str">
        <f t="shared" si="19"/>
        <v/>
      </c>
      <c r="AH302" s="13">
        <f t="shared" si="20"/>
        <v>0</v>
      </c>
      <c r="AL302" s="18">
        <f t="shared" si="21"/>
        <v>0</v>
      </c>
    </row>
    <row r="303" ht="15.75" customHeight="1">
      <c r="A303" s="11" t="s">
        <v>593</v>
      </c>
      <c r="B303" s="11">
        <v>2020.0</v>
      </c>
      <c r="C303" s="12" t="str">
        <f>VLOOKUP(A303, Regions!A:B, 2, FALSE)
</f>
        <v>East Asia &amp; Pacific</v>
      </c>
      <c r="D303" s="13" t="str">
        <f t="shared" si="1"/>
        <v/>
      </c>
      <c r="E303" s="14" t="str">
        <f t="shared" si="2"/>
        <v/>
      </c>
      <c r="F303" s="11" t="s">
        <v>595</v>
      </c>
      <c r="G303" s="11">
        <v>46.20200348</v>
      </c>
      <c r="H303" s="11">
        <v>97.01087618</v>
      </c>
      <c r="I303" s="15">
        <f t="shared" si="3"/>
        <v>97</v>
      </c>
      <c r="J303" s="16" t="str">
        <f t="shared" si="4"/>
        <v/>
      </c>
      <c r="K303" s="16" t="str">
        <f t="shared" si="5"/>
        <v/>
      </c>
      <c r="L303" s="16" t="str">
        <f t="shared" si="6"/>
        <v/>
      </c>
      <c r="M303" s="16" t="str">
        <f t="shared" si="7"/>
        <v>ARC&gt;0</v>
      </c>
      <c r="N303" s="13" t="str">
        <f t="shared" si="8"/>
        <v/>
      </c>
      <c r="O303" s="11">
        <v>0.0</v>
      </c>
      <c r="P303" s="11">
        <v>2.989123822</v>
      </c>
      <c r="Q303" s="11">
        <v>0.0</v>
      </c>
      <c r="S303" s="15">
        <f t="shared" si="9"/>
        <v>0</v>
      </c>
      <c r="T303" s="17" t="str">
        <f t="shared" si="10"/>
        <v/>
      </c>
      <c r="U303" s="17" t="str">
        <f t="shared" si="11"/>
        <v>ARC=0</v>
      </c>
      <c r="V303" s="17" t="str">
        <f t="shared" si="12"/>
        <v/>
      </c>
      <c r="W303" s="17" t="str">
        <f t="shared" si="13"/>
        <v/>
      </c>
      <c r="X303" s="13" t="str">
        <f t="shared" si="14"/>
        <v/>
      </c>
      <c r="AC303" s="15">
        <f t="shared" si="15"/>
        <v>0</v>
      </c>
      <c r="AD303" s="16" t="str">
        <f t="shared" si="16"/>
        <v/>
      </c>
      <c r="AE303" s="16" t="str">
        <f t="shared" si="17"/>
        <v>ARC=0</v>
      </c>
      <c r="AF303" s="16" t="str">
        <f t="shared" si="18"/>
        <v/>
      </c>
      <c r="AG303" s="16" t="str">
        <f t="shared" si="19"/>
        <v/>
      </c>
      <c r="AH303" s="13" t="str">
        <f t="shared" si="20"/>
        <v/>
      </c>
      <c r="AL303" s="18" t="str">
        <f t="shared" si="21"/>
        <v/>
      </c>
    </row>
    <row r="304" ht="15.75" customHeight="1">
      <c r="A304" s="11" t="s">
        <v>596</v>
      </c>
      <c r="B304" s="11">
        <v>2015.0</v>
      </c>
      <c r="C304" s="12" t="str">
        <f>VLOOKUP(A304, Regions!A:B, 2, FALSE)
</f>
        <v>Europe &amp; Central Asia</v>
      </c>
      <c r="D304" s="13">
        <f t="shared" si="1"/>
        <v>5</v>
      </c>
      <c r="E304" s="14">
        <f t="shared" si="2"/>
        <v>2017.5</v>
      </c>
      <c r="F304" s="11" t="s">
        <v>597</v>
      </c>
      <c r="G304" s="11">
        <v>57.40799713</v>
      </c>
      <c r="H304" s="11">
        <v>97.47233283</v>
      </c>
      <c r="I304" s="15">
        <f t="shared" si="3"/>
        <v>97</v>
      </c>
      <c r="J304" s="16" t="str">
        <f t="shared" si="4"/>
        <v/>
      </c>
      <c r="K304" s="16" t="str">
        <f t="shared" si="5"/>
        <v/>
      </c>
      <c r="L304" s="16" t="str">
        <f t="shared" si="6"/>
        <v/>
      </c>
      <c r="M304" s="16" t="str">
        <f t="shared" si="7"/>
        <v>ARC&gt;0</v>
      </c>
      <c r="N304" s="13">
        <f t="shared" si="8"/>
        <v>0.054096592</v>
      </c>
      <c r="O304" s="11">
        <v>1.885991713</v>
      </c>
      <c r="P304" s="11">
        <v>0.5924731745</v>
      </c>
      <c r="Q304" s="11">
        <v>0.04920227976</v>
      </c>
      <c r="R304" s="11">
        <v>97.63323313</v>
      </c>
      <c r="S304" s="15">
        <f t="shared" si="9"/>
        <v>98</v>
      </c>
      <c r="T304" s="17" t="str">
        <f t="shared" si="10"/>
        <v/>
      </c>
      <c r="U304" s="17" t="str">
        <f t="shared" si="11"/>
        <v/>
      </c>
      <c r="V304" s="17" t="str">
        <f t="shared" si="12"/>
        <v/>
      </c>
      <c r="W304" s="17" t="str">
        <f t="shared" si="13"/>
        <v>ARC&gt;0</v>
      </c>
      <c r="X304" s="13">
        <f t="shared" si="14"/>
        <v>-0.032903712</v>
      </c>
      <c r="Y304" s="11">
        <v>1.2224645</v>
      </c>
      <c r="Z304" s="11">
        <v>1.028782373</v>
      </c>
      <c r="AA304" s="11">
        <v>0.11552</v>
      </c>
      <c r="AB304" s="11">
        <v>97.35295808</v>
      </c>
      <c r="AC304" s="15">
        <f t="shared" si="15"/>
        <v>97</v>
      </c>
      <c r="AD304" s="16" t="str">
        <f t="shared" si="16"/>
        <v/>
      </c>
      <c r="AE304" s="16" t="str">
        <f t="shared" si="17"/>
        <v/>
      </c>
      <c r="AF304" s="16" t="str">
        <f t="shared" si="18"/>
        <v/>
      </c>
      <c r="AG304" s="16" t="str">
        <f t="shared" si="19"/>
        <v>ARC&gt;0</v>
      </c>
      <c r="AH304" s="13">
        <f t="shared" si="20"/>
        <v>0.116888982</v>
      </c>
      <c r="AI304" s="11">
        <v>2.37827419</v>
      </c>
      <c r="AJ304" s="11">
        <v>0.2687677275</v>
      </c>
      <c r="AK304" s="11" t="s">
        <v>43</v>
      </c>
      <c r="AL304" s="18">
        <f t="shared" si="21"/>
        <v>-0.149792694</v>
      </c>
    </row>
    <row r="305" ht="15.75" customHeight="1">
      <c r="A305" s="11" t="s">
        <v>596</v>
      </c>
      <c r="B305" s="11">
        <v>2020.0</v>
      </c>
      <c r="C305" s="12" t="str">
        <f>VLOOKUP(A305, Regions!A:B, 2, FALSE)
</f>
        <v>Europe &amp; Central Asia</v>
      </c>
      <c r="D305" s="13" t="str">
        <f t="shared" si="1"/>
        <v/>
      </c>
      <c r="E305" s="14" t="str">
        <f t="shared" si="2"/>
        <v/>
      </c>
      <c r="F305" s="11" t="s">
        <v>598</v>
      </c>
      <c r="G305" s="11">
        <v>58.48199844</v>
      </c>
      <c r="H305" s="11">
        <v>97.74281579</v>
      </c>
      <c r="I305" s="15">
        <f t="shared" si="3"/>
        <v>98</v>
      </c>
      <c r="J305" s="16" t="str">
        <f t="shared" si="4"/>
        <v/>
      </c>
      <c r="K305" s="16" t="str">
        <f t="shared" si="5"/>
        <v/>
      </c>
      <c r="L305" s="16" t="str">
        <f t="shared" si="6"/>
        <v/>
      </c>
      <c r="M305" s="16" t="str">
        <f t="shared" si="7"/>
        <v>ARC&gt;0</v>
      </c>
      <c r="N305" s="13" t="str">
        <f t="shared" si="8"/>
        <v/>
      </c>
      <c r="O305" s="11">
        <v>1.63499414</v>
      </c>
      <c r="P305" s="11">
        <v>0.5742284762</v>
      </c>
      <c r="Q305" s="11">
        <v>0.04796159706</v>
      </c>
      <c r="R305" s="11">
        <v>97.46871457</v>
      </c>
      <c r="S305" s="15">
        <f t="shared" si="9"/>
        <v>97</v>
      </c>
      <c r="T305" s="17" t="str">
        <f t="shared" si="10"/>
        <v/>
      </c>
      <c r="U305" s="17" t="str">
        <f t="shared" si="11"/>
        <v/>
      </c>
      <c r="V305" s="17" t="str">
        <f t="shared" si="12"/>
        <v/>
      </c>
      <c r="W305" s="17" t="str">
        <f t="shared" si="13"/>
        <v>ARC&gt;0</v>
      </c>
      <c r="X305" s="13" t="str">
        <f t="shared" si="14"/>
        <v/>
      </c>
      <c r="Y305" s="11">
        <v>1.505202232</v>
      </c>
      <c r="Z305" s="11">
        <v>0.9105631982</v>
      </c>
      <c r="AA305" s="11">
        <v>0.11552</v>
      </c>
      <c r="AB305" s="11">
        <v>97.93740299</v>
      </c>
      <c r="AC305" s="15">
        <f t="shared" si="15"/>
        <v>98</v>
      </c>
      <c r="AD305" s="16" t="str">
        <f t="shared" si="16"/>
        <v/>
      </c>
      <c r="AE305" s="16" t="str">
        <f t="shared" si="17"/>
        <v/>
      </c>
      <c r="AF305" s="16" t="str">
        <f t="shared" si="18"/>
        <v/>
      </c>
      <c r="AG305" s="16" t="str">
        <f t="shared" si="19"/>
        <v>ARC&gt;0</v>
      </c>
      <c r="AH305" s="13" t="str">
        <f t="shared" si="20"/>
        <v/>
      </c>
      <c r="AI305" s="11">
        <v>1.727136954</v>
      </c>
      <c r="AJ305" s="11">
        <v>0.3354600563</v>
      </c>
      <c r="AK305" s="11" t="s">
        <v>43</v>
      </c>
      <c r="AL305" s="18" t="str">
        <f t="shared" si="21"/>
        <v/>
      </c>
    </row>
    <row r="306" ht="15.75" customHeight="1">
      <c r="A306" s="11" t="s">
        <v>599</v>
      </c>
      <c r="B306" s="11">
        <v>2015.0</v>
      </c>
      <c r="C306" s="12" t="str">
        <f>VLOOKUP(A306, Regions!A:B, 2, FALSE)
</f>
        <v>East Asia &amp; Pacific</v>
      </c>
      <c r="D306" s="13">
        <f t="shared" si="1"/>
        <v>5</v>
      </c>
      <c r="E306" s="14">
        <f t="shared" si="2"/>
        <v>2017.5</v>
      </c>
      <c r="F306" s="11" t="s">
        <v>600</v>
      </c>
      <c r="G306" s="11">
        <v>91.35699463</v>
      </c>
      <c r="H306" s="11">
        <v>99.98018339</v>
      </c>
      <c r="I306" s="15">
        <f t="shared" si="3"/>
        <v>100</v>
      </c>
      <c r="J306" s="16" t="str">
        <f t="shared" si="4"/>
        <v>full access</v>
      </c>
      <c r="K306" s="16" t="str">
        <f t="shared" si="5"/>
        <v/>
      </c>
      <c r="L306" s="16" t="str">
        <f t="shared" si="6"/>
        <v/>
      </c>
      <c r="M306" s="16" t="str">
        <f t="shared" si="7"/>
        <v/>
      </c>
      <c r="N306" s="13">
        <f t="shared" si="8"/>
        <v>0.003963322</v>
      </c>
      <c r="O306" s="11">
        <v>0.0</v>
      </c>
      <c r="P306" s="11">
        <v>0.01981661152</v>
      </c>
      <c r="Q306" s="11">
        <v>0.0</v>
      </c>
      <c r="S306" s="15">
        <f t="shared" si="9"/>
        <v>0</v>
      </c>
      <c r="T306" s="17" t="str">
        <f t="shared" si="10"/>
        <v/>
      </c>
      <c r="U306" s="17" t="str">
        <f t="shared" si="11"/>
        <v>ARC=0</v>
      </c>
      <c r="V306" s="17" t="str">
        <f t="shared" si="12"/>
        <v/>
      </c>
      <c r="W306" s="17" t="str">
        <f t="shared" si="13"/>
        <v/>
      </c>
      <c r="X306" s="13">
        <f t="shared" si="14"/>
        <v>0</v>
      </c>
      <c r="AC306" s="15">
        <f t="shared" si="15"/>
        <v>0</v>
      </c>
      <c r="AD306" s="16" t="str">
        <f t="shared" si="16"/>
        <v/>
      </c>
      <c r="AE306" s="16" t="str">
        <f t="shared" si="17"/>
        <v>ARC=0</v>
      </c>
      <c r="AF306" s="16" t="str">
        <f t="shared" si="18"/>
        <v/>
      </c>
      <c r="AG306" s="16" t="str">
        <f t="shared" si="19"/>
        <v/>
      </c>
      <c r="AH306" s="13">
        <f t="shared" si="20"/>
        <v>0</v>
      </c>
      <c r="AL306" s="18">
        <f t="shared" si="21"/>
        <v>0</v>
      </c>
    </row>
    <row r="307" ht="15.75" customHeight="1">
      <c r="A307" s="11" t="s">
        <v>599</v>
      </c>
      <c r="B307" s="11">
        <v>2020.0</v>
      </c>
      <c r="C307" s="12" t="str">
        <f>VLOOKUP(A307, Regions!A:B, 2, FALSE)
</f>
        <v>East Asia &amp; Pacific</v>
      </c>
      <c r="D307" s="13" t="str">
        <f t="shared" si="1"/>
        <v/>
      </c>
      <c r="E307" s="14" t="str">
        <f t="shared" si="2"/>
        <v/>
      </c>
      <c r="F307" s="11" t="s">
        <v>601</v>
      </c>
      <c r="G307" s="11">
        <v>91.79799652</v>
      </c>
      <c r="H307" s="11">
        <v>100.0</v>
      </c>
      <c r="I307" s="15">
        <f t="shared" si="3"/>
        <v>100</v>
      </c>
      <c r="J307" s="16" t="str">
        <f t="shared" si="4"/>
        <v/>
      </c>
      <c r="K307" s="16" t="str">
        <f t="shared" si="5"/>
        <v/>
      </c>
      <c r="L307" s="16" t="str">
        <f t="shared" si="6"/>
        <v/>
      </c>
      <c r="M307" s="16" t="str">
        <f t="shared" si="7"/>
        <v>ARC&gt;0</v>
      </c>
      <c r="N307" s="13" t="str">
        <f t="shared" si="8"/>
        <v/>
      </c>
      <c r="O307" s="11">
        <v>0.0</v>
      </c>
      <c r="P307" s="11">
        <v>0.0</v>
      </c>
      <c r="Q307" s="11">
        <v>0.0</v>
      </c>
      <c r="S307" s="15">
        <f t="shared" si="9"/>
        <v>0</v>
      </c>
      <c r="T307" s="17" t="str">
        <f t="shared" si="10"/>
        <v/>
      </c>
      <c r="U307" s="17" t="str">
        <f t="shared" si="11"/>
        <v>ARC=0</v>
      </c>
      <c r="V307" s="17" t="str">
        <f t="shared" si="12"/>
        <v/>
      </c>
      <c r="W307" s="17" t="str">
        <f t="shared" si="13"/>
        <v/>
      </c>
      <c r="X307" s="13" t="str">
        <f t="shared" si="14"/>
        <v/>
      </c>
      <c r="AC307" s="15">
        <f t="shared" si="15"/>
        <v>0</v>
      </c>
      <c r="AD307" s="16" t="str">
        <f t="shared" si="16"/>
        <v/>
      </c>
      <c r="AE307" s="16" t="str">
        <f t="shared" si="17"/>
        <v>ARC=0</v>
      </c>
      <c r="AF307" s="16" t="str">
        <f t="shared" si="18"/>
        <v/>
      </c>
      <c r="AG307" s="16" t="str">
        <f t="shared" si="19"/>
        <v/>
      </c>
      <c r="AH307" s="13" t="str">
        <f t="shared" si="20"/>
        <v/>
      </c>
      <c r="AL307" s="18" t="str">
        <f t="shared" si="21"/>
        <v/>
      </c>
    </row>
    <row r="308" ht="15.75" customHeight="1">
      <c r="A308" s="11" t="s">
        <v>602</v>
      </c>
      <c r="B308" s="11">
        <v>2015.0</v>
      </c>
      <c r="C308" s="12" t="str">
        <f>VLOOKUP(A308, Regions!A:B, 2, FALSE)
</f>
        <v>Europe &amp; Central Asia</v>
      </c>
      <c r="D308" s="13">
        <f t="shared" si="1"/>
        <v>5</v>
      </c>
      <c r="E308" s="14">
        <f t="shared" si="2"/>
        <v>2017.5</v>
      </c>
      <c r="F308" s="11" t="s">
        <v>603</v>
      </c>
      <c r="G308" s="11">
        <v>81.09099579</v>
      </c>
      <c r="H308" s="11">
        <v>100.0000012</v>
      </c>
      <c r="I308" s="15">
        <f t="shared" si="3"/>
        <v>100</v>
      </c>
      <c r="J308" s="16" t="str">
        <f t="shared" si="4"/>
        <v>full access</v>
      </c>
      <c r="K308" s="16" t="str">
        <f t="shared" si="5"/>
        <v/>
      </c>
      <c r="L308" s="16" t="str">
        <f t="shared" si="6"/>
        <v/>
      </c>
      <c r="M308" s="16" t="str">
        <f t="shared" si="7"/>
        <v/>
      </c>
      <c r="N308" s="13">
        <f t="shared" si="8"/>
        <v>-0.000001140000001</v>
      </c>
      <c r="O308" s="11">
        <v>0.0</v>
      </c>
      <c r="P308" s="11">
        <v>0.0</v>
      </c>
      <c r="Q308" s="11">
        <v>0.0</v>
      </c>
      <c r="R308" s="11">
        <v>100.0</v>
      </c>
      <c r="S308" s="15">
        <f t="shared" si="9"/>
        <v>100</v>
      </c>
      <c r="T308" s="17" t="str">
        <f t="shared" si="10"/>
        <v>full access</v>
      </c>
      <c r="U308" s="17" t="str">
        <f t="shared" si="11"/>
        <v/>
      </c>
      <c r="V308" s="17" t="str">
        <f t="shared" si="12"/>
        <v/>
      </c>
      <c r="W308" s="17" t="str">
        <f t="shared" si="13"/>
        <v>ARC&gt;0</v>
      </c>
      <c r="X308" s="13">
        <f t="shared" si="14"/>
        <v>0</v>
      </c>
      <c r="Y308" s="11">
        <v>0.0</v>
      </c>
      <c r="Z308" s="11">
        <v>0.0</v>
      </c>
      <c r="AA308" s="11">
        <v>0.0</v>
      </c>
      <c r="AB308" s="11">
        <v>100.0</v>
      </c>
      <c r="AC308" s="15">
        <f t="shared" si="15"/>
        <v>100</v>
      </c>
      <c r="AD308" s="16" t="str">
        <f t="shared" si="16"/>
        <v>full access</v>
      </c>
      <c r="AE308" s="16" t="str">
        <f t="shared" si="17"/>
        <v/>
      </c>
      <c r="AF308" s="16" t="str">
        <f t="shared" si="18"/>
        <v/>
      </c>
      <c r="AG308" s="16" t="str">
        <f t="shared" si="19"/>
        <v>ARC&gt;0</v>
      </c>
      <c r="AH308" s="13">
        <f t="shared" si="20"/>
        <v>0</v>
      </c>
      <c r="AI308" s="11">
        <v>0.0</v>
      </c>
      <c r="AJ308" s="11">
        <v>0.0</v>
      </c>
      <c r="AK308" s="11" t="s">
        <v>43</v>
      </c>
      <c r="AL308" s="18">
        <f t="shared" si="21"/>
        <v>0</v>
      </c>
    </row>
    <row r="309" ht="15.75" customHeight="1">
      <c r="A309" s="11" t="s">
        <v>602</v>
      </c>
      <c r="B309" s="11">
        <v>2020.0</v>
      </c>
      <c r="C309" s="12" t="str">
        <f>VLOOKUP(A309, Regions!A:B, 2, FALSE)
</f>
        <v>Europe &amp; Central Asia</v>
      </c>
      <c r="D309" s="13" t="str">
        <f t="shared" si="1"/>
        <v/>
      </c>
      <c r="E309" s="14" t="str">
        <f t="shared" si="2"/>
        <v/>
      </c>
      <c r="F309" s="11" t="s">
        <v>604</v>
      </c>
      <c r="G309" s="11">
        <v>82.97399139</v>
      </c>
      <c r="H309" s="11">
        <v>99.9999955</v>
      </c>
      <c r="I309" s="15">
        <f t="shared" si="3"/>
        <v>100</v>
      </c>
      <c r="J309" s="16" t="str">
        <f t="shared" si="4"/>
        <v/>
      </c>
      <c r="K309" s="16" t="str">
        <f t="shared" si="5"/>
        <v/>
      </c>
      <c r="L309" s="16" t="str">
        <f t="shared" si="6"/>
        <v/>
      </c>
      <c r="M309" s="16" t="str">
        <f t="shared" si="7"/>
        <v>ARC&gt;0</v>
      </c>
      <c r="N309" s="13" t="str">
        <f t="shared" si="8"/>
        <v/>
      </c>
      <c r="O309" s="11">
        <v>0.0</v>
      </c>
      <c r="P309" s="11">
        <v>4.503407453E-6</v>
      </c>
      <c r="Q309" s="11">
        <v>0.0</v>
      </c>
      <c r="R309" s="11">
        <v>100.0</v>
      </c>
      <c r="S309" s="15">
        <f t="shared" si="9"/>
        <v>100</v>
      </c>
      <c r="T309" s="17" t="str">
        <f t="shared" si="10"/>
        <v/>
      </c>
      <c r="U309" s="17" t="str">
        <f t="shared" si="11"/>
        <v/>
      </c>
      <c r="V309" s="17" t="str">
        <f t="shared" si="12"/>
        <v/>
      </c>
      <c r="W309" s="17" t="str">
        <f t="shared" si="13"/>
        <v>ARC&gt;0</v>
      </c>
      <c r="X309" s="13" t="str">
        <f t="shared" si="14"/>
        <v/>
      </c>
      <c r="Y309" s="11">
        <v>0.0</v>
      </c>
      <c r="Z309" s="11">
        <v>0.0</v>
      </c>
      <c r="AA309" s="11">
        <v>0.0</v>
      </c>
      <c r="AB309" s="11">
        <v>100.0</v>
      </c>
      <c r="AC309" s="15">
        <f t="shared" si="15"/>
        <v>100</v>
      </c>
      <c r="AD309" s="16" t="str">
        <f t="shared" si="16"/>
        <v/>
      </c>
      <c r="AE309" s="16" t="str">
        <f t="shared" si="17"/>
        <v/>
      </c>
      <c r="AF309" s="16" t="str">
        <f t="shared" si="18"/>
        <v/>
      </c>
      <c r="AG309" s="16" t="str">
        <f t="shared" si="19"/>
        <v>ARC&gt;0</v>
      </c>
      <c r="AH309" s="13" t="str">
        <f t="shared" si="20"/>
        <v/>
      </c>
      <c r="AI309" s="11">
        <v>0.0</v>
      </c>
      <c r="AJ309" s="11">
        <v>0.0</v>
      </c>
      <c r="AK309" s="11" t="s">
        <v>43</v>
      </c>
      <c r="AL309" s="18" t="str">
        <f t="shared" si="21"/>
        <v/>
      </c>
    </row>
    <row r="310" ht="15.75" customHeight="1">
      <c r="A310" s="11" t="s">
        <v>605</v>
      </c>
      <c r="B310" s="11">
        <v>2015.0</v>
      </c>
      <c r="C310" s="12" t="str">
        <f>VLOOKUP(A310, Regions!A:B, 2, FALSE)
</f>
        <v>Middle East &amp; North Africa</v>
      </c>
      <c r="D310" s="13">
        <f t="shared" si="1"/>
        <v>5</v>
      </c>
      <c r="E310" s="14">
        <f t="shared" si="2"/>
        <v>2017.5</v>
      </c>
      <c r="F310" s="11" t="s">
        <v>606</v>
      </c>
      <c r="G310" s="11">
        <v>81.34999847</v>
      </c>
      <c r="H310" s="11">
        <v>90.23848564</v>
      </c>
      <c r="I310" s="15">
        <f t="shared" si="3"/>
        <v>90</v>
      </c>
      <c r="J310" s="16" t="str">
        <f t="shared" si="4"/>
        <v/>
      </c>
      <c r="K310" s="16" t="str">
        <f t="shared" si="5"/>
        <v/>
      </c>
      <c r="L310" s="16" t="str">
        <f t="shared" si="6"/>
        <v/>
      </c>
      <c r="M310" s="16" t="str">
        <f t="shared" si="7"/>
        <v>ARC&gt;0</v>
      </c>
      <c r="N310" s="13">
        <f t="shared" si="8"/>
        <v>0.38590781</v>
      </c>
      <c r="O310" s="11">
        <v>8.208802788</v>
      </c>
      <c r="P310" s="11">
        <v>1.473142599</v>
      </c>
      <c r="Q310" s="11">
        <v>0.0795689751</v>
      </c>
      <c r="R310" s="11">
        <v>74.36690846</v>
      </c>
      <c r="S310" s="15">
        <f t="shared" si="9"/>
        <v>74</v>
      </c>
      <c r="T310" s="17" t="str">
        <f t="shared" si="10"/>
        <v/>
      </c>
      <c r="U310" s="17" t="str">
        <f t="shared" si="11"/>
        <v/>
      </c>
      <c r="V310" s="17" t="str">
        <f t="shared" si="12"/>
        <v/>
      </c>
      <c r="W310" s="17" t="str">
        <f t="shared" si="13"/>
        <v>ARC&gt;0</v>
      </c>
      <c r="X310" s="13">
        <f t="shared" si="14"/>
        <v>0.37677429</v>
      </c>
      <c r="Y310" s="11">
        <v>21.09767236</v>
      </c>
      <c r="Z310" s="11">
        <v>4.386731832</v>
      </c>
      <c r="AA310" s="11">
        <v>0.1486873508</v>
      </c>
      <c r="AB310" s="11">
        <v>93.87714508</v>
      </c>
      <c r="AC310" s="15">
        <f t="shared" si="15"/>
        <v>94</v>
      </c>
      <c r="AD310" s="16" t="str">
        <f t="shared" si="16"/>
        <v/>
      </c>
      <c r="AE310" s="16" t="str">
        <f t="shared" si="17"/>
        <v/>
      </c>
      <c r="AF310" s="16" t="str">
        <f t="shared" si="18"/>
        <v/>
      </c>
      <c r="AG310" s="16" t="str">
        <f t="shared" si="19"/>
        <v>ARC&gt;0</v>
      </c>
      <c r="AH310" s="13">
        <f t="shared" si="20"/>
        <v>0.164570984</v>
      </c>
      <c r="AI310" s="11">
        <v>5.253947929</v>
      </c>
      <c r="AJ310" s="11">
        <v>0.8051838421</v>
      </c>
      <c r="AK310" s="11" t="s">
        <v>607</v>
      </c>
      <c r="AL310" s="18">
        <f t="shared" si="21"/>
        <v>0.212203306</v>
      </c>
    </row>
    <row r="311" ht="15.75" customHeight="1">
      <c r="A311" s="11" t="s">
        <v>605</v>
      </c>
      <c r="B311" s="11">
        <v>2020.0</v>
      </c>
      <c r="C311" s="12" t="str">
        <f>VLOOKUP(A311, Regions!A:B, 2, FALSE)
</f>
        <v>Middle East &amp; North Africa</v>
      </c>
      <c r="D311" s="13" t="str">
        <f t="shared" si="1"/>
        <v/>
      </c>
      <c r="E311" s="14" t="str">
        <f t="shared" si="2"/>
        <v/>
      </c>
      <c r="F311" s="11" t="s">
        <v>608</v>
      </c>
      <c r="G311" s="11">
        <v>86.27599335</v>
      </c>
      <c r="H311" s="11">
        <v>92.16802469</v>
      </c>
      <c r="I311" s="15">
        <f t="shared" si="3"/>
        <v>92</v>
      </c>
      <c r="J311" s="16" t="str">
        <f t="shared" si="4"/>
        <v/>
      </c>
      <c r="K311" s="16" t="str">
        <f t="shared" si="5"/>
        <v/>
      </c>
      <c r="L311" s="16" t="str">
        <f t="shared" si="6"/>
        <v/>
      </c>
      <c r="M311" s="16" t="str">
        <f t="shared" si="7"/>
        <v>ARC&gt;0</v>
      </c>
      <c r="N311" s="13" t="str">
        <f t="shared" si="8"/>
        <v/>
      </c>
      <c r="O311" s="11">
        <v>7.541419893</v>
      </c>
      <c r="P311" s="11">
        <v>0.2604052036</v>
      </c>
      <c r="Q311" s="11">
        <v>0.03015021745</v>
      </c>
      <c r="R311" s="11">
        <v>76.25077991</v>
      </c>
      <c r="S311" s="15">
        <f t="shared" si="9"/>
        <v>76</v>
      </c>
      <c r="T311" s="17" t="str">
        <f t="shared" si="10"/>
        <v/>
      </c>
      <c r="U311" s="17" t="str">
        <f t="shared" si="11"/>
        <v/>
      </c>
      <c r="V311" s="17" t="str">
        <f t="shared" si="12"/>
        <v/>
      </c>
      <c r="W311" s="17" t="str">
        <f t="shared" si="13"/>
        <v>ARC&gt;0</v>
      </c>
      <c r="X311" s="13" t="str">
        <f t="shared" si="14"/>
        <v/>
      </c>
      <c r="Y311" s="11">
        <v>21.63212113</v>
      </c>
      <c r="Z311" s="11">
        <v>1.897409218</v>
      </c>
      <c r="AA311" s="11">
        <v>0.2196897375</v>
      </c>
      <c r="AB311" s="11">
        <v>94.7</v>
      </c>
      <c r="AC311" s="15">
        <f t="shared" si="15"/>
        <v>95</v>
      </c>
      <c r="AD311" s="16" t="str">
        <f t="shared" si="16"/>
        <v/>
      </c>
      <c r="AE311" s="16" t="str">
        <f t="shared" si="17"/>
        <v/>
      </c>
      <c r="AF311" s="16" t="str">
        <f t="shared" si="18"/>
        <v/>
      </c>
      <c r="AG311" s="16" t="str">
        <f t="shared" si="19"/>
        <v>ARC&gt;0</v>
      </c>
      <c r="AH311" s="13" t="str">
        <f t="shared" si="20"/>
        <v/>
      </c>
      <c r="AI311" s="11">
        <v>5.3</v>
      </c>
      <c r="AJ311" s="11">
        <v>0.0</v>
      </c>
      <c r="AK311" s="11" t="s">
        <v>43</v>
      </c>
      <c r="AL311" s="18" t="str">
        <f t="shared" si="21"/>
        <v/>
      </c>
    </row>
    <row r="312" ht="15.75" customHeight="1">
      <c r="A312" s="11" t="s">
        <v>609</v>
      </c>
      <c r="B312" s="11">
        <v>2015.0</v>
      </c>
      <c r="C312" s="12" t="str">
        <f>VLOOKUP(A312, Regions!A:B, 2, FALSE)
</f>
        <v>South Asia</v>
      </c>
      <c r="D312" s="13">
        <f t="shared" si="1"/>
        <v>5</v>
      </c>
      <c r="E312" s="14">
        <f t="shared" si="2"/>
        <v>2017.5</v>
      </c>
      <c r="F312" s="11" t="s">
        <v>610</v>
      </c>
      <c r="G312" s="11">
        <v>36.02600098</v>
      </c>
      <c r="H312" s="11">
        <v>89.45498234</v>
      </c>
      <c r="I312" s="15">
        <f t="shared" si="3"/>
        <v>89</v>
      </c>
      <c r="J312" s="16" t="str">
        <f t="shared" si="4"/>
        <v/>
      </c>
      <c r="K312" s="16" t="str">
        <f t="shared" si="5"/>
        <v/>
      </c>
      <c r="L312" s="16" t="str">
        <f t="shared" si="6"/>
        <v/>
      </c>
      <c r="M312" s="16" t="str">
        <f t="shared" si="7"/>
        <v>ARC&gt;0</v>
      </c>
      <c r="N312" s="13">
        <f t="shared" si="8"/>
        <v>0.138796548</v>
      </c>
      <c r="O312" s="11">
        <v>3.65595302</v>
      </c>
      <c r="P312" s="11">
        <v>4.42169119</v>
      </c>
      <c r="Q312" s="11">
        <v>2.467373447</v>
      </c>
      <c r="R312" s="11">
        <v>87.15095676</v>
      </c>
      <c r="S312" s="15">
        <f t="shared" si="9"/>
        <v>87</v>
      </c>
      <c r="T312" s="17" t="str">
        <f t="shared" si="10"/>
        <v/>
      </c>
      <c r="U312" s="17" t="str">
        <f t="shared" si="11"/>
        <v/>
      </c>
      <c r="V312" s="17" t="str">
        <f t="shared" si="12"/>
        <v/>
      </c>
      <c r="W312" s="17" t="str">
        <f t="shared" si="13"/>
        <v>ARC&gt;0</v>
      </c>
      <c r="X312" s="13">
        <f t="shared" si="14"/>
        <v>0.2897808</v>
      </c>
      <c r="Y312" s="11">
        <v>3.956563839</v>
      </c>
      <c r="Z312" s="11">
        <v>5.236412879</v>
      </c>
      <c r="AA312" s="11">
        <v>3.656066523</v>
      </c>
      <c r="AB312" s="11">
        <v>93.54640884</v>
      </c>
      <c r="AC312" s="15">
        <f t="shared" si="15"/>
        <v>94</v>
      </c>
      <c r="AD312" s="16" t="str">
        <f t="shared" si="16"/>
        <v/>
      </c>
      <c r="AE312" s="16" t="str">
        <f t="shared" si="17"/>
        <v/>
      </c>
      <c r="AF312" s="16" t="str">
        <f t="shared" si="18"/>
        <v/>
      </c>
      <c r="AG312" s="16" t="str">
        <f t="shared" si="19"/>
        <v>ARC&gt;0</v>
      </c>
      <c r="AH312" s="13">
        <f t="shared" si="20"/>
        <v>-0.155671798</v>
      </c>
      <c r="AI312" s="11">
        <v>3.122136433</v>
      </c>
      <c r="AJ312" s="11">
        <v>2.974930389</v>
      </c>
      <c r="AK312" s="11" t="s">
        <v>611</v>
      </c>
      <c r="AL312" s="18">
        <f t="shared" si="21"/>
        <v>0.445452598</v>
      </c>
    </row>
    <row r="313" ht="15.75" customHeight="1">
      <c r="A313" s="11" t="s">
        <v>609</v>
      </c>
      <c r="B313" s="11">
        <v>2020.0</v>
      </c>
      <c r="C313" s="12" t="str">
        <f>VLOOKUP(A313, Regions!A:B, 2, FALSE)
</f>
        <v>South Asia</v>
      </c>
      <c r="D313" s="13" t="str">
        <f t="shared" si="1"/>
        <v/>
      </c>
      <c r="E313" s="14" t="str">
        <f t="shared" si="2"/>
        <v/>
      </c>
      <c r="F313" s="11" t="s">
        <v>612</v>
      </c>
      <c r="G313" s="11">
        <v>37.16500092</v>
      </c>
      <c r="H313" s="11">
        <v>90.14896508</v>
      </c>
      <c r="I313" s="15">
        <f t="shared" si="3"/>
        <v>90</v>
      </c>
      <c r="J313" s="16" t="str">
        <f t="shared" si="4"/>
        <v/>
      </c>
      <c r="K313" s="16" t="str">
        <f t="shared" si="5"/>
        <v/>
      </c>
      <c r="L313" s="16" t="str">
        <f t="shared" si="6"/>
        <v/>
      </c>
      <c r="M313" s="16" t="str">
        <f t="shared" si="7"/>
        <v>ARC&gt;0</v>
      </c>
      <c r="N313" s="13" t="str">
        <f t="shared" si="8"/>
        <v/>
      </c>
      <c r="O313" s="11">
        <v>3.822279525</v>
      </c>
      <c r="P313" s="11">
        <v>4.413307574</v>
      </c>
      <c r="Q313" s="11">
        <v>1.61544782</v>
      </c>
      <c r="R313" s="11">
        <v>88.59986076</v>
      </c>
      <c r="S313" s="15">
        <f t="shared" si="9"/>
        <v>89</v>
      </c>
      <c r="T313" s="17" t="str">
        <f t="shared" si="10"/>
        <v/>
      </c>
      <c r="U313" s="17" t="str">
        <f t="shared" si="11"/>
        <v/>
      </c>
      <c r="V313" s="17" t="str">
        <f t="shared" si="12"/>
        <v/>
      </c>
      <c r="W313" s="17" t="str">
        <f t="shared" si="13"/>
        <v>ARC&gt;0</v>
      </c>
      <c r="X313" s="13" t="str">
        <f t="shared" si="14"/>
        <v/>
      </c>
      <c r="Y313" s="11">
        <v>3.852278117</v>
      </c>
      <c r="Z313" s="11">
        <v>5.174596509</v>
      </c>
      <c r="AA313" s="11">
        <v>2.373264617</v>
      </c>
      <c r="AB313" s="11">
        <v>92.76804985</v>
      </c>
      <c r="AC313" s="15">
        <f t="shared" si="15"/>
        <v>93</v>
      </c>
      <c r="AD313" s="16" t="str">
        <f t="shared" si="16"/>
        <v/>
      </c>
      <c r="AE313" s="16" t="str">
        <f t="shared" si="17"/>
        <v/>
      </c>
      <c r="AF313" s="16" t="str">
        <f t="shared" si="18"/>
        <v/>
      </c>
      <c r="AG313" s="16" t="str">
        <f t="shared" si="19"/>
        <v>ARC&gt;0</v>
      </c>
      <c r="AH313" s="13" t="str">
        <f t="shared" si="20"/>
        <v/>
      </c>
      <c r="AI313" s="11">
        <v>3.771561162</v>
      </c>
      <c r="AJ313" s="11">
        <v>3.126184571</v>
      </c>
      <c r="AK313" s="11" t="s">
        <v>613</v>
      </c>
      <c r="AL313" s="18" t="str">
        <f t="shared" si="21"/>
        <v/>
      </c>
    </row>
    <row r="314" ht="15.75" customHeight="1">
      <c r="A314" s="11" t="s">
        <v>614</v>
      </c>
      <c r="B314" s="11">
        <v>2015.0</v>
      </c>
      <c r="C314" s="12" t="str">
        <f>VLOOKUP(A314, Regions!A:B, 2, FALSE)
</f>
        <v>East Asia &amp; Pacific</v>
      </c>
      <c r="D314" s="13">
        <f t="shared" si="1"/>
        <v>5</v>
      </c>
      <c r="E314" s="14">
        <f t="shared" si="2"/>
        <v>2017.5</v>
      </c>
      <c r="F314" s="11" t="s">
        <v>615</v>
      </c>
      <c r="G314" s="11">
        <v>78.15899658</v>
      </c>
      <c r="H314" s="11">
        <v>99.63015085</v>
      </c>
      <c r="I314" s="15">
        <f t="shared" si="3"/>
        <v>100</v>
      </c>
      <c r="J314" s="16" t="str">
        <f t="shared" si="4"/>
        <v>full access</v>
      </c>
      <c r="K314" s="16" t="str">
        <f t="shared" si="5"/>
        <v/>
      </c>
      <c r="L314" s="16" t="str">
        <f t="shared" si="6"/>
        <v/>
      </c>
      <c r="M314" s="16" t="str">
        <f t="shared" si="7"/>
        <v/>
      </c>
      <c r="N314" s="13">
        <f t="shared" si="8"/>
        <v>0.00547893</v>
      </c>
      <c r="O314" s="11">
        <v>0.0</v>
      </c>
      <c r="P314" s="11">
        <v>0.3698491499</v>
      </c>
      <c r="Q314" s="11">
        <v>0.0</v>
      </c>
      <c r="R314" s="11">
        <v>99.61387148</v>
      </c>
      <c r="S314" s="15">
        <f t="shared" si="9"/>
        <v>100</v>
      </c>
      <c r="T314" s="17" t="str">
        <f t="shared" si="10"/>
        <v>full access</v>
      </c>
      <c r="U314" s="17" t="str">
        <f t="shared" si="11"/>
        <v/>
      </c>
      <c r="V314" s="17" t="str">
        <f t="shared" si="12"/>
        <v/>
      </c>
      <c r="W314" s="17" t="str">
        <f t="shared" si="13"/>
        <v>ARC&gt;0</v>
      </c>
      <c r="X314" s="13">
        <f t="shared" si="14"/>
        <v>0.02862271</v>
      </c>
      <c r="Y314" s="11">
        <v>0.0</v>
      </c>
      <c r="Z314" s="11">
        <v>0.3861285173</v>
      </c>
      <c r="AA314" s="11">
        <v>0.0</v>
      </c>
      <c r="AB314" s="11">
        <v>99.63470173</v>
      </c>
      <c r="AC314" s="15">
        <f t="shared" si="15"/>
        <v>100</v>
      </c>
      <c r="AD314" s="16" t="str">
        <f t="shared" si="16"/>
        <v>full access</v>
      </c>
      <c r="AE314" s="16" t="str">
        <f t="shared" si="17"/>
        <v/>
      </c>
      <c r="AF314" s="16" t="str">
        <f t="shared" si="18"/>
        <v/>
      </c>
      <c r="AG314" s="16" t="str">
        <f t="shared" si="19"/>
        <v>ARC&gt;0</v>
      </c>
      <c r="AH314" s="13">
        <f t="shared" si="20"/>
        <v>-0.000099948</v>
      </c>
      <c r="AI314" s="11">
        <v>0.0</v>
      </c>
      <c r="AJ314" s="11">
        <v>0.3652982706</v>
      </c>
      <c r="AK314" s="11" t="s">
        <v>43</v>
      </c>
      <c r="AL314" s="18">
        <f t="shared" si="21"/>
        <v>0.028722658</v>
      </c>
    </row>
    <row r="315" ht="15.75" customHeight="1">
      <c r="A315" s="11" t="s">
        <v>614</v>
      </c>
      <c r="B315" s="11">
        <v>2020.0</v>
      </c>
      <c r="C315" s="12" t="str">
        <f>VLOOKUP(A315, Regions!A:B, 2, FALSE)
</f>
        <v>East Asia &amp; Pacific</v>
      </c>
      <c r="D315" s="13" t="str">
        <f t="shared" si="1"/>
        <v/>
      </c>
      <c r="E315" s="14" t="str">
        <f t="shared" si="2"/>
        <v/>
      </c>
      <c r="F315" s="11" t="s">
        <v>616</v>
      </c>
      <c r="G315" s="11">
        <v>80.98799896</v>
      </c>
      <c r="H315" s="11">
        <v>99.6575455</v>
      </c>
      <c r="I315" s="15">
        <f t="shared" si="3"/>
        <v>100</v>
      </c>
      <c r="J315" s="16" t="str">
        <f t="shared" si="4"/>
        <v/>
      </c>
      <c r="K315" s="16" t="str">
        <f t="shared" si="5"/>
        <v/>
      </c>
      <c r="L315" s="16" t="str">
        <f t="shared" si="6"/>
        <v/>
      </c>
      <c r="M315" s="16" t="str">
        <f t="shared" si="7"/>
        <v>ARC&gt;0</v>
      </c>
      <c r="N315" s="13" t="str">
        <f t="shared" si="8"/>
        <v/>
      </c>
      <c r="O315" s="11">
        <v>0.0</v>
      </c>
      <c r="P315" s="11">
        <v>0.3424544984</v>
      </c>
      <c r="Q315" s="11">
        <v>0.0</v>
      </c>
      <c r="R315" s="11">
        <v>99.75698503</v>
      </c>
      <c r="S315" s="15">
        <f t="shared" si="9"/>
        <v>100</v>
      </c>
      <c r="T315" s="17" t="str">
        <f t="shared" si="10"/>
        <v/>
      </c>
      <c r="U315" s="17" t="str">
        <f t="shared" si="11"/>
        <v/>
      </c>
      <c r="V315" s="17" t="str">
        <f t="shared" si="12"/>
        <v/>
      </c>
      <c r="W315" s="17" t="str">
        <f t="shared" si="13"/>
        <v>ARC&gt;0</v>
      </c>
      <c r="X315" s="13" t="str">
        <f t="shared" si="14"/>
        <v/>
      </c>
      <c r="Y315" s="11">
        <v>0.0</v>
      </c>
      <c r="Z315" s="11">
        <v>0.2430149677</v>
      </c>
      <c r="AA315" s="11">
        <v>0.0</v>
      </c>
      <c r="AB315" s="11">
        <v>99.63420199</v>
      </c>
      <c r="AC315" s="15">
        <f t="shared" si="15"/>
        <v>100</v>
      </c>
      <c r="AD315" s="16" t="str">
        <f t="shared" si="16"/>
        <v/>
      </c>
      <c r="AE315" s="16" t="str">
        <f t="shared" si="17"/>
        <v/>
      </c>
      <c r="AF315" s="16" t="str">
        <f t="shared" si="18"/>
        <v/>
      </c>
      <c r="AG315" s="16" t="str">
        <f t="shared" si="19"/>
        <v>ARC&gt;0</v>
      </c>
      <c r="AH315" s="13" t="str">
        <f t="shared" si="20"/>
        <v/>
      </c>
      <c r="AI315" s="11">
        <v>0.0</v>
      </c>
      <c r="AJ315" s="11">
        <v>0.3657980078</v>
      </c>
      <c r="AK315" s="11" t="s">
        <v>43</v>
      </c>
      <c r="AL315" s="18" t="str">
        <f t="shared" si="21"/>
        <v/>
      </c>
    </row>
    <row r="316" ht="15.75" customHeight="1">
      <c r="A316" s="11" t="s">
        <v>617</v>
      </c>
      <c r="B316" s="11">
        <v>2015.0</v>
      </c>
      <c r="C316" s="12" t="str">
        <f>VLOOKUP(A316, Regions!A:B, 2, FALSE)
</f>
        <v>Latin America &amp; Caribbean</v>
      </c>
      <c r="D316" s="13">
        <f t="shared" si="1"/>
        <v>5</v>
      </c>
      <c r="E316" s="14">
        <f t="shared" si="2"/>
        <v>2017.5</v>
      </c>
      <c r="F316" s="11" t="s">
        <v>618</v>
      </c>
      <c r="G316" s="11">
        <v>66.69599915</v>
      </c>
      <c r="H316" s="11">
        <v>92.90436561</v>
      </c>
      <c r="I316" s="15">
        <f t="shared" si="3"/>
        <v>93</v>
      </c>
      <c r="J316" s="16" t="str">
        <f t="shared" si="4"/>
        <v/>
      </c>
      <c r="K316" s="16" t="str">
        <f t="shared" si="5"/>
        <v/>
      </c>
      <c r="L316" s="16" t="str">
        <f t="shared" si="6"/>
        <v/>
      </c>
      <c r="M316" s="16" t="str">
        <f t="shared" si="7"/>
        <v>ARC&gt;0</v>
      </c>
      <c r="N316" s="13">
        <f t="shared" si="8"/>
        <v>0.29363575</v>
      </c>
      <c r="O316" s="11">
        <v>1.845644171</v>
      </c>
      <c r="P316" s="11">
        <v>3.160016841</v>
      </c>
      <c r="Q316" s="11">
        <v>2.08997338</v>
      </c>
      <c r="R316" s="11">
        <v>83.67957953</v>
      </c>
      <c r="S316" s="15">
        <f t="shared" si="9"/>
        <v>84</v>
      </c>
      <c r="T316" s="17" t="str">
        <f t="shared" si="10"/>
        <v/>
      </c>
      <c r="U316" s="17" t="str">
        <f t="shared" si="11"/>
        <v/>
      </c>
      <c r="V316" s="17" t="str">
        <f t="shared" si="12"/>
        <v/>
      </c>
      <c r="W316" s="17" t="str">
        <f t="shared" si="13"/>
        <v>ARC&gt;0</v>
      </c>
      <c r="X316" s="13">
        <f t="shared" si="14"/>
        <v>0.528700746</v>
      </c>
      <c r="Y316" s="11">
        <v>1.737106037</v>
      </c>
      <c r="Z316" s="11">
        <v>8.379298168</v>
      </c>
      <c r="AA316" s="11">
        <v>6.20401626</v>
      </c>
      <c r="AB316" s="11">
        <v>97.51067739</v>
      </c>
      <c r="AC316" s="15">
        <f t="shared" si="15"/>
        <v>98</v>
      </c>
      <c r="AD316" s="16" t="str">
        <f t="shared" si="16"/>
        <v/>
      </c>
      <c r="AE316" s="16" t="str">
        <f t="shared" si="17"/>
        <v/>
      </c>
      <c r="AF316" s="16" t="str">
        <f t="shared" si="18"/>
        <v/>
      </c>
      <c r="AG316" s="16" t="str">
        <f t="shared" si="19"/>
        <v>ARC&gt;0</v>
      </c>
      <c r="AH316" s="13">
        <f t="shared" si="20"/>
        <v>0.115643056</v>
      </c>
      <c r="AI316" s="11">
        <v>1.899841721</v>
      </c>
      <c r="AJ316" s="11">
        <v>0.5538148391</v>
      </c>
      <c r="AK316" s="11" t="s">
        <v>619</v>
      </c>
      <c r="AL316" s="18">
        <f t="shared" si="21"/>
        <v>0.41305769</v>
      </c>
    </row>
    <row r="317" ht="15.75" customHeight="1">
      <c r="A317" s="11" t="s">
        <v>617</v>
      </c>
      <c r="B317" s="11">
        <v>2020.0</v>
      </c>
      <c r="C317" s="12" t="str">
        <f>VLOOKUP(A317, Regions!A:B, 2, FALSE)
</f>
        <v>Latin America &amp; Caribbean</v>
      </c>
      <c r="D317" s="13" t="str">
        <f t="shared" si="1"/>
        <v/>
      </c>
      <c r="E317" s="14" t="str">
        <f t="shared" si="2"/>
        <v/>
      </c>
      <c r="F317" s="11" t="s">
        <v>620</v>
      </c>
      <c r="G317" s="11">
        <v>68.41400146</v>
      </c>
      <c r="H317" s="11">
        <v>94.37254436</v>
      </c>
      <c r="I317" s="15">
        <f t="shared" si="3"/>
        <v>94</v>
      </c>
      <c r="J317" s="16" t="str">
        <f t="shared" si="4"/>
        <v/>
      </c>
      <c r="K317" s="16" t="str">
        <f t="shared" si="5"/>
        <v/>
      </c>
      <c r="L317" s="16" t="str">
        <f t="shared" si="6"/>
        <v/>
      </c>
      <c r="M317" s="16" t="str">
        <f t="shared" si="7"/>
        <v>ARC&gt;0</v>
      </c>
      <c r="N317" s="13" t="str">
        <f t="shared" si="8"/>
        <v/>
      </c>
      <c r="O317" s="11">
        <v>1.873480592</v>
      </c>
      <c r="P317" s="11">
        <v>2.262304247</v>
      </c>
      <c r="Q317" s="11">
        <v>1.491670799</v>
      </c>
      <c r="R317" s="11">
        <v>86.32308326</v>
      </c>
      <c r="S317" s="15">
        <f t="shared" si="9"/>
        <v>86</v>
      </c>
      <c r="T317" s="17" t="str">
        <f t="shared" si="10"/>
        <v/>
      </c>
      <c r="U317" s="17" t="str">
        <f t="shared" si="11"/>
        <v/>
      </c>
      <c r="V317" s="17" t="str">
        <f t="shared" si="12"/>
        <v/>
      </c>
      <c r="W317" s="17" t="str">
        <f t="shared" si="13"/>
        <v>ARC&gt;0</v>
      </c>
      <c r="X317" s="13" t="str">
        <f t="shared" si="14"/>
        <v/>
      </c>
      <c r="Y317" s="11">
        <v>1.791982583</v>
      </c>
      <c r="Z317" s="11">
        <v>7.162364342</v>
      </c>
      <c r="AA317" s="11">
        <v>4.722569811</v>
      </c>
      <c r="AB317" s="11">
        <v>98.08889267</v>
      </c>
      <c r="AC317" s="15">
        <f t="shared" si="15"/>
        <v>98</v>
      </c>
      <c r="AD317" s="16" t="str">
        <f t="shared" si="16"/>
        <v/>
      </c>
      <c r="AE317" s="16" t="str">
        <f t="shared" si="17"/>
        <v/>
      </c>
      <c r="AF317" s="16" t="str">
        <f t="shared" si="18"/>
        <v/>
      </c>
      <c r="AG317" s="16" t="str">
        <f t="shared" si="19"/>
        <v>ARC&gt;0</v>
      </c>
      <c r="AH317" s="13" t="str">
        <f t="shared" si="20"/>
        <v/>
      </c>
      <c r="AI317" s="11">
        <v>1.911107333</v>
      </c>
      <c r="AJ317" s="11">
        <v>0.0</v>
      </c>
      <c r="AK317" s="11" t="s">
        <v>43</v>
      </c>
      <c r="AL317" s="18" t="str">
        <f t="shared" si="21"/>
        <v/>
      </c>
    </row>
    <row r="318" ht="15.75" customHeight="1">
      <c r="A318" s="11" t="s">
        <v>621</v>
      </c>
      <c r="B318" s="11">
        <v>2015.0</v>
      </c>
      <c r="C318" s="12" t="str">
        <f>VLOOKUP(A318, Regions!A:B, 2, FALSE)
</f>
        <v>East Asia &amp; Pacific</v>
      </c>
      <c r="D318" s="13">
        <f t="shared" si="1"/>
        <v>5</v>
      </c>
      <c r="E318" s="14">
        <f t="shared" si="2"/>
        <v>2017.5</v>
      </c>
      <c r="F318" s="11" t="s">
        <v>622</v>
      </c>
      <c r="G318" s="11">
        <v>13.01200008</v>
      </c>
      <c r="H318" s="11">
        <v>41.48550844</v>
      </c>
      <c r="I318" s="15">
        <f t="shared" si="3"/>
        <v>41</v>
      </c>
      <c r="J318" s="16" t="str">
        <f t="shared" si="4"/>
        <v/>
      </c>
      <c r="K318" s="16" t="str">
        <f t="shared" si="5"/>
        <v/>
      </c>
      <c r="L318" s="16" t="str">
        <f t="shared" si="6"/>
        <v/>
      </c>
      <c r="M318" s="16" t="str">
        <f t="shared" si="7"/>
        <v>ARC&gt;0</v>
      </c>
      <c r="N318" s="13">
        <f t="shared" si="8"/>
        <v>0.771701816</v>
      </c>
      <c r="O318" s="11">
        <v>1.80995308</v>
      </c>
      <c r="P318" s="11">
        <v>21.261052</v>
      </c>
      <c r="Q318" s="11">
        <v>35.44348648</v>
      </c>
      <c r="R318" s="11">
        <v>34.990633</v>
      </c>
      <c r="S318" s="15">
        <f t="shared" si="9"/>
        <v>35</v>
      </c>
      <c r="T318" s="17" t="str">
        <f t="shared" si="10"/>
        <v/>
      </c>
      <c r="U318" s="17" t="str">
        <f t="shared" si="11"/>
        <v/>
      </c>
      <c r="V318" s="17" t="str">
        <f t="shared" si="12"/>
        <v/>
      </c>
      <c r="W318" s="17" t="str">
        <f t="shared" si="13"/>
        <v>ARC&gt;0</v>
      </c>
      <c r="X318" s="13">
        <f t="shared" si="14"/>
        <v>0.816142134</v>
      </c>
      <c r="Y318" s="11">
        <v>1.804724433</v>
      </c>
      <c r="Z318" s="11">
        <v>23.25354875</v>
      </c>
      <c r="AA318" s="11">
        <v>39.95109382</v>
      </c>
      <c r="AB318" s="11">
        <v>84.90514306</v>
      </c>
      <c r="AC318" s="15">
        <f t="shared" si="15"/>
        <v>85</v>
      </c>
      <c r="AD318" s="16" t="str">
        <f t="shared" si="16"/>
        <v/>
      </c>
      <c r="AE318" s="16" t="str">
        <f t="shared" si="17"/>
        <v/>
      </c>
      <c r="AF318" s="16" t="str">
        <f t="shared" si="18"/>
        <v/>
      </c>
      <c r="AG318" s="16" t="str">
        <f t="shared" si="19"/>
        <v>ARC&gt;0</v>
      </c>
      <c r="AH318" s="13">
        <f t="shared" si="20"/>
        <v>0.234025716</v>
      </c>
      <c r="AI318" s="11">
        <v>1.844907912</v>
      </c>
      <c r="AJ318" s="11">
        <v>7.940776435</v>
      </c>
      <c r="AK318" s="11" t="s">
        <v>623</v>
      </c>
      <c r="AL318" s="18">
        <f t="shared" si="21"/>
        <v>0.582116418</v>
      </c>
    </row>
    <row r="319" ht="15.75" customHeight="1">
      <c r="A319" s="11" t="s">
        <v>621</v>
      </c>
      <c r="B319" s="11">
        <v>2020.0</v>
      </c>
      <c r="C319" s="12" t="str">
        <f>VLOOKUP(A319, Regions!A:B, 2, FALSE)
</f>
        <v>East Asia &amp; Pacific</v>
      </c>
      <c r="D319" s="13" t="str">
        <f t="shared" si="1"/>
        <v/>
      </c>
      <c r="E319" s="14" t="str">
        <f t="shared" si="2"/>
        <v/>
      </c>
      <c r="F319" s="11" t="s">
        <v>624</v>
      </c>
      <c r="G319" s="11">
        <v>13.34500027</v>
      </c>
      <c r="H319" s="11">
        <v>45.34401752</v>
      </c>
      <c r="I319" s="15">
        <f t="shared" si="3"/>
        <v>45</v>
      </c>
      <c r="J319" s="16" t="str">
        <f t="shared" si="4"/>
        <v/>
      </c>
      <c r="K319" s="16" t="str">
        <f t="shared" si="5"/>
        <v/>
      </c>
      <c r="L319" s="16" t="str">
        <f t="shared" si="6"/>
        <v/>
      </c>
      <c r="M319" s="16" t="str">
        <f t="shared" si="7"/>
        <v>ARC&gt;0</v>
      </c>
      <c r="N319" s="13" t="str">
        <f t="shared" si="8"/>
        <v/>
      </c>
      <c r="O319" s="11">
        <v>2.128564452</v>
      </c>
      <c r="P319" s="11">
        <v>22.15762495</v>
      </c>
      <c r="Q319" s="11">
        <v>30.36979308</v>
      </c>
      <c r="R319" s="11">
        <v>39.07134367</v>
      </c>
      <c r="S319" s="15">
        <f t="shared" si="9"/>
        <v>39</v>
      </c>
      <c r="T319" s="17" t="str">
        <f t="shared" si="10"/>
        <v/>
      </c>
      <c r="U319" s="17" t="str">
        <f t="shared" si="11"/>
        <v/>
      </c>
      <c r="V319" s="17" t="str">
        <f t="shared" si="12"/>
        <v/>
      </c>
      <c r="W319" s="17" t="str">
        <f t="shared" si="13"/>
        <v>ARC&gt;0</v>
      </c>
      <c r="X319" s="13" t="str">
        <f t="shared" si="14"/>
        <v/>
      </c>
      <c r="Y319" s="11">
        <v>2.429850293</v>
      </c>
      <c r="Z319" s="11">
        <v>24.43180086</v>
      </c>
      <c r="AA319" s="11">
        <v>34.06700517</v>
      </c>
      <c r="AB319" s="11">
        <v>86.07527164</v>
      </c>
      <c r="AC319" s="15">
        <f t="shared" si="15"/>
        <v>86</v>
      </c>
      <c r="AD319" s="16" t="str">
        <f t="shared" si="16"/>
        <v/>
      </c>
      <c r="AE319" s="16" t="str">
        <f t="shared" si="17"/>
        <v/>
      </c>
      <c r="AF319" s="16" t="str">
        <f t="shared" si="18"/>
        <v/>
      </c>
      <c r="AG319" s="16" t="str">
        <f t="shared" si="19"/>
        <v>ARC&gt;0</v>
      </c>
      <c r="AH319" s="13" t="str">
        <f t="shared" si="20"/>
        <v/>
      </c>
      <c r="AI319" s="11">
        <v>0.1721822608</v>
      </c>
      <c r="AJ319" s="11">
        <v>7.390385564</v>
      </c>
      <c r="AK319" s="11" t="s">
        <v>625</v>
      </c>
      <c r="AL319" s="18" t="str">
        <f t="shared" si="21"/>
        <v/>
      </c>
    </row>
    <row r="320" ht="15.75" customHeight="1">
      <c r="A320" s="11" t="s">
        <v>626</v>
      </c>
      <c r="B320" s="11">
        <v>2015.0</v>
      </c>
      <c r="C320" s="12" t="str">
        <f>VLOOKUP(A320, Regions!A:B, 2, FALSE)
</f>
        <v>Latin America &amp; Caribbean</v>
      </c>
      <c r="D320" s="13">
        <f t="shared" si="1"/>
        <v>5</v>
      </c>
      <c r="E320" s="14">
        <f t="shared" si="2"/>
        <v>2017.5</v>
      </c>
      <c r="F320" s="11" t="s">
        <v>627</v>
      </c>
      <c r="G320" s="11">
        <v>60.75</v>
      </c>
      <c r="H320" s="11">
        <v>96.83621453</v>
      </c>
      <c r="I320" s="15">
        <f t="shared" si="3"/>
        <v>97</v>
      </c>
      <c r="J320" s="16" t="str">
        <f t="shared" si="4"/>
        <v/>
      </c>
      <c r="K320" s="16" t="str">
        <f t="shared" si="5"/>
        <v/>
      </c>
      <c r="L320" s="16" t="str">
        <f t="shared" si="6"/>
        <v/>
      </c>
      <c r="M320" s="16" t="str">
        <f t="shared" si="7"/>
        <v>ARC&gt;0</v>
      </c>
      <c r="N320" s="13">
        <f t="shared" si="8"/>
        <v>0.55145036</v>
      </c>
      <c r="O320" s="11">
        <v>0.328424003</v>
      </c>
      <c r="P320" s="11">
        <v>2.756768199</v>
      </c>
      <c r="Q320" s="11">
        <v>0.07859326698</v>
      </c>
      <c r="R320" s="11">
        <v>93.34470029</v>
      </c>
      <c r="S320" s="15">
        <f t="shared" si="9"/>
        <v>93</v>
      </c>
      <c r="T320" s="17" t="str">
        <f t="shared" si="10"/>
        <v/>
      </c>
      <c r="U320" s="17" t="str">
        <f t="shared" si="11"/>
        <v/>
      </c>
      <c r="V320" s="17" t="str">
        <f t="shared" si="12"/>
        <v/>
      </c>
      <c r="W320" s="17" t="str">
        <f t="shared" si="13"/>
        <v>ARC&gt;0</v>
      </c>
      <c r="X320" s="13">
        <f t="shared" si="14"/>
        <v>1.153305448</v>
      </c>
      <c r="Y320" s="11">
        <v>0.6976664397</v>
      </c>
      <c r="Z320" s="11">
        <v>5.757395646</v>
      </c>
      <c r="AA320" s="11">
        <v>0.2002376288</v>
      </c>
      <c r="AB320" s="11">
        <v>99.09204873</v>
      </c>
      <c r="AC320" s="15">
        <f t="shared" si="15"/>
        <v>99</v>
      </c>
      <c r="AD320" s="16" t="str">
        <f t="shared" si="16"/>
        <v/>
      </c>
      <c r="AE320" s="16" t="str">
        <f t="shared" si="17"/>
        <v/>
      </c>
      <c r="AF320" s="16" t="str">
        <f t="shared" si="18"/>
        <v/>
      </c>
      <c r="AG320" s="16" t="str">
        <f t="shared" si="19"/>
        <v>ARC&gt;0</v>
      </c>
      <c r="AH320" s="13">
        <f t="shared" si="20"/>
        <v>0.158939962</v>
      </c>
      <c r="AI320" s="11">
        <v>0.08985997117</v>
      </c>
      <c r="AJ320" s="11">
        <v>0.818091301</v>
      </c>
      <c r="AK320" s="11" t="s">
        <v>43</v>
      </c>
      <c r="AL320" s="18">
        <f t="shared" si="21"/>
        <v>0.994365486</v>
      </c>
    </row>
    <row r="321" ht="15.75" customHeight="1">
      <c r="A321" s="11" t="s">
        <v>626</v>
      </c>
      <c r="B321" s="11">
        <v>2020.0</v>
      </c>
      <c r="C321" s="12" t="str">
        <f>VLOOKUP(A321, Regions!A:B, 2, FALSE)
</f>
        <v>Latin America &amp; Caribbean</v>
      </c>
      <c r="D321" s="13" t="str">
        <f t="shared" si="1"/>
        <v/>
      </c>
      <c r="E321" s="14" t="str">
        <f t="shared" si="2"/>
        <v/>
      </c>
      <c r="F321" s="11" t="s">
        <v>628</v>
      </c>
      <c r="G321" s="11">
        <v>62.18299484</v>
      </c>
      <c r="H321" s="11">
        <v>99.59346633</v>
      </c>
      <c r="I321" s="15">
        <f t="shared" si="3"/>
        <v>100</v>
      </c>
      <c r="J321" s="16" t="str">
        <f t="shared" si="4"/>
        <v/>
      </c>
      <c r="K321" s="16" t="str">
        <f t="shared" si="5"/>
        <v/>
      </c>
      <c r="L321" s="16" t="str">
        <f t="shared" si="6"/>
        <v/>
      </c>
      <c r="M321" s="16" t="str">
        <f t="shared" si="7"/>
        <v>ARC&gt;0</v>
      </c>
      <c r="N321" s="13" t="str">
        <f t="shared" si="8"/>
        <v/>
      </c>
      <c r="O321" s="11">
        <v>0.4065302439</v>
      </c>
      <c r="P321" s="11">
        <v>3.4229177E-6</v>
      </c>
      <c r="Q321" s="11">
        <v>0.0</v>
      </c>
      <c r="R321" s="11">
        <v>99.11122753</v>
      </c>
      <c r="S321" s="15">
        <f t="shared" si="9"/>
        <v>99</v>
      </c>
      <c r="T321" s="17" t="str">
        <f t="shared" si="10"/>
        <v/>
      </c>
      <c r="U321" s="17" t="str">
        <f t="shared" si="11"/>
        <v/>
      </c>
      <c r="V321" s="17" t="str">
        <f t="shared" si="12"/>
        <v/>
      </c>
      <c r="W321" s="17" t="str">
        <f t="shared" si="13"/>
        <v>ARC&gt;0</v>
      </c>
      <c r="X321" s="13" t="str">
        <f t="shared" si="14"/>
        <v/>
      </c>
      <c r="Y321" s="11">
        <v>0.8887724684</v>
      </c>
      <c r="Z321" s="11">
        <v>0.0</v>
      </c>
      <c r="AA321" s="11">
        <v>0.0</v>
      </c>
      <c r="AB321" s="11">
        <v>99.88674854</v>
      </c>
      <c r="AC321" s="15">
        <f t="shared" si="15"/>
        <v>100</v>
      </c>
      <c r="AD321" s="16" t="str">
        <f t="shared" si="16"/>
        <v/>
      </c>
      <c r="AE321" s="16" t="str">
        <f t="shared" si="17"/>
        <v/>
      </c>
      <c r="AF321" s="16" t="str">
        <f t="shared" si="18"/>
        <v/>
      </c>
      <c r="AG321" s="16" t="str">
        <f t="shared" si="19"/>
        <v>ARC&gt;0</v>
      </c>
      <c r="AH321" s="13" t="str">
        <f t="shared" si="20"/>
        <v/>
      </c>
      <c r="AI321" s="11">
        <v>0.1132514643</v>
      </c>
      <c r="AJ321" s="11">
        <v>0.0</v>
      </c>
      <c r="AK321" s="11" t="s">
        <v>43</v>
      </c>
      <c r="AL321" s="18" t="str">
        <f t="shared" si="21"/>
        <v/>
      </c>
    </row>
    <row r="322" ht="15.75" customHeight="1">
      <c r="A322" s="11" t="s">
        <v>629</v>
      </c>
      <c r="B322" s="11">
        <v>2015.0</v>
      </c>
      <c r="C322" s="12" t="str">
        <f>VLOOKUP(A322, Regions!A:B, 2, FALSE)
</f>
        <v>Latin America &amp; Caribbean</v>
      </c>
      <c r="D322" s="13">
        <f t="shared" si="1"/>
        <v>5</v>
      </c>
      <c r="E322" s="14">
        <f t="shared" si="2"/>
        <v>2017.5</v>
      </c>
      <c r="F322" s="11" t="s">
        <v>630</v>
      </c>
      <c r="G322" s="11">
        <v>77.35700226</v>
      </c>
      <c r="H322" s="11">
        <v>90.28200304</v>
      </c>
      <c r="I322" s="15">
        <f t="shared" si="3"/>
        <v>90</v>
      </c>
      <c r="J322" s="16" t="str">
        <f t="shared" si="4"/>
        <v/>
      </c>
      <c r="K322" s="16" t="str">
        <f t="shared" si="5"/>
        <v/>
      </c>
      <c r="L322" s="16" t="str">
        <f t="shared" si="6"/>
        <v/>
      </c>
      <c r="M322" s="16" t="str">
        <f t="shared" si="7"/>
        <v>ARC&gt;0</v>
      </c>
      <c r="N322" s="13">
        <f t="shared" si="8"/>
        <v>0.571472634</v>
      </c>
      <c r="O322" s="11">
        <v>0.9325834719</v>
      </c>
      <c r="P322" s="11">
        <v>5.763626055</v>
      </c>
      <c r="Q322" s="11">
        <v>3.021787439</v>
      </c>
      <c r="R322" s="11">
        <v>73.28762384</v>
      </c>
      <c r="S322" s="15">
        <f t="shared" si="9"/>
        <v>73</v>
      </c>
      <c r="T322" s="17" t="str">
        <f t="shared" si="10"/>
        <v/>
      </c>
      <c r="U322" s="17" t="str">
        <f t="shared" si="11"/>
        <v/>
      </c>
      <c r="V322" s="17" t="str">
        <f t="shared" si="12"/>
        <v/>
      </c>
      <c r="W322" s="17" t="str">
        <f t="shared" si="13"/>
        <v>ARC&gt;0</v>
      </c>
      <c r="X322" s="13">
        <f t="shared" si="14"/>
        <v>1.50236293</v>
      </c>
      <c r="Y322" s="11">
        <v>1.523040337</v>
      </c>
      <c r="Z322" s="11">
        <v>12.99206766</v>
      </c>
      <c r="AA322" s="11">
        <v>12.19726817</v>
      </c>
      <c r="AB322" s="11">
        <v>95.25638702</v>
      </c>
      <c r="AC322" s="15">
        <f t="shared" si="15"/>
        <v>95</v>
      </c>
      <c r="AD322" s="16" t="str">
        <f t="shared" si="16"/>
        <v/>
      </c>
      <c r="AE322" s="16" t="str">
        <f t="shared" si="17"/>
        <v/>
      </c>
      <c r="AF322" s="16" t="str">
        <f t="shared" si="18"/>
        <v/>
      </c>
      <c r="AG322" s="16" t="str">
        <f t="shared" si="19"/>
        <v>ARC&gt;0</v>
      </c>
      <c r="AH322" s="13">
        <f t="shared" si="20"/>
        <v>0.260691412</v>
      </c>
      <c r="AI322" s="11">
        <v>0.75975209</v>
      </c>
      <c r="AJ322" s="11">
        <v>3.647808558</v>
      </c>
      <c r="AK322" s="11" t="s">
        <v>631</v>
      </c>
      <c r="AL322" s="18">
        <f t="shared" si="21"/>
        <v>1.241671518</v>
      </c>
    </row>
    <row r="323" ht="15.75" customHeight="1">
      <c r="A323" s="11" t="s">
        <v>629</v>
      </c>
      <c r="B323" s="11">
        <v>2020.0</v>
      </c>
      <c r="C323" s="12" t="str">
        <f>VLOOKUP(A323, Regions!A:B, 2, FALSE)
</f>
        <v>Latin America &amp; Caribbean</v>
      </c>
      <c r="D323" s="13" t="str">
        <f t="shared" si="1"/>
        <v/>
      </c>
      <c r="E323" s="14" t="str">
        <f t="shared" si="2"/>
        <v/>
      </c>
      <c r="F323" s="11" t="s">
        <v>632</v>
      </c>
      <c r="G323" s="11">
        <v>78.2970047</v>
      </c>
      <c r="H323" s="11">
        <v>93.13936621</v>
      </c>
      <c r="I323" s="15">
        <f t="shared" si="3"/>
        <v>93</v>
      </c>
      <c r="J323" s="16" t="str">
        <f t="shared" si="4"/>
        <v/>
      </c>
      <c r="K323" s="16" t="str">
        <f t="shared" si="5"/>
        <v/>
      </c>
      <c r="L323" s="16" t="str">
        <f t="shared" si="6"/>
        <v/>
      </c>
      <c r="M323" s="16" t="str">
        <f t="shared" si="7"/>
        <v>ARC&gt;0</v>
      </c>
      <c r="N323" s="13" t="str">
        <f t="shared" si="8"/>
        <v/>
      </c>
      <c r="O323" s="11">
        <v>0.8495593511</v>
      </c>
      <c r="P323" s="11">
        <v>4.150468349</v>
      </c>
      <c r="Q323" s="11">
        <v>1.860606087</v>
      </c>
      <c r="R323" s="11">
        <v>80.79943849</v>
      </c>
      <c r="S323" s="15">
        <f t="shared" si="9"/>
        <v>81</v>
      </c>
      <c r="T323" s="17" t="str">
        <f t="shared" si="10"/>
        <v/>
      </c>
      <c r="U323" s="17" t="str">
        <f t="shared" si="11"/>
        <v/>
      </c>
      <c r="V323" s="17" t="str">
        <f t="shared" si="12"/>
        <v/>
      </c>
      <c r="W323" s="17" t="str">
        <f t="shared" si="13"/>
        <v>ARC&gt;0</v>
      </c>
      <c r="X323" s="13" t="str">
        <f t="shared" si="14"/>
        <v/>
      </c>
      <c r="Y323" s="11">
        <v>1.596943771</v>
      </c>
      <c r="Z323" s="11">
        <v>9.612691163</v>
      </c>
      <c r="AA323" s="11">
        <v>7.990926578</v>
      </c>
      <c r="AB323" s="11">
        <v>96.55984408</v>
      </c>
      <c r="AC323" s="15">
        <f t="shared" si="15"/>
        <v>97</v>
      </c>
      <c r="AD323" s="16" t="str">
        <f t="shared" si="16"/>
        <v/>
      </c>
      <c r="AE323" s="16" t="str">
        <f t="shared" si="17"/>
        <v/>
      </c>
      <c r="AF323" s="16" t="str">
        <f t="shared" si="18"/>
        <v/>
      </c>
      <c r="AG323" s="16" t="str">
        <f t="shared" si="19"/>
        <v>ARC&gt;0</v>
      </c>
      <c r="AH323" s="13" t="str">
        <f t="shared" si="20"/>
        <v/>
      </c>
      <c r="AI323" s="11">
        <v>0.6423932356</v>
      </c>
      <c r="AJ323" s="11">
        <v>2.636408693</v>
      </c>
      <c r="AK323" s="11" t="s">
        <v>633</v>
      </c>
      <c r="AL323" s="18" t="str">
        <f t="shared" si="21"/>
        <v/>
      </c>
    </row>
    <row r="324" ht="15.75" customHeight="1">
      <c r="A324" s="11" t="s">
        <v>634</v>
      </c>
      <c r="B324" s="11">
        <v>2015.0</v>
      </c>
      <c r="C324" s="12" t="str">
        <f>VLOOKUP(A324, Regions!A:B, 2, FALSE)
</f>
        <v>South Asia</v>
      </c>
      <c r="D324" s="13">
        <f t="shared" si="1"/>
        <v>5</v>
      </c>
      <c r="E324" s="14">
        <f t="shared" si="2"/>
        <v>2017.5</v>
      </c>
      <c r="F324" s="11" t="s">
        <v>635</v>
      </c>
      <c r="G324" s="11">
        <v>46.2840004</v>
      </c>
      <c r="H324" s="11">
        <v>92.01770102</v>
      </c>
      <c r="I324" s="15">
        <f t="shared" si="3"/>
        <v>92</v>
      </c>
      <c r="J324" s="16" t="str">
        <f t="shared" si="4"/>
        <v/>
      </c>
      <c r="K324" s="16" t="str">
        <f t="shared" si="5"/>
        <v/>
      </c>
      <c r="L324" s="16" t="str">
        <f t="shared" si="6"/>
        <v/>
      </c>
      <c r="M324" s="16" t="str">
        <f t="shared" si="7"/>
        <v>ARC&gt;0</v>
      </c>
      <c r="N324" s="13">
        <f t="shared" si="8"/>
        <v>0.418266708</v>
      </c>
      <c r="O324" s="11">
        <v>2.920429319</v>
      </c>
      <c r="P324" s="11">
        <v>4.532138462</v>
      </c>
      <c r="Q324" s="11">
        <v>0.5297311944</v>
      </c>
      <c r="R324" s="11">
        <v>88.20816233</v>
      </c>
      <c r="S324" s="15">
        <f t="shared" si="9"/>
        <v>88</v>
      </c>
      <c r="T324" s="17" t="str">
        <f t="shared" si="10"/>
        <v/>
      </c>
      <c r="U324" s="17" t="str">
        <f t="shared" si="11"/>
        <v/>
      </c>
      <c r="V324" s="17" t="str">
        <f t="shared" si="12"/>
        <v/>
      </c>
      <c r="W324" s="17" t="str">
        <f t="shared" si="13"/>
        <v>ARC&gt;0</v>
      </c>
      <c r="X324" s="13">
        <f t="shared" si="14"/>
        <v>0.570754178</v>
      </c>
      <c r="Y324" s="11">
        <v>3.825892542</v>
      </c>
      <c r="Z324" s="11">
        <v>7.111213037</v>
      </c>
      <c r="AA324" s="11">
        <v>0.8547320937</v>
      </c>
      <c r="AB324" s="11">
        <v>96.43895214</v>
      </c>
      <c r="AC324" s="15">
        <f t="shared" si="15"/>
        <v>96</v>
      </c>
      <c r="AD324" s="16" t="str">
        <f t="shared" si="16"/>
        <v/>
      </c>
      <c r="AE324" s="16" t="str">
        <f t="shared" si="17"/>
        <v/>
      </c>
      <c r="AF324" s="16" t="str">
        <f t="shared" si="18"/>
        <v/>
      </c>
      <c r="AG324" s="16" t="str">
        <f t="shared" si="19"/>
        <v>ARC&gt;0</v>
      </c>
      <c r="AH324" s="13">
        <f t="shared" si="20"/>
        <v>0.210076072</v>
      </c>
      <c r="AI324" s="11">
        <v>1.869572353</v>
      </c>
      <c r="AJ324" s="11">
        <v>1.538931873</v>
      </c>
      <c r="AK324" s="11" t="s">
        <v>636</v>
      </c>
      <c r="AL324" s="18">
        <f t="shared" si="21"/>
        <v>0.360678106</v>
      </c>
    </row>
    <row r="325" ht="15.75" customHeight="1">
      <c r="A325" s="11" t="s">
        <v>634</v>
      </c>
      <c r="B325" s="11">
        <v>2020.0</v>
      </c>
      <c r="C325" s="12" t="str">
        <f>VLOOKUP(A325, Regions!A:B, 2, FALSE)
</f>
        <v>South Asia</v>
      </c>
      <c r="D325" s="13" t="str">
        <f t="shared" si="1"/>
        <v/>
      </c>
      <c r="E325" s="14" t="str">
        <f t="shared" si="2"/>
        <v/>
      </c>
      <c r="F325" s="11" t="s">
        <v>637</v>
      </c>
      <c r="G325" s="11">
        <v>47.40799713</v>
      </c>
      <c r="H325" s="11">
        <v>94.10903456</v>
      </c>
      <c r="I325" s="15">
        <f t="shared" si="3"/>
        <v>94</v>
      </c>
      <c r="J325" s="16" t="str">
        <f t="shared" si="4"/>
        <v/>
      </c>
      <c r="K325" s="16" t="str">
        <f t="shared" si="5"/>
        <v/>
      </c>
      <c r="L325" s="16" t="str">
        <f t="shared" si="6"/>
        <v/>
      </c>
      <c r="M325" s="16" t="str">
        <f t="shared" si="7"/>
        <v>ARC&gt;0</v>
      </c>
      <c r="N325" s="13" t="str">
        <f t="shared" si="8"/>
        <v/>
      </c>
      <c r="O325" s="11">
        <v>2.856486137</v>
      </c>
      <c r="P325" s="11">
        <v>3.034479307</v>
      </c>
      <c r="Q325" s="11">
        <v>0.0</v>
      </c>
      <c r="R325" s="11">
        <v>91.06193322</v>
      </c>
      <c r="S325" s="15">
        <f t="shared" si="9"/>
        <v>91</v>
      </c>
      <c r="T325" s="17" t="str">
        <f t="shared" si="10"/>
        <v/>
      </c>
      <c r="U325" s="17" t="str">
        <f t="shared" si="11"/>
        <v/>
      </c>
      <c r="V325" s="17" t="str">
        <f t="shared" si="12"/>
        <v/>
      </c>
      <c r="W325" s="17" t="str">
        <f t="shared" si="13"/>
        <v>ARC&gt;0</v>
      </c>
      <c r="X325" s="13" t="str">
        <f t="shared" si="14"/>
        <v/>
      </c>
      <c r="Y325" s="11">
        <v>3.959520428</v>
      </c>
      <c r="Z325" s="11">
        <v>4.978546347</v>
      </c>
      <c r="AA325" s="11">
        <v>0.0</v>
      </c>
      <c r="AB325" s="11">
        <v>97.4893325</v>
      </c>
      <c r="AC325" s="15">
        <f t="shared" si="15"/>
        <v>97</v>
      </c>
      <c r="AD325" s="16" t="str">
        <f t="shared" si="16"/>
        <v/>
      </c>
      <c r="AE325" s="16" t="str">
        <f t="shared" si="17"/>
        <v/>
      </c>
      <c r="AF325" s="16" t="str">
        <f t="shared" si="18"/>
        <v/>
      </c>
      <c r="AG325" s="16" t="str">
        <f t="shared" si="19"/>
        <v>ARC&gt;0</v>
      </c>
      <c r="AH325" s="13" t="str">
        <f t="shared" si="20"/>
        <v/>
      </c>
      <c r="AI325" s="11">
        <v>1.632836465</v>
      </c>
      <c r="AJ325" s="11">
        <v>0.877831036</v>
      </c>
      <c r="AK325" s="11" t="s">
        <v>43</v>
      </c>
      <c r="AL325" s="18" t="str">
        <f t="shared" si="21"/>
        <v/>
      </c>
    </row>
    <row r="326" ht="15.75" customHeight="1">
      <c r="A326" s="11" t="s">
        <v>638</v>
      </c>
      <c r="B326" s="11">
        <v>2015.0</v>
      </c>
      <c r="C326" s="12" t="str">
        <f>VLOOKUP(A326, Regions!A:B, 2, FALSE)
</f>
        <v>Europe &amp; Central Asia</v>
      </c>
      <c r="D326" s="13">
        <f t="shared" si="1"/>
        <v>5</v>
      </c>
      <c r="E326" s="14">
        <f t="shared" si="2"/>
        <v>2017.5</v>
      </c>
      <c r="F326" s="11" t="s">
        <v>639</v>
      </c>
      <c r="G326" s="11">
        <v>60.27799606</v>
      </c>
      <c r="H326" s="11">
        <v>99.23206988</v>
      </c>
      <c r="I326" s="15">
        <f t="shared" si="3"/>
        <v>99</v>
      </c>
      <c r="J326" s="16" t="str">
        <f t="shared" si="4"/>
        <v/>
      </c>
      <c r="K326" s="16" t="str">
        <f t="shared" si="5"/>
        <v/>
      </c>
      <c r="L326" s="16" t="str">
        <f t="shared" si="6"/>
        <v/>
      </c>
      <c r="M326" s="16" t="str">
        <f t="shared" si="7"/>
        <v>ARC&gt;0</v>
      </c>
      <c r="N326" s="13">
        <f t="shared" si="8"/>
        <v>0.146904334</v>
      </c>
      <c r="O326" s="11">
        <v>0.0</v>
      </c>
      <c r="P326" s="11">
        <v>0.7679301246</v>
      </c>
      <c r="Q326" s="11">
        <v>0.0</v>
      </c>
      <c r="R326" s="11">
        <v>98.53790323</v>
      </c>
      <c r="S326" s="15">
        <f t="shared" si="9"/>
        <v>99</v>
      </c>
      <c r="T326" s="17" t="str">
        <f t="shared" si="10"/>
        <v/>
      </c>
      <c r="U326" s="17" t="str">
        <f t="shared" si="11"/>
        <v/>
      </c>
      <c r="V326" s="17" t="str">
        <f t="shared" si="12"/>
        <v/>
      </c>
      <c r="W326" s="17" t="str">
        <f t="shared" si="13"/>
        <v>ARC&gt;0</v>
      </c>
      <c r="X326" s="13">
        <f t="shared" si="14"/>
        <v>0.292419354</v>
      </c>
      <c r="Y326" s="11">
        <v>0.0</v>
      </c>
      <c r="Z326" s="11">
        <v>1.462096774</v>
      </c>
      <c r="AA326" s="11">
        <v>0.0</v>
      </c>
      <c r="AB326" s="11">
        <v>99.68951613</v>
      </c>
      <c r="AC326" s="15">
        <f t="shared" si="15"/>
        <v>100</v>
      </c>
      <c r="AD326" s="16" t="str">
        <f t="shared" si="16"/>
        <v>full access</v>
      </c>
      <c r="AE326" s="16" t="str">
        <f t="shared" si="17"/>
        <v/>
      </c>
      <c r="AF326" s="16" t="str">
        <f t="shared" si="18"/>
        <v/>
      </c>
      <c r="AG326" s="16" t="str">
        <f t="shared" si="19"/>
        <v>ARC&gt;0</v>
      </c>
      <c r="AH326" s="13">
        <f t="shared" si="20"/>
        <v>0.050967742</v>
      </c>
      <c r="AI326" s="11">
        <v>0.0</v>
      </c>
      <c r="AJ326" s="11">
        <v>0.310483871</v>
      </c>
      <c r="AK326" s="11" t="s">
        <v>43</v>
      </c>
      <c r="AL326" s="18">
        <f t="shared" si="21"/>
        <v>0.241451612</v>
      </c>
    </row>
    <row r="327" ht="15.75" customHeight="1">
      <c r="A327" s="11" t="s">
        <v>638</v>
      </c>
      <c r="B327" s="11">
        <v>2020.0</v>
      </c>
      <c r="C327" s="12" t="str">
        <f>VLOOKUP(A327, Regions!A:B, 2, FALSE)
</f>
        <v>Europe &amp; Central Asia</v>
      </c>
      <c r="D327" s="13" t="str">
        <f t="shared" si="1"/>
        <v/>
      </c>
      <c r="E327" s="14" t="str">
        <f t="shared" si="2"/>
        <v/>
      </c>
      <c r="F327" s="11" t="s">
        <v>640</v>
      </c>
      <c r="G327" s="11">
        <v>60.04300308</v>
      </c>
      <c r="H327" s="11">
        <v>99.96659155</v>
      </c>
      <c r="I327" s="15">
        <f t="shared" si="3"/>
        <v>100</v>
      </c>
      <c r="J327" s="16" t="str">
        <f t="shared" si="4"/>
        <v/>
      </c>
      <c r="K327" s="16" t="str">
        <f t="shared" si="5"/>
        <v/>
      </c>
      <c r="L327" s="16" t="str">
        <f t="shared" si="6"/>
        <v/>
      </c>
      <c r="M327" s="16" t="str">
        <f t="shared" si="7"/>
        <v>ARC&gt;0</v>
      </c>
      <c r="N327" s="13" t="str">
        <f t="shared" si="8"/>
        <v/>
      </c>
      <c r="O327" s="11">
        <v>0.0</v>
      </c>
      <c r="P327" s="11">
        <v>0.03340844529</v>
      </c>
      <c r="Q327" s="11">
        <v>0.0</v>
      </c>
      <c r="R327" s="11">
        <v>100.0</v>
      </c>
      <c r="S327" s="15">
        <f t="shared" si="9"/>
        <v>100</v>
      </c>
      <c r="T327" s="17" t="str">
        <f t="shared" si="10"/>
        <v/>
      </c>
      <c r="U327" s="17" t="str">
        <f t="shared" si="11"/>
        <v/>
      </c>
      <c r="V327" s="17" t="str">
        <f t="shared" si="12"/>
        <v/>
      </c>
      <c r="W327" s="17" t="str">
        <f t="shared" si="13"/>
        <v>ARC&gt;0</v>
      </c>
      <c r="X327" s="13" t="str">
        <f t="shared" si="14"/>
        <v/>
      </c>
      <c r="Y327" s="11">
        <v>0.0</v>
      </c>
      <c r="Z327" s="11">
        <v>0.0</v>
      </c>
      <c r="AA327" s="11">
        <v>0.0</v>
      </c>
      <c r="AB327" s="11">
        <v>99.94435484</v>
      </c>
      <c r="AC327" s="15">
        <f t="shared" si="15"/>
        <v>100</v>
      </c>
      <c r="AD327" s="16" t="str">
        <f t="shared" si="16"/>
        <v/>
      </c>
      <c r="AE327" s="16" t="str">
        <f t="shared" si="17"/>
        <v/>
      </c>
      <c r="AF327" s="16" t="str">
        <f t="shared" si="18"/>
        <v/>
      </c>
      <c r="AG327" s="16" t="str">
        <f t="shared" si="19"/>
        <v>ARC&gt;0</v>
      </c>
      <c r="AH327" s="13" t="str">
        <f t="shared" si="20"/>
        <v/>
      </c>
      <c r="AI327" s="11">
        <v>0.0</v>
      </c>
      <c r="AJ327" s="11">
        <v>0.05564516129</v>
      </c>
      <c r="AK327" s="11" t="s">
        <v>43</v>
      </c>
      <c r="AL327" s="18" t="str">
        <f t="shared" si="21"/>
        <v/>
      </c>
    </row>
    <row r="328" ht="15.75" customHeight="1">
      <c r="A328" s="11" t="s">
        <v>641</v>
      </c>
      <c r="B328" s="11">
        <v>2015.0</v>
      </c>
      <c r="C328" s="12" t="str">
        <f>VLOOKUP(A328, Regions!A:B, 2, FALSE)
</f>
        <v>Europe &amp; Central Asia</v>
      </c>
      <c r="D328" s="13">
        <f t="shared" si="1"/>
        <v>5</v>
      </c>
      <c r="E328" s="14">
        <f t="shared" si="2"/>
        <v>2017.5</v>
      </c>
      <c r="F328" s="11" t="s">
        <v>642</v>
      </c>
      <c r="G328" s="11">
        <v>63.51399994</v>
      </c>
      <c r="H328" s="11">
        <v>99.90468984</v>
      </c>
      <c r="I328" s="15">
        <f t="shared" si="3"/>
        <v>100</v>
      </c>
      <c r="J328" s="16" t="str">
        <f t="shared" si="4"/>
        <v>full access</v>
      </c>
      <c r="K328" s="16" t="str">
        <f t="shared" si="5"/>
        <v/>
      </c>
      <c r="L328" s="16" t="str">
        <f t="shared" si="6"/>
        <v/>
      </c>
      <c r="M328" s="16" t="str">
        <f t="shared" si="7"/>
        <v/>
      </c>
      <c r="N328" s="13">
        <f t="shared" si="8"/>
        <v>0.001460766</v>
      </c>
      <c r="O328" s="11">
        <v>0.0</v>
      </c>
      <c r="P328" s="11">
        <v>0.095310157</v>
      </c>
      <c r="Q328" s="11">
        <v>0.0</v>
      </c>
      <c r="R328" s="11">
        <v>99.73877609</v>
      </c>
      <c r="S328" s="15">
        <f t="shared" si="9"/>
        <v>100</v>
      </c>
      <c r="T328" s="17" t="str">
        <f t="shared" si="10"/>
        <v>full access</v>
      </c>
      <c r="U328" s="17" t="str">
        <f t="shared" si="11"/>
        <v/>
      </c>
      <c r="V328" s="17" t="str">
        <f t="shared" si="12"/>
        <v/>
      </c>
      <c r="W328" s="17" t="str">
        <f t="shared" si="13"/>
        <v>ARC&gt;0</v>
      </c>
      <c r="X328" s="13">
        <f t="shared" si="14"/>
        <v>0</v>
      </c>
      <c r="Y328" s="11">
        <v>0.0</v>
      </c>
      <c r="Z328" s="11">
        <v>0.2612239122</v>
      </c>
      <c r="AA328" s="11">
        <v>0.0</v>
      </c>
      <c r="AB328" s="11">
        <v>100.0</v>
      </c>
      <c r="AC328" s="15">
        <f t="shared" si="15"/>
        <v>100</v>
      </c>
      <c r="AD328" s="16" t="str">
        <f t="shared" si="16"/>
        <v>full access</v>
      </c>
      <c r="AE328" s="16" t="str">
        <f t="shared" si="17"/>
        <v/>
      </c>
      <c r="AF328" s="16" t="str">
        <f t="shared" si="18"/>
        <v/>
      </c>
      <c r="AG328" s="16" t="str">
        <f t="shared" si="19"/>
        <v>ARC&gt;0</v>
      </c>
      <c r="AH328" s="13">
        <f t="shared" si="20"/>
        <v>0</v>
      </c>
      <c r="AI328" s="11">
        <v>0.0</v>
      </c>
      <c r="AJ328" s="11">
        <v>0.0</v>
      </c>
      <c r="AK328" s="11" t="s">
        <v>43</v>
      </c>
      <c r="AL328" s="18">
        <f t="shared" si="21"/>
        <v>0</v>
      </c>
    </row>
    <row r="329" ht="15.75" customHeight="1">
      <c r="A329" s="11" t="s">
        <v>641</v>
      </c>
      <c r="B329" s="11">
        <v>2020.0</v>
      </c>
      <c r="C329" s="12" t="str">
        <f>VLOOKUP(A329, Regions!A:B, 2, FALSE)
</f>
        <v>Europe &amp; Central Asia</v>
      </c>
      <c r="D329" s="13" t="str">
        <f t="shared" si="1"/>
        <v/>
      </c>
      <c r="E329" s="14" t="str">
        <f t="shared" si="2"/>
        <v/>
      </c>
      <c r="F329" s="11" t="s">
        <v>643</v>
      </c>
      <c r="G329" s="11">
        <v>66.30999756</v>
      </c>
      <c r="H329" s="11">
        <v>99.91199367</v>
      </c>
      <c r="I329" s="15">
        <f t="shared" si="3"/>
        <v>100</v>
      </c>
      <c r="J329" s="16" t="str">
        <f t="shared" si="4"/>
        <v/>
      </c>
      <c r="K329" s="16" t="str">
        <f t="shared" si="5"/>
        <v/>
      </c>
      <c r="L329" s="16" t="str">
        <f t="shared" si="6"/>
        <v/>
      </c>
      <c r="M329" s="16" t="str">
        <f t="shared" si="7"/>
        <v>ARC&gt;0</v>
      </c>
      <c r="N329" s="13" t="str">
        <f t="shared" si="8"/>
        <v/>
      </c>
      <c r="O329" s="11">
        <v>0.0</v>
      </c>
      <c r="P329" s="11">
        <v>0.08800633369</v>
      </c>
      <c r="Q329" s="11">
        <v>0.0</v>
      </c>
      <c r="R329" s="11">
        <v>99.73877609</v>
      </c>
      <c r="S329" s="15">
        <f t="shared" si="9"/>
        <v>100</v>
      </c>
      <c r="T329" s="17" t="str">
        <f t="shared" si="10"/>
        <v/>
      </c>
      <c r="U329" s="17" t="str">
        <f t="shared" si="11"/>
        <v/>
      </c>
      <c r="V329" s="17" t="str">
        <f t="shared" si="12"/>
        <v/>
      </c>
      <c r="W329" s="17" t="str">
        <f t="shared" si="13"/>
        <v>ARC&gt;0</v>
      </c>
      <c r="X329" s="13" t="str">
        <f t="shared" si="14"/>
        <v/>
      </c>
      <c r="Y329" s="11">
        <v>0.0</v>
      </c>
      <c r="Z329" s="11">
        <v>0.2612239122</v>
      </c>
      <c r="AA329" s="11">
        <v>0.0</v>
      </c>
      <c r="AB329" s="11">
        <v>100.0</v>
      </c>
      <c r="AC329" s="15">
        <f t="shared" si="15"/>
        <v>100</v>
      </c>
      <c r="AD329" s="16" t="str">
        <f t="shared" si="16"/>
        <v/>
      </c>
      <c r="AE329" s="16" t="str">
        <f t="shared" si="17"/>
        <v/>
      </c>
      <c r="AF329" s="16" t="str">
        <f t="shared" si="18"/>
        <v/>
      </c>
      <c r="AG329" s="16" t="str">
        <f t="shared" si="19"/>
        <v>ARC&gt;0</v>
      </c>
      <c r="AH329" s="13" t="str">
        <f t="shared" si="20"/>
        <v/>
      </c>
      <c r="AI329" s="11">
        <v>0.0</v>
      </c>
      <c r="AJ329" s="11">
        <v>0.0</v>
      </c>
      <c r="AK329" s="11" t="s">
        <v>43</v>
      </c>
      <c r="AL329" s="18" t="str">
        <f t="shared" si="21"/>
        <v/>
      </c>
    </row>
    <row r="330" ht="15.75" customHeight="1">
      <c r="A330" s="11" t="s">
        <v>644</v>
      </c>
      <c r="B330" s="11">
        <v>2015.0</v>
      </c>
      <c r="C330" s="12" t="str">
        <f>VLOOKUP(A330, Regions!A:B, 2, FALSE)
</f>
        <v>Latin America &amp; Caribbean</v>
      </c>
      <c r="D330" s="13">
        <f t="shared" si="1"/>
        <v>5</v>
      </c>
      <c r="E330" s="14">
        <f t="shared" si="2"/>
        <v>2017.5</v>
      </c>
      <c r="F330" s="11" t="s">
        <v>645</v>
      </c>
      <c r="G330" s="11">
        <v>93.62400055</v>
      </c>
      <c r="H330" s="11">
        <v>99.42544976</v>
      </c>
      <c r="I330" s="15">
        <f t="shared" si="3"/>
        <v>99</v>
      </c>
      <c r="J330" s="16" t="str">
        <f t="shared" si="4"/>
        <v/>
      </c>
      <c r="K330" s="16" t="str">
        <f t="shared" si="5"/>
        <v/>
      </c>
      <c r="L330" s="16" t="str">
        <f t="shared" si="6"/>
        <v/>
      </c>
      <c r="M330" s="16" t="str">
        <f t="shared" si="7"/>
        <v>ARC&gt;0</v>
      </c>
      <c r="N330" s="13">
        <f t="shared" si="8"/>
        <v>0.114910048</v>
      </c>
      <c r="O330" s="11">
        <v>0.0</v>
      </c>
      <c r="P330" s="11">
        <v>0.574550243</v>
      </c>
      <c r="Q330" s="11">
        <v>0.0</v>
      </c>
      <c r="S330" s="15">
        <f t="shared" si="9"/>
        <v>0</v>
      </c>
      <c r="T330" s="17" t="str">
        <f t="shared" si="10"/>
        <v/>
      </c>
      <c r="U330" s="17" t="str">
        <f t="shared" si="11"/>
        <v>ARC=0</v>
      </c>
      <c r="V330" s="17" t="str">
        <f t="shared" si="12"/>
        <v/>
      </c>
      <c r="W330" s="17" t="str">
        <f t="shared" si="13"/>
        <v/>
      </c>
      <c r="X330" s="13">
        <f t="shared" si="14"/>
        <v>0</v>
      </c>
      <c r="AC330" s="15">
        <f t="shared" si="15"/>
        <v>0</v>
      </c>
      <c r="AD330" s="16" t="str">
        <f t="shared" si="16"/>
        <v/>
      </c>
      <c r="AE330" s="16" t="str">
        <f t="shared" si="17"/>
        <v>ARC=0</v>
      </c>
      <c r="AF330" s="16" t="str">
        <f t="shared" si="18"/>
        <v/>
      </c>
      <c r="AG330" s="16" t="str">
        <f t="shared" si="19"/>
        <v/>
      </c>
      <c r="AH330" s="13">
        <f t="shared" si="20"/>
        <v>0</v>
      </c>
      <c r="AL330" s="18">
        <f t="shared" si="21"/>
        <v>0</v>
      </c>
    </row>
    <row r="331" ht="15.75" customHeight="1">
      <c r="A331" s="11" t="s">
        <v>644</v>
      </c>
      <c r="B331" s="11">
        <v>2020.0</v>
      </c>
      <c r="C331" s="12" t="str">
        <f>VLOOKUP(A331, Regions!A:B, 2, FALSE)
</f>
        <v>Latin America &amp; Caribbean</v>
      </c>
      <c r="D331" s="13" t="str">
        <f t="shared" si="1"/>
        <v/>
      </c>
      <c r="E331" s="14" t="str">
        <f t="shared" si="2"/>
        <v/>
      </c>
      <c r="F331" s="11" t="s">
        <v>646</v>
      </c>
      <c r="G331" s="11">
        <v>93.58100128</v>
      </c>
      <c r="H331" s="11">
        <v>100.0</v>
      </c>
      <c r="I331" s="15">
        <f t="shared" si="3"/>
        <v>100</v>
      </c>
      <c r="J331" s="16" t="str">
        <f t="shared" si="4"/>
        <v/>
      </c>
      <c r="K331" s="16" t="str">
        <f t="shared" si="5"/>
        <v/>
      </c>
      <c r="L331" s="16" t="str">
        <f t="shared" si="6"/>
        <v/>
      </c>
      <c r="M331" s="16" t="str">
        <f t="shared" si="7"/>
        <v>ARC&gt;0</v>
      </c>
      <c r="N331" s="13" t="str">
        <f t="shared" si="8"/>
        <v/>
      </c>
      <c r="O331" s="11">
        <v>0.0</v>
      </c>
      <c r="P331" s="11">
        <v>0.0</v>
      </c>
      <c r="Q331" s="11">
        <v>0.0</v>
      </c>
      <c r="S331" s="15">
        <f t="shared" si="9"/>
        <v>0</v>
      </c>
      <c r="T331" s="17" t="str">
        <f t="shared" si="10"/>
        <v/>
      </c>
      <c r="U331" s="17" t="str">
        <f t="shared" si="11"/>
        <v>ARC=0</v>
      </c>
      <c r="V331" s="17" t="str">
        <f t="shared" si="12"/>
        <v/>
      </c>
      <c r="W331" s="17" t="str">
        <f t="shared" si="13"/>
        <v/>
      </c>
      <c r="X331" s="13" t="str">
        <f t="shared" si="14"/>
        <v/>
      </c>
      <c r="AC331" s="15">
        <f t="shared" si="15"/>
        <v>0</v>
      </c>
      <c r="AD331" s="16" t="str">
        <f t="shared" si="16"/>
        <v/>
      </c>
      <c r="AE331" s="16" t="str">
        <f t="shared" si="17"/>
        <v>ARC=0</v>
      </c>
      <c r="AF331" s="16" t="str">
        <f t="shared" si="18"/>
        <v/>
      </c>
      <c r="AG331" s="16" t="str">
        <f t="shared" si="19"/>
        <v/>
      </c>
      <c r="AH331" s="13" t="str">
        <f t="shared" si="20"/>
        <v/>
      </c>
      <c r="AL331" s="18" t="str">
        <f t="shared" si="21"/>
        <v/>
      </c>
    </row>
    <row r="332" ht="15.75" customHeight="1">
      <c r="A332" s="11" t="s">
        <v>647</v>
      </c>
      <c r="B332" s="11">
        <v>2015.0</v>
      </c>
      <c r="C332" s="12" t="str">
        <f>VLOOKUP(A332, Regions!A:B, 2, FALSE)
</f>
        <v>Europe &amp; Central Asia</v>
      </c>
      <c r="D332" s="13">
        <f t="shared" si="1"/>
        <v>5</v>
      </c>
      <c r="E332" s="14">
        <f t="shared" si="2"/>
        <v>2017.5</v>
      </c>
      <c r="F332" s="11" t="s">
        <v>648</v>
      </c>
      <c r="G332" s="11">
        <v>98.94499207</v>
      </c>
      <c r="H332" s="11">
        <v>99.69150138</v>
      </c>
      <c r="I332" s="15">
        <f t="shared" si="3"/>
        <v>100</v>
      </c>
      <c r="J332" s="16" t="str">
        <f t="shared" si="4"/>
        <v>full access</v>
      </c>
      <c r="K332" s="16" t="str">
        <f t="shared" si="5"/>
        <v/>
      </c>
      <c r="L332" s="16" t="str">
        <f t="shared" si="6"/>
        <v/>
      </c>
      <c r="M332" s="16" t="str">
        <f t="shared" si="7"/>
        <v/>
      </c>
      <c r="N332" s="13">
        <f t="shared" si="8"/>
        <v>-0.024679888</v>
      </c>
      <c r="O332" s="11">
        <v>0.0</v>
      </c>
      <c r="P332" s="11">
        <v>0.308498617</v>
      </c>
      <c r="Q332" s="11">
        <v>0.0</v>
      </c>
      <c r="S332" s="15">
        <f t="shared" si="9"/>
        <v>0</v>
      </c>
      <c r="T332" s="17" t="str">
        <f t="shared" si="10"/>
        <v/>
      </c>
      <c r="U332" s="17" t="str">
        <f t="shared" si="11"/>
        <v>ARC=0</v>
      </c>
      <c r="V332" s="17" t="str">
        <f t="shared" si="12"/>
        <v/>
      </c>
      <c r="W332" s="17" t="str">
        <f t="shared" si="13"/>
        <v/>
      </c>
      <c r="X332" s="13">
        <f t="shared" si="14"/>
        <v>0</v>
      </c>
      <c r="AC332" s="15">
        <f t="shared" si="15"/>
        <v>0</v>
      </c>
      <c r="AD332" s="16" t="str">
        <f t="shared" si="16"/>
        <v/>
      </c>
      <c r="AE332" s="16" t="str">
        <f t="shared" si="17"/>
        <v>ARC=0</v>
      </c>
      <c r="AF332" s="16" t="str">
        <f t="shared" si="18"/>
        <v/>
      </c>
      <c r="AG332" s="16" t="str">
        <f t="shared" si="19"/>
        <v/>
      </c>
      <c r="AH332" s="13">
        <f t="shared" si="20"/>
        <v>0</v>
      </c>
      <c r="AL332" s="18">
        <f t="shared" si="21"/>
        <v>0</v>
      </c>
    </row>
    <row r="333" ht="15.75" customHeight="1">
      <c r="A333" s="11" t="s">
        <v>647</v>
      </c>
      <c r="B333" s="11">
        <v>2020.0</v>
      </c>
      <c r="C333" s="12" t="str">
        <f>VLOOKUP(A333, Regions!A:B, 2, FALSE)
</f>
        <v>Europe &amp; Central Asia</v>
      </c>
      <c r="D333" s="13" t="str">
        <f t="shared" si="1"/>
        <v/>
      </c>
      <c r="E333" s="14" t="str">
        <f t="shared" si="2"/>
        <v/>
      </c>
      <c r="F333" s="11" t="s">
        <v>649</v>
      </c>
      <c r="G333" s="11">
        <v>99.23500061</v>
      </c>
      <c r="H333" s="11">
        <v>99.56810194</v>
      </c>
      <c r="I333" s="15">
        <f t="shared" si="3"/>
        <v>100</v>
      </c>
      <c r="J333" s="16" t="str">
        <f t="shared" si="4"/>
        <v/>
      </c>
      <c r="K333" s="16" t="str">
        <f t="shared" si="5"/>
        <v/>
      </c>
      <c r="L333" s="16" t="str">
        <f t="shared" si="6"/>
        <v/>
      </c>
      <c r="M333" s="16" t="str">
        <f t="shared" si="7"/>
        <v>ARC&gt;0</v>
      </c>
      <c r="N333" s="13" t="str">
        <f t="shared" si="8"/>
        <v/>
      </c>
      <c r="O333" s="11">
        <v>0.0</v>
      </c>
      <c r="P333" s="11">
        <v>0.4318980637</v>
      </c>
      <c r="Q333" s="11">
        <v>0.0</v>
      </c>
      <c r="S333" s="15">
        <f t="shared" si="9"/>
        <v>0</v>
      </c>
      <c r="T333" s="17" t="str">
        <f t="shared" si="10"/>
        <v/>
      </c>
      <c r="U333" s="17" t="str">
        <f t="shared" si="11"/>
        <v>ARC=0</v>
      </c>
      <c r="V333" s="17" t="str">
        <f t="shared" si="12"/>
        <v/>
      </c>
      <c r="W333" s="17" t="str">
        <f t="shared" si="13"/>
        <v/>
      </c>
      <c r="X333" s="13" t="str">
        <f t="shared" si="14"/>
        <v/>
      </c>
      <c r="AC333" s="15">
        <f t="shared" si="15"/>
        <v>0</v>
      </c>
      <c r="AD333" s="16" t="str">
        <f t="shared" si="16"/>
        <v/>
      </c>
      <c r="AE333" s="16" t="str">
        <f t="shared" si="17"/>
        <v>ARC=0</v>
      </c>
      <c r="AF333" s="16" t="str">
        <f t="shared" si="18"/>
        <v/>
      </c>
      <c r="AG333" s="16" t="str">
        <f t="shared" si="19"/>
        <v/>
      </c>
      <c r="AH333" s="13" t="str">
        <f t="shared" si="20"/>
        <v/>
      </c>
      <c r="AL333" s="18" t="str">
        <f t="shared" si="21"/>
        <v/>
      </c>
    </row>
    <row r="334" ht="15.75" customHeight="1">
      <c r="A334" s="11" t="s">
        <v>650</v>
      </c>
      <c r="B334" s="11">
        <v>2015.0</v>
      </c>
      <c r="C334" s="12" t="str">
        <f>VLOOKUP(A334, Regions!A:B, 2, FALSE)
</f>
        <v>East Asia &amp; Pacific</v>
      </c>
      <c r="D334" s="13">
        <f t="shared" si="1"/>
        <v>5</v>
      </c>
      <c r="E334" s="14">
        <f t="shared" si="2"/>
        <v>2017.5</v>
      </c>
      <c r="F334" s="11" t="s">
        <v>651</v>
      </c>
      <c r="G334" s="11">
        <v>81.63400269</v>
      </c>
      <c r="H334" s="11">
        <v>99.47274641</v>
      </c>
      <c r="I334" s="15">
        <f t="shared" si="3"/>
        <v>99</v>
      </c>
      <c r="J334" s="16" t="str">
        <f t="shared" si="4"/>
        <v/>
      </c>
      <c r="K334" s="16" t="str">
        <f t="shared" si="5"/>
        <v/>
      </c>
      <c r="L334" s="16" t="str">
        <f t="shared" si="6"/>
        <v/>
      </c>
      <c r="M334" s="16" t="str">
        <f t="shared" si="7"/>
        <v>ARC&gt;0</v>
      </c>
      <c r="N334" s="13">
        <f t="shared" si="8"/>
        <v>0.091730048</v>
      </c>
      <c r="O334" s="11">
        <v>0.0</v>
      </c>
      <c r="P334" s="11">
        <v>0.5272535907</v>
      </c>
      <c r="Q334" s="11">
        <v>0.0</v>
      </c>
      <c r="S334" s="15">
        <f t="shared" si="9"/>
        <v>0</v>
      </c>
      <c r="T334" s="17" t="str">
        <f t="shared" si="10"/>
        <v/>
      </c>
      <c r="U334" s="17" t="str">
        <f t="shared" si="11"/>
        <v>ARC=0</v>
      </c>
      <c r="V334" s="17" t="str">
        <f t="shared" si="12"/>
        <v/>
      </c>
      <c r="W334" s="17" t="str">
        <f t="shared" si="13"/>
        <v/>
      </c>
      <c r="X334" s="13">
        <f t="shared" si="14"/>
        <v>0</v>
      </c>
      <c r="AC334" s="15">
        <f t="shared" si="15"/>
        <v>0</v>
      </c>
      <c r="AD334" s="16" t="str">
        <f t="shared" si="16"/>
        <v/>
      </c>
      <c r="AE334" s="16" t="str">
        <f t="shared" si="17"/>
        <v>ARC=0</v>
      </c>
      <c r="AF334" s="16" t="str">
        <f t="shared" si="18"/>
        <v/>
      </c>
      <c r="AG334" s="16" t="str">
        <f t="shared" si="19"/>
        <v/>
      </c>
      <c r="AH334" s="13">
        <f t="shared" si="20"/>
        <v>0</v>
      </c>
      <c r="AL334" s="18">
        <f t="shared" si="21"/>
        <v>0</v>
      </c>
    </row>
    <row r="335" ht="15.75" customHeight="1">
      <c r="A335" s="11" t="s">
        <v>650</v>
      </c>
      <c r="B335" s="11">
        <v>2020.0</v>
      </c>
      <c r="C335" s="12" t="str">
        <f>VLOOKUP(A335, Regions!A:B, 2, FALSE)
</f>
        <v>East Asia &amp; Pacific</v>
      </c>
      <c r="D335" s="13" t="str">
        <f t="shared" si="1"/>
        <v/>
      </c>
      <c r="E335" s="14" t="str">
        <f t="shared" si="2"/>
        <v/>
      </c>
      <c r="F335" s="11" t="s">
        <v>652</v>
      </c>
      <c r="G335" s="11">
        <v>81.41400146</v>
      </c>
      <c r="H335" s="11">
        <v>99.93139665</v>
      </c>
      <c r="I335" s="15">
        <f t="shared" si="3"/>
        <v>100</v>
      </c>
      <c r="J335" s="16" t="str">
        <f t="shared" si="4"/>
        <v/>
      </c>
      <c r="K335" s="16" t="str">
        <f t="shared" si="5"/>
        <v/>
      </c>
      <c r="L335" s="16" t="str">
        <f t="shared" si="6"/>
        <v/>
      </c>
      <c r="M335" s="16" t="str">
        <f t="shared" si="7"/>
        <v>ARC&gt;0</v>
      </c>
      <c r="N335" s="13" t="str">
        <f t="shared" si="8"/>
        <v/>
      </c>
      <c r="O335" s="11">
        <v>0.0</v>
      </c>
      <c r="P335" s="11">
        <v>0.06860335296</v>
      </c>
      <c r="Q335" s="11">
        <v>0.0</v>
      </c>
      <c r="S335" s="15">
        <f t="shared" si="9"/>
        <v>0</v>
      </c>
      <c r="T335" s="17" t="str">
        <f t="shared" si="10"/>
        <v/>
      </c>
      <c r="U335" s="17" t="str">
        <f t="shared" si="11"/>
        <v>ARC=0</v>
      </c>
      <c r="V335" s="17" t="str">
        <f t="shared" si="12"/>
        <v/>
      </c>
      <c r="W335" s="17" t="str">
        <f t="shared" si="13"/>
        <v/>
      </c>
      <c r="X335" s="13" t="str">
        <f t="shared" si="14"/>
        <v/>
      </c>
      <c r="AC335" s="15">
        <f t="shared" si="15"/>
        <v>0</v>
      </c>
      <c r="AD335" s="16" t="str">
        <f t="shared" si="16"/>
        <v/>
      </c>
      <c r="AE335" s="16" t="str">
        <f t="shared" si="17"/>
        <v>ARC=0</v>
      </c>
      <c r="AF335" s="16" t="str">
        <f t="shared" si="18"/>
        <v/>
      </c>
      <c r="AG335" s="16" t="str">
        <f t="shared" si="19"/>
        <v/>
      </c>
      <c r="AH335" s="13" t="str">
        <f t="shared" si="20"/>
        <v/>
      </c>
      <c r="AL335" s="18" t="str">
        <f t="shared" si="21"/>
        <v/>
      </c>
    </row>
    <row r="336" ht="15.75" customHeight="1">
      <c r="A336" s="11" t="s">
        <v>653</v>
      </c>
      <c r="B336" s="11">
        <v>2015.0</v>
      </c>
      <c r="C336" s="12" t="str">
        <f>VLOOKUP(A336, Regions!A:B, 2, FALSE)
</f>
        <v>Europe &amp; Central Asia</v>
      </c>
      <c r="D336" s="13">
        <f t="shared" si="1"/>
        <v>5</v>
      </c>
      <c r="E336" s="14">
        <f t="shared" si="2"/>
        <v>2017.5</v>
      </c>
      <c r="F336" s="11" t="s">
        <v>654</v>
      </c>
      <c r="G336" s="11">
        <v>42.48999786</v>
      </c>
      <c r="H336" s="11">
        <v>88.5760319</v>
      </c>
      <c r="I336" s="15">
        <f t="shared" si="3"/>
        <v>89</v>
      </c>
      <c r="J336" s="16" t="str">
        <f t="shared" si="4"/>
        <v/>
      </c>
      <c r="K336" s="16" t="str">
        <f t="shared" si="5"/>
        <v/>
      </c>
      <c r="L336" s="16" t="str">
        <f t="shared" si="6"/>
        <v/>
      </c>
      <c r="M336" s="16" t="str">
        <f t="shared" si="7"/>
        <v>ARC&gt;0</v>
      </c>
      <c r="N336" s="13">
        <f t="shared" si="8"/>
        <v>0.398786068</v>
      </c>
      <c r="O336" s="11">
        <v>1.485629517</v>
      </c>
      <c r="P336" s="11">
        <v>9.938338582</v>
      </c>
      <c r="Q336" s="11">
        <v>0.0</v>
      </c>
      <c r="R336" s="11">
        <v>82.54249075</v>
      </c>
      <c r="S336" s="15">
        <f t="shared" si="9"/>
        <v>83</v>
      </c>
      <c r="T336" s="17" t="str">
        <f t="shared" si="10"/>
        <v/>
      </c>
      <c r="U336" s="17" t="str">
        <f t="shared" si="11"/>
        <v/>
      </c>
      <c r="V336" s="17" t="str">
        <f t="shared" si="12"/>
        <v/>
      </c>
      <c r="W336" s="17" t="str">
        <f t="shared" si="13"/>
        <v>ARC&gt;0</v>
      </c>
      <c r="X336" s="13">
        <f t="shared" si="14"/>
        <v>0.587709474</v>
      </c>
      <c r="Y336" s="11">
        <v>1.470222482</v>
      </c>
      <c r="Z336" s="11">
        <v>15.98728677</v>
      </c>
      <c r="AA336" s="11">
        <v>0.0</v>
      </c>
      <c r="AB336" s="11">
        <v>96.7423994</v>
      </c>
      <c r="AC336" s="15">
        <f t="shared" si="15"/>
        <v>97</v>
      </c>
      <c r="AD336" s="16" t="str">
        <f t="shared" si="16"/>
        <v/>
      </c>
      <c r="AE336" s="16" t="str">
        <f t="shared" si="17"/>
        <v/>
      </c>
      <c r="AF336" s="16" t="str">
        <f t="shared" si="18"/>
        <v/>
      </c>
      <c r="AG336" s="16" t="str">
        <f t="shared" si="19"/>
        <v>ARC&gt;0</v>
      </c>
      <c r="AH336" s="13">
        <f t="shared" si="20"/>
        <v>0.123009016</v>
      </c>
      <c r="AI336" s="11">
        <v>1.506482861</v>
      </c>
      <c r="AJ336" s="11">
        <v>1.751117739</v>
      </c>
      <c r="AK336" s="11" t="s">
        <v>43</v>
      </c>
      <c r="AL336" s="18">
        <f t="shared" si="21"/>
        <v>0.464700458</v>
      </c>
    </row>
    <row r="337" ht="15.75" customHeight="1">
      <c r="A337" s="11" t="s">
        <v>653</v>
      </c>
      <c r="B337" s="11">
        <v>2020.0</v>
      </c>
      <c r="C337" s="12" t="str">
        <f>VLOOKUP(A337, Regions!A:B, 2, FALSE)
</f>
        <v>Europe &amp; Central Asia</v>
      </c>
      <c r="D337" s="13" t="str">
        <f t="shared" si="1"/>
        <v/>
      </c>
      <c r="E337" s="14" t="str">
        <f t="shared" si="2"/>
        <v/>
      </c>
      <c r="F337" s="11" t="s">
        <v>655</v>
      </c>
      <c r="G337" s="11">
        <v>42.84900284</v>
      </c>
      <c r="H337" s="11">
        <v>90.56996224</v>
      </c>
      <c r="I337" s="15">
        <f t="shared" si="3"/>
        <v>91</v>
      </c>
      <c r="J337" s="16" t="str">
        <f t="shared" si="4"/>
        <v/>
      </c>
      <c r="K337" s="16" t="str">
        <f t="shared" si="5"/>
        <v/>
      </c>
      <c r="L337" s="16" t="str">
        <f t="shared" si="6"/>
        <v/>
      </c>
      <c r="M337" s="16" t="str">
        <f t="shared" si="7"/>
        <v>ARC&gt;0</v>
      </c>
      <c r="N337" s="13" t="str">
        <f t="shared" si="8"/>
        <v/>
      </c>
      <c r="O337" s="11">
        <v>1.519776762</v>
      </c>
      <c r="P337" s="11">
        <v>7.910260997</v>
      </c>
      <c r="Q337" s="11">
        <v>0.0</v>
      </c>
      <c r="R337" s="11">
        <v>85.48103812</v>
      </c>
      <c r="S337" s="15">
        <f t="shared" si="9"/>
        <v>85</v>
      </c>
      <c r="T337" s="17" t="str">
        <f t="shared" si="10"/>
        <v/>
      </c>
      <c r="U337" s="17" t="str">
        <f t="shared" si="11"/>
        <v/>
      </c>
      <c r="V337" s="17" t="str">
        <f t="shared" si="12"/>
        <v/>
      </c>
      <c r="W337" s="17" t="str">
        <f t="shared" si="13"/>
        <v>ARC&gt;0</v>
      </c>
      <c r="X337" s="13" t="str">
        <f t="shared" si="14"/>
        <v/>
      </c>
      <c r="Y337" s="11">
        <v>1.52256302</v>
      </c>
      <c r="Z337" s="11">
        <v>12.99639886</v>
      </c>
      <c r="AA337" s="11">
        <v>0.0</v>
      </c>
      <c r="AB337" s="11">
        <v>97.35744448</v>
      </c>
      <c r="AC337" s="15">
        <f t="shared" si="15"/>
        <v>97</v>
      </c>
      <c r="AD337" s="16" t="str">
        <f t="shared" si="16"/>
        <v/>
      </c>
      <c r="AE337" s="16" t="str">
        <f t="shared" si="17"/>
        <v/>
      </c>
      <c r="AF337" s="16" t="str">
        <f t="shared" si="18"/>
        <v/>
      </c>
      <c r="AG337" s="16" t="str">
        <f t="shared" si="19"/>
        <v>ARC&gt;0</v>
      </c>
      <c r="AH337" s="13" t="str">
        <f t="shared" si="20"/>
        <v/>
      </c>
      <c r="AI337" s="11">
        <v>1.516060408</v>
      </c>
      <c r="AJ337" s="11">
        <v>1.126495111</v>
      </c>
      <c r="AK337" s="11" t="s">
        <v>43</v>
      </c>
      <c r="AL337" s="18" t="str">
        <f t="shared" si="21"/>
        <v/>
      </c>
    </row>
    <row r="338" ht="15.75" customHeight="1">
      <c r="A338" s="11" t="s">
        <v>656</v>
      </c>
      <c r="B338" s="11">
        <v>2015.0</v>
      </c>
      <c r="C338" s="12" t="str">
        <f>VLOOKUP(A338, Regions!A:B, 2, FALSE)
</f>
        <v>Sub-Saharan Africa</v>
      </c>
      <c r="D338" s="13">
        <f t="shared" si="1"/>
        <v>5</v>
      </c>
      <c r="E338" s="14">
        <f t="shared" si="2"/>
        <v>2017.5</v>
      </c>
      <c r="F338" s="11" t="s">
        <v>657</v>
      </c>
      <c r="G338" s="11">
        <v>99.33900452</v>
      </c>
      <c r="H338" s="11">
        <v>99.91153019</v>
      </c>
      <c r="I338" s="15">
        <f t="shared" si="3"/>
        <v>100</v>
      </c>
      <c r="J338" s="16" t="str">
        <f t="shared" si="4"/>
        <v>full access</v>
      </c>
      <c r="K338" s="16" t="str">
        <f t="shared" si="5"/>
        <v/>
      </c>
      <c r="L338" s="16" t="str">
        <f t="shared" si="6"/>
        <v/>
      </c>
      <c r="M338" s="16" t="str">
        <f t="shared" si="7"/>
        <v/>
      </c>
      <c r="N338" s="13">
        <f t="shared" si="8"/>
        <v>0.017693962</v>
      </c>
      <c r="O338" s="11">
        <v>0.0</v>
      </c>
      <c r="P338" s="11">
        <v>0.0884698141</v>
      </c>
      <c r="Q338" s="11">
        <v>0.0</v>
      </c>
      <c r="S338" s="15">
        <f t="shared" si="9"/>
        <v>0</v>
      </c>
      <c r="T338" s="17" t="str">
        <f t="shared" si="10"/>
        <v/>
      </c>
      <c r="U338" s="17" t="str">
        <f t="shared" si="11"/>
        <v>ARC=0</v>
      </c>
      <c r="V338" s="17" t="str">
        <f t="shared" si="12"/>
        <v/>
      </c>
      <c r="W338" s="17" t="str">
        <f t="shared" si="13"/>
        <v/>
      </c>
      <c r="X338" s="13">
        <f t="shared" si="14"/>
        <v>0</v>
      </c>
      <c r="AC338" s="15">
        <f t="shared" si="15"/>
        <v>0</v>
      </c>
      <c r="AD338" s="16" t="str">
        <f t="shared" si="16"/>
        <v/>
      </c>
      <c r="AE338" s="16" t="str">
        <f t="shared" si="17"/>
        <v>ARC=0</v>
      </c>
      <c r="AF338" s="16" t="str">
        <f t="shared" si="18"/>
        <v/>
      </c>
      <c r="AG338" s="16" t="str">
        <f t="shared" si="19"/>
        <v/>
      </c>
      <c r="AH338" s="13">
        <f t="shared" si="20"/>
        <v>0</v>
      </c>
      <c r="AL338" s="18">
        <f t="shared" si="21"/>
        <v>0</v>
      </c>
    </row>
    <row r="339" ht="15.75" customHeight="1">
      <c r="A339" s="11" t="s">
        <v>656</v>
      </c>
      <c r="B339" s="11">
        <v>2020.0</v>
      </c>
      <c r="C339" s="12" t="str">
        <f>VLOOKUP(A339, Regions!A:B, 2, FALSE)
</f>
        <v>Sub-Saharan Africa</v>
      </c>
      <c r="D339" s="13" t="str">
        <f t="shared" si="1"/>
        <v/>
      </c>
      <c r="E339" s="14" t="str">
        <f t="shared" si="2"/>
        <v/>
      </c>
      <c r="F339" s="11" t="s">
        <v>658</v>
      </c>
      <c r="G339" s="11">
        <v>99.65900421</v>
      </c>
      <c r="H339" s="11">
        <v>100.0</v>
      </c>
      <c r="I339" s="15">
        <f t="shared" si="3"/>
        <v>100</v>
      </c>
      <c r="J339" s="16" t="str">
        <f t="shared" si="4"/>
        <v/>
      </c>
      <c r="K339" s="16" t="str">
        <f t="shared" si="5"/>
        <v/>
      </c>
      <c r="L339" s="16" t="str">
        <f t="shared" si="6"/>
        <v/>
      </c>
      <c r="M339" s="16" t="str">
        <f t="shared" si="7"/>
        <v>ARC&gt;0</v>
      </c>
      <c r="N339" s="13" t="str">
        <f t="shared" si="8"/>
        <v/>
      </c>
      <c r="O339" s="11">
        <v>0.0</v>
      </c>
      <c r="P339" s="11">
        <v>0.0</v>
      </c>
      <c r="Q339" s="11">
        <v>0.0</v>
      </c>
      <c r="S339" s="15">
        <f t="shared" si="9"/>
        <v>0</v>
      </c>
      <c r="T339" s="17" t="str">
        <f t="shared" si="10"/>
        <v/>
      </c>
      <c r="U339" s="17" t="str">
        <f t="shared" si="11"/>
        <v>ARC=0</v>
      </c>
      <c r="V339" s="17" t="str">
        <f t="shared" si="12"/>
        <v/>
      </c>
      <c r="W339" s="17" t="str">
        <f t="shared" si="13"/>
        <v/>
      </c>
      <c r="X339" s="13" t="str">
        <f t="shared" si="14"/>
        <v/>
      </c>
      <c r="AC339" s="15">
        <f t="shared" si="15"/>
        <v>0</v>
      </c>
      <c r="AD339" s="16" t="str">
        <f t="shared" si="16"/>
        <v/>
      </c>
      <c r="AE339" s="16" t="str">
        <f t="shared" si="17"/>
        <v>ARC=0</v>
      </c>
      <c r="AF339" s="16" t="str">
        <f t="shared" si="18"/>
        <v/>
      </c>
      <c r="AG339" s="16" t="str">
        <f t="shared" si="19"/>
        <v/>
      </c>
      <c r="AH339" s="13" t="str">
        <f t="shared" si="20"/>
        <v/>
      </c>
      <c r="AL339" s="18" t="str">
        <f t="shared" si="21"/>
        <v/>
      </c>
    </row>
    <row r="340" ht="15.75" customHeight="1">
      <c r="A340" s="11" t="s">
        <v>659</v>
      </c>
      <c r="B340" s="11">
        <v>2015.0</v>
      </c>
      <c r="C340" s="12" t="str">
        <f>VLOOKUP(A340, Regions!A:B, 2, FALSE)
</f>
        <v>Europe &amp; Central Asia</v>
      </c>
      <c r="D340" s="13">
        <f t="shared" si="1"/>
        <v>5</v>
      </c>
      <c r="E340" s="14">
        <f t="shared" si="2"/>
        <v>2017.5</v>
      </c>
      <c r="F340" s="11" t="s">
        <v>660</v>
      </c>
      <c r="G340" s="11">
        <v>53.88699722</v>
      </c>
      <c r="H340" s="11">
        <v>100.0</v>
      </c>
      <c r="I340" s="15">
        <f t="shared" si="3"/>
        <v>100</v>
      </c>
      <c r="J340" s="16" t="str">
        <f t="shared" si="4"/>
        <v>full access</v>
      </c>
      <c r="K340" s="16" t="str">
        <f t="shared" si="5"/>
        <v/>
      </c>
      <c r="L340" s="16" t="str">
        <f t="shared" si="6"/>
        <v/>
      </c>
      <c r="M340" s="16" t="str">
        <f t="shared" si="7"/>
        <v/>
      </c>
      <c r="N340" s="13">
        <f t="shared" si="8"/>
        <v>0</v>
      </c>
      <c r="O340" s="11">
        <v>0.0</v>
      </c>
      <c r="P340" s="11">
        <v>0.0</v>
      </c>
      <c r="Q340" s="11">
        <v>0.0</v>
      </c>
      <c r="R340" s="11">
        <v>100.0</v>
      </c>
      <c r="S340" s="15">
        <f t="shared" si="9"/>
        <v>100</v>
      </c>
      <c r="T340" s="17" t="str">
        <f t="shared" si="10"/>
        <v>full access</v>
      </c>
      <c r="U340" s="17" t="str">
        <f t="shared" si="11"/>
        <v/>
      </c>
      <c r="V340" s="17" t="str">
        <f t="shared" si="12"/>
        <v/>
      </c>
      <c r="W340" s="17" t="str">
        <f t="shared" si="13"/>
        <v>ARC&gt;0</v>
      </c>
      <c r="X340" s="13">
        <f t="shared" si="14"/>
        <v>0</v>
      </c>
      <c r="Y340" s="11">
        <v>0.0</v>
      </c>
      <c r="Z340" s="11">
        <v>0.0</v>
      </c>
      <c r="AA340" s="11">
        <v>0.0</v>
      </c>
      <c r="AB340" s="11">
        <v>100.0</v>
      </c>
      <c r="AC340" s="15">
        <f t="shared" si="15"/>
        <v>100</v>
      </c>
      <c r="AD340" s="16" t="str">
        <f t="shared" si="16"/>
        <v>full access</v>
      </c>
      <c r="AE340" s="16" t="str">
        <f t="shared" si="17"/>
        <v/>
      </c>
      <c r="AF340" s="16" t="str">
        <f t="shared" si="18"/>
        <v/>
      </c>
      <c r="AG340" s="16" t="str">
        <f t="shared" si="19"/>
        <v>ARC&gt;0</v>
      </c>
      <c r="AH340" s="13">
        <f t="shared" si="20"/>
        <v>0</v>
      </c>
      <c r="AI340" s="11">
        <v>0.0</v>
      </c>
      <c r="AJ340" s="11">
        <v>0.0</v>
      </c>
      <c r="AK340" s="11" t="s">
        <v>43</v>
      </c>
      <c r="AL340" s="18">
        <f t="shared" si="21"/>
        <v>0</v>
      </c>
    </row>
    <row r="341" ht="15.75" customHeight="1">
      <c r="A341" s="11" t="s">
        <v>659</v>
      </c>
      <c r="B341" s="11">
        <v>2020.0</v>
      </c>
      <c r="C341" s="12" t="str">
        <f>VLOOKUP(A341, Regions!A:B, 2, FALSE)
</f>
        <v>Europe &amp; Central Asia</v>
      </c>
      <c r="D341" s="13" t="str">
        <f t="shared" si="1"/>
        <v/>
      </c>
      <c r="E341" s="14" t="str">
        <f t="shared" si="2"/>
        <v/>
      </c>
      <c r="F341" s="11" t="s">
        <v>661</v>
      </c>
      <c r="G341" s="11">
        <v>54.19400024</v>
      </c>
      <c r="H341" s="11">
        <v>100.0</v>
      </c>
      <c r="I341" s="15">
        <f t="shared" si="3"/>
        <v>100</v>
      </c>
      <c r="J341" s="16" t="str">
        <f t="shared" si="4"/>
        <v/>
      </c>
      <c r="K341" s="16" t="str">
        <f t="shared" si="5"/>
        <v/>
      </c>
      <c r="L341" s="16" t="str">
        <f t="shared" si="6"/>
        <v/>
      </c>
      <c r="M341" s="16" t="str">
        <f t="shared" si="7"/>
        <v>ARC&gt;0</v>
      </c>
      <c r="N341" s="13" t="str">
        <f t="shared" si="8"/>
        <v/>
      </c>
      <c r="O341" s="11">
        <v>0.0</v>
      </c>
      <c r="P341" s="11">
        <v>0.0</v>
      </c>
      <c r="Q341" s="11">
        <v>0.0</v>
      </c>
      <c r="R341" s="11">
        <v>100.0</v>
      </c>
      <c r="S341" s="15">
        <f t="shared" si="9"/>
        <v>100</v>
      </c>
      <c r="T341" s="17" t="str">
        <f t="shared" si="10"/>
        <v/>
      </c>
      <c r="U341" s="17" t="str">
        <f t="shared" si="11"/>
        <v/>
      </c>
      <c r="V341" s="17" t="str">
        <f t="shared" si="12"/>
        <v/>
      </c>
      <c r="W341" s="17" t="str">
        <f t="shared" si="13"/>
        <v>ARC&gt;0</v>
      </c>
      <c r="X341" s="13" t="str">
        <f t="shared" si="14"/>
        <v/>
      </c>
      <c r="Y341" s="11">
        <v>0.0</v>
      </c>
      <c r="Z341" s="11">
        <v>0.0</v>
      </c>
      <c r="AA341" s="11">
        <v>0.0</v>
      </c>
      <c r="AB341" s="11">
        <v>100.0</v>
      </c>
      <c r="AC341" s="15">
        <f t="shared" si="15"/>
        <v>100</v>
      </c>
      <c r="AD341" s="16" t="str">
        <f t="shared" si="16"/>
        <v/>
      </c>
      <c r="AE341" s="16" t="str">
        <f t="shared" si="17"/>
        <v/>
      </c>
      <c r="AF341" s="16" t="str">
        <f t="shared" si="18"/>
        <v/>
      </c>
      <c r="AG341" s="16" t="str">
        <f t="shared" si="19"/>
        <v>ARC&gt;0</v>
      </c>
      <c r="AH341" s="13" t="str">
        <f t="shared" si="20"/>
        <v/>
      </c>
      <c r="AI341" s="11">
        <v>0.0</v>
      </c>
      <c r="AJ341" s="11">
        <v>0.0</v>
      </c>
      <c r="AK341" s="11" t="s">
        <v>43</v>
      </c>
      <c r="AL341" s="18" t="str">
        <f t="shared" si="21"/>
        <v/>
      </c>
    </row>
    <row r="342" ht="15.75" customHeight="1">
      <c r="A342" s="11" t="s">
        <v>662</v>
      </c>
      <c r="B342" s="11">
        <v>2015.0</v>
      </c>
      <c r="C342" s="12" t="str">
        <f>VLOOKUP(A342, Regions!A:B, 2, FALSE)
</f>
        <v>Europe &amp; Central Asia</v>
      </c>
      <c r="D342" s="13">
        <f t="shared" si="1"/>
        <v>5</v>
      </c>
      <c r="E342" s="14">
        <f t="shared" si="2"/>
        <v>2017.5</v>
      </c>
      <c r="F342" s="11" t="s">
        <v>663</v>
      </c>
      <c r="G342" s="11">
        <v>74.04999542</v>
      </c>
      <c r="H342" s="11">
        <v>96.52715543</v>
      </c>
      <c r="I342" s="15">
        <f t="shared" si="3"/>
        <v>97</v>
      </c>
      <c r="J342" s="16" t="str">
        <f t="shared" si="4"/>
        <v/>
      </c>
      <c r="K342" s="16" t="str">
        <f t="shared" si="5"/>
        <v/>
      </c>
      <c r="L342" s="16" t="str">
        <f t="shared" si="6"/>
        <v/>
      </c>
      <c r="M342" s="16" t="str">
        <f t="shared" si="7"/>
        <v>ARC&gt;0</v>
      </c>
      <c r="N342" s="13">
        <f t="shared" si="8"/>
        <v>0.093078528</v>
      </c>
      <c r="O342" s="11">
        <v>0.6244865344</v>
      </c>
      <c r="P342" s="11">
        <v>2.848358036</v>
      </c>
      <c r="R342" s="11">
        <v>90.11010901</v>
      </c>
      <c r="S342" s="15">
        <f t="shared" si="9"/>
        <v>90</v>
      </c>
      <c r="T342" s="17" t="str">
        <f t="shared" si="10"/>
        <v/>
      </c>
      <c r="U342" s="17" t="str">
        <f t="shared" si="11"/>
        <v/>
      </c>
      <c r="V342" s="17" t="str">
        <f t="shared" si="12"/>
        <v/>
      </c>
      <c r="W342" s="17" t="str">
        <f t="shared" si="13"/>
        <v>ARC&gt;0</v>
      </c>
      <c r="X342" s="13">
        <f t="shared" si="14"/>
        <v>0.28679859</v>
      </c>
      <c r="Y342" s="11">
        <v>1.558364042</v>
      </c>
      <c r="Z342" s="11">
        <v>8.331526946</v>
      </c>
      <c r="AB342" s="11">
        <v>98.77593489</v>
      </c>
      <c r="AC342" s="15">
        <f t="shared" si="15"/>
        <v>99</v>
      </c>
      <c r="AD342" s="16" t="str">
        <f t="shared" si="16"/>
        <v/>
      </c>
      <c r="AE342" s="16" t="str">
        <f t="shared" si="17"/>
        <v/>
      </c>
      <c r="AF342" s="16" t="str">
        <f t="shared" si="18"/>
        <v/>
      </c>
      <c r="AG342" s="16" t="str">
        <f t="shared" si="19"/>
        <v>ARC&gt;0</v>
      </c>
      <c r="AH342" s="13">
        <f t="shared" si="20"/>
        <v>0.011332944</v>
      </c>
      <c r="AI342" s="11">
        <v>0.2972194631</v>
      </c>
      <c r="AJ342" s="11">
        <v>0.726845642</v>
      </c>
      <c r="AK342" s="11" t="s">
        <v>664</v>
      </c>
      <c r="AL342" s="18">
        <f t="shared" si="21"/>
        <v>0.275465646</v>
      </c>
    </row>
    <row r="343" ht="15.75" customHeight="1">
      <c r="A343" s="11" t="s">
        <v>662</v>
      </c>
      <c r="B343" s="11">
        <v>2020.0</v>
      </c>
      <c r="C343" s="12" t="str">
        <f>VLOOKUP(A343, Regions!A:B, 2, FALSE)
</f>
        <v>Europe &amp; Central Asia</v>
      </c>
      <c r="D343" s="13" t="str">
        <f t="shared" si="1"/>
        <v/>
      </c>
      <c r="E343" s="14" t="str">
        <f t="shared" si="2"/>
        <v/>
      </c>
      <c r="F343" s="11" t="s">
        <v>665</v>
      </c>
      <c r="G343" s="11">
        <v>74.75400543</v>
      </c>
      <c r="H343" s="11">
        <v>96.99254807</v>
      </c>
      <c r="I343" s="15">
        <f t="shared" si="3"/>
        <v>97</v>
      </c>
      <c r="J343" s="16" t="str">
        <f t="shared" si="4"/>
        <v/>
      </c>
      <c r="K343" s="16" t="str">
        <f t="shared" si="5"/>
        <v/>
      </c>
      <c r="L343" s="16" t="str">
        <f t="shared" si="6"/>
        <v/>
      </c>
      <c r="M343" s="16" t="str">
        <f t="shared" si="7"/>
        <v>ARC&gt;0</v>
      </c>
      <c r="N343" s="13" t="str">
        <f t="shared" si="8"/>
        <v/>
      </c>
      <c r="O343" s="11">
        <v>0.6219963766</v>
      </c>
      <c r="P343" s="11">
        <v>2.38545555</v>
      </c>
      <c r="R343" s="11">
        <v>91.54410196</v>
      </c>
      <c r="S343" s="15">
        <f t="shared" si="9"/>
        <v>92</v>
      </c>
      <c r="T343" s="17" t="str">
        <f t="shared" si="10"/>
        <v/>
      </c>
      <c r="U343" s="17" t="str">
        <f t="shared" si="11"/>
        <v/>
      </c>
      <c r="V343" s="17" t="str">
        <f t="shared" si="12"/>
        <v/>
      </c>
      <c r="W343" s="17" t="str">
        <f t="shared" si="13"/>
        <v>ARC&gt;0</v>
      </c>
      <c r="X343" s="13" t="str">
        <f t="shared" si="14"/>
        <v/>
      </c>
      <c r="Y343" s="11">
        <v>1.583163513</v>
      </c>
      <c r="Z343" s="11">
        <v>6.872734531</v>
      </c>
      <c r="AB343" s="11">
        <v>98.83259961</v>
      </c>
      <c r="AC343" s="15">
        <f t="shared" si="15"/>
        <v>99</v>
      </c>
      <c r="AD343" s="16" t="str">
        <f t="shared" si="16"/>
        <v/>
      </c>
      <c r="AE343" s="16" t="str">
        <f t="shared" si="17"/>
        <v/>
      </c>
      <c r="AF343" s="16" t="str">
        <f t="shared" si="18"/>
        <v/>
      </c>
      <c r="AG343" s="16" t="str">
        <f t="shared" si="19"/>
        <v>ARC&gt;0</v>
      </c>
      <c r="AH343" s="13" t="str">
        <f t="shared" si="20"/>
        <v/>
      </c>
      <c r="AI343" s="11">
        <v>0.2973899687</v>
      </c>
      <c r="AJ343" s="11">
        <v>0.6700104236</v>
      </c>
      <c r="AK343" s="11" t="s">
        <v>664</v>
      </c>
      <c r="AL343" s="18" t="str">
        <f t="shared" si="21"/>
        <v/>
      </c>
    </row>
    <row r="344" ht="15.75" customHeight="1">
      <c r="A344" s="11" t="s">
        <v>666</v>
      </c>
      <c r="B344" s="11">
        <v>2015.0</v>
      </c>
      <c r="C344" s="12" t="str">
        <f>VLOOKUP(A344, Regions!A:B, 2, FALSE)
</f>
        <v>Sub-Saharan Africa</v>
      </c>
      <c r="D344" s="13">
        <f t="shared" si="1"/>
        <v>5</v>
      </c>
      <c r="E344" s="14">
        <f t="shared" si="2"/>
        <v>2017.5</v>
      </c>
      <c r="F344" s="11" t="s">
        <v>667</v>
      </c>
      <c r="G344" s="11">
        <v>17.00399971</v>
      </c>
      <c r="H344" s="11">
        <v>57.12177402</v>
      </c>
      <c r="I344" s="15">
        <f t="shared" si="3"/>
        <v>57</v>
      </c>
      <c r="J344" s="16" t="str">
        <f t="shared" si="4"/>
        <v/>
      </c>
      <c r="K344" s="16" t="str">
        <f t="shared" si="5"/>
        <v/>
      </c>
      <c r="L344" s="16" t="str">
        <f t="shared" si="6"/>
        <v/>
      </c>
      <c r="M344" s="16" t="str">
        <f t="shared" si="7"/>
        <v>ARC&gt;0</v>
      </c>
      <c r="N344" s="13">
        <f t="shared" si="8"/>
        <v>0.658545426</v>
      </c>
      <c r="O344" s="11">
        <v>22.15404615</v>
      </c>
      <c r="P344" s="11">
        <v>13.45013172</v>
      </c>
      <c r="Q344" s="11">
        <v>7.27404811</v>
      </c>
      <c r="R344" s="11">
        <v>52.35270956</v>
      </c>
      <c r="S344" s="15">
        <f t="shared" si="9"/>
        <v>52</v>
      </c>
      <c r="T344" s="17" t="str">
        <f t="shared" si="10"/>
        <v/>
      </c>
      <c r="U344" s="17" t="str">
        <f t="shared" si="11"/>
        <v/>
      </c>
      <c r="V344" s="17" t="str">
        <f t="shared" si="12"/>
        <v/>
      </c>
      <c r="W344" s="17" t="str">
        <f t="shared" si="13"/>
        <v>ARC&gt;0</v>
      </c>
      <c r="X344" s="13">
        <f t="shared" si="14"/>
        <v>0.657951734</v>
      </c>
      <c r="Y344" s="11">
        <v>24.60883866</v>
      </c>
      <c r="Z344" s="11">
        <v>14.98060354</v>
      </c>
      <c r="AA344" s="11">
        <v>8.057848241</v>
      </c>
      <c r="AB344" s="11">
        <v>80.39943738</v>
      </c>
      <c r="AC344" s="15">
        <f t="shared" si="15"/>
        <v>80</v>
      </c>
      <c r="AD344" s="16" t="str">
        <f t="shared" si="16"/>
        <v/>
      </c>
      <c r="AE344" s="16" t="str">
        <f t="shared" si="17"/>
        <v/>
      </c>
      <c r="AF344" s="16" t="str">
        <f t="shared" si="18"/>
        <v/>
      </c>
      <c r="AG344" s="16" t="str">
        <f t="shared" si="19"/>
        <v>ARC&gt;0</v>
      </c>
      <c r="AH344" s="13">
        <f t="shared" si="20"/>
        <v>0.523632384</v>
      </c>
      <c r="AI344" s="11">
        <v>10.17228262</v>
      </c>
      <c r="AJ344" s="11">
        <v>5.979935166</v>
      </c>
      <c r="AK344" s="11" t="s">
        <v>668</v>
      </c>
      <c r="AL344" s="18">
        <f t="shared" si="21"/>
        <v>0.13431935</v>
      </c>
    </row>
    <row r="345" ht="15.75" customHeight="1">
      <c r="A345" s="11" t="s">
        <v>666</v>
      </c>
      <c r="B345" s="11">
        <v>2020.0</v>
      </c>
      <c r="C345" s="12" t="str">
        <f>VLOOKUP(A345, Regions!A:B, 2, FALSE)
</f>
        <v>Sub-Saharan Africa</v>
      </c>
      <c r="D345" s="13" t="str">
        <f t="shared" si="1"/>
        <v/>
      </c>
      <c r="E345" s="14" t="str">
        <f t="shared" si="2"/>
        <v/>
      </c>
      <c r="F345" s="11" t="s">
        <v>669</v>
      </c>
      <c r="G345" s="11">
        <v>17.43200111</v>
      </c>
      <c r="H345" s="11">
        <v>60.41450115</v>
      </c>
      <c r="I345" s="15">
        <f t="shared" si="3"/>
        <v>60</v>
      </c>
      <c r="J345" s="16" t="str">
        <f t="shared" si="4"/>
        <v/>
      </c>
      <c r="K345" s="16" t="str">
        <f t="shared" si="5"/>
        <v/>
      </c>
      <c r="L345" s="16" t="str">
        <f t="shared" si="6"/>
        <v/>
      </c>
      <c r="M345" s="16" t="str">
        <f t="shared" si="7"/>
        <v>ARC&gt;0</v>
      </c>
      <c r="N345" s="13" t="str">
        <f t="shared" si="8"/>
        <v/>
      </c>
      <c r="O345" s="11">
        <v>22.3207193</v>
      </c>
      <c r="P345" s="11">
        <v>13.15480415</v>
      </c>
      <c r="Q345" s="11">
        <v>4.109975401</v>
      </c>
      <c r="R345" s="11">
        <v>55.64246823</v>
      </c>
      <c r="S345" s="15">
        <f t="shared" si="9"/>
        <v>56</v>
      </c>
      <c r="T345" s="17" t="str">
        <f t="shared" si="10"/>
        <v/>
      </c>
      <c r="U345" s="17" t="str">
        <f t="shared" si="11"/>
        <v/>
      </c>
      <c r="V345" s="17" t="str">
        <f t="shared" si="12"/>
        <v/>
      </c>
      <c r="W345" s="17" t="str">
        <f t="shared" si="13"/>
        <v>ARC&gt;0</v>
      </c>
      <c r="X345" s="13" t="str">
        <f t="shared" si="14"/>
        <v/>
      </c>
      <c r="Y345" s="11">
        <v>25.08014133</v>
      </c>
      <c r="Z345" s="11">
        <v>14.77886772</v>
      </c>
      <c r="AA345" s="11">
        <v>4.498522714</v>
      </c>
      <c r="AB345" s="11">
        <v>83.0175993</v>
      </c>
      <c r="AC345" s="15">
        <f t="shared" si="15"/>
        <v>83</v>
      </c>
      <c r="AD345" s="16" t="str">
        <f t="shared" si="16"/>
        <v/>
      </c>
      <c r="AE345" s="16" t="str">
        <f t="shared" si="17"/>
        <v/>
      </c>
      <c r="AF345" s="16" t="str">
        <f t="shared" si="18"/>
        <v/>
      </c>
      <c r="AG345" s="16" t="str">
        <f t="shared" si="19"/>
        <v>ARC&gt;0</v>
      </c>
      <c r="AH345" s="13" t="str">
        <f t="shared" si="20"/>
        <v/>
      </c>
      <c r="AI345" s="11">
        <v>9.250506251</v>
      </c>
      <c r="AJ345" s="11">
        <v>5.462303057</v>
      </c>
      <c r="AK345" s="11" t="s">
        <v>670</v>
      </c>
      <c r="AL345" s="18" t="str">
        <f t="shared" si="21"/>
        <v/>
      </c>
    </row>
    <row r="346" ht="15.75" customHeight="1">
      <c r="A346" s="11" t="s">
        <v>671</v>
      </c>
      <c r="B346" s="11">
        <v>2015.0</v>
      </c>
      <c r="C346" s="12" t="str">
        <f>VLOOKUP(A346, Regions!A:B, 2, FALSE)
</f>
        <v>Latin America &amp; Caribbean</v>
      </c>
      <c r="D346" s="13">
        <f t="shared" si="1"/>
        <v>5</v>
      </c>
      <c r="E346" s="14">
        <f t="shared" si="2"/>
        <v>2017.5</v>
      </c>
      <c r="F346" s="11" t="s">
        <v>672</v>
      </c>
      <c r="G346" s="11">
        <v>100.0</v>
      </c>
      <c r="H346" s="11">
        <v>99.96491927</v>
      </c>
      <c r="I346" s="15">
        <f t="shared" si="3"/>
        <v>100</v>
      </c>
      <c r="J346" s="16" t="str">
        <f t="shared" si="4"/>
        <v>full access</v>
      </c>
      <c r="K346" s="16" t="str">
        <f t="shared" si="5"/>
        <v/>
      </c>
      <c r="L346" s="16" t="str">
        <f t="shared" si="6"/>
        <v/>
      </c>
      <c r="M346" s="16" t="str">
        <f t="shared" si="7"/>
        <v/>
      </c>
      <c r="N346" s="13">
        <f t="shared" si="8"/>
        <v>0.007016146</v>
      </c>
      <c r="O346" s="11">
        <v>0.0</v>
      </c>
      <c r="P346" s="11">
        <v>0.0350807263</v>
      </c>
      <c r="Q346" s="11">
        <v>0.0</v>
      </c>
      <c r="S346" s="15">
        <f t="shared" si="9"/>
        <v>0</v>
      </c>
      <c r="T346" s="17" t="str">
        <f t="shared" si="10"/>
        <v/>
      </c>
      <c r="U346" s="17" t="str">
        <f t="shared" si="11"/>
        <v>ARC=0</v>
      </c>
      <c r="V346" s="17" t="str">
        <f t="shared" si="12"/>
        <v/>
      </c>
      <c r="W346" s="17" t="str">
        <f t="shared" si="13"/>
        <v/>
      </c>
      <c r="X346" s="13">
        <f t="shared" si="14"/>
        <v>0</v>
      </c>
      <c r="AB346" s="11">
        <v>99.96491927</v>
      </c>
      <c r="AC346" s="15">
        <f t="shared" si="15"/>
        <v>100</v>
      </c>
      <c r="AD346" s="16" t="str">
        <f t="shared" si="16"/>
        <v>full access</v>
      </c>
      <c r="AE346" s="16" t="str">
        <f t="shared" si="17"/>
        <v/>
      </c>
      <c r="AF346" s="16" t="str">
        <f t="shared" si="18"/>
        <v/>
      </c>
      <c r="AG346" s="16" t="str">
        <f t="shared" si="19"/>
        <v>ARC&gt;0</v>
      </c>
      <c r="AH346" s="13">
        <f t="shared" si="20"/>
        <v>0.007016146</v>
      </c>
      <c r="AI346" s="11">
        <v>0.0</v>
      </c>
      <c r="AJ346" s="11">
        <v>0.0350807263</v>
      </c>
      <c r="AK346" s="11" t="s">
        <v>43</v>
      </c>
      <c r="AL346" s="18">
        <f t="shared" si="21"/>
        <v>-0.007016146</v>
      </c>
    </row>
    <row r="347" ht="15.75" customHeight="1">
      <c r="A347" s="11" t="s">
        <v>671</v>
      </c>
      <c r="B347" s="11">
        <v>2020.0</v>
      </c>
      <c r="C347" s="12" t="str">
        <f>VLOOKUP(A347, Regions!A:B, 2, FALSE)
</f>
        <v>Latin America &amp; Caribbean</v>
      </c>
      <c r="D347" s="13" t="str">
        <f t="shared" si="1"/>
        <v/>
      </c>
      <c r="E347" s="14" t="str">
        <f t="shared" si="2"/>
        <v/>
      </c>
      <c r="F347" s="11" t="s">
        <v>673</v>
      </c>
      <c r="G347" s="11">
        <v>100.0</v>
      </c>
      <c r="H347" s="11">
        <v>100.0</v>
      </c>
      <c r="I347" s="15">
        <f t="shared" si="3"/>
        <v>100</v>
      </c>
      <c r="J347" s="16" t="str">
        <f t="shared" si="4"/>
        <v/>
      </c>
      <c r="K347" s="16" t="str">
        <f t="shared" si="5"/>
        <v/>
      </c>
      <c r="L347" s="16" t="str">
        <f t="shared" si="6"/>
        <v/>
      </c>
      <c r="M347" s="16" t="str">
        <f t="shared" si="7"/>
        <v>ARC&gt;0</v>
      </c>
      <c r="N347" s="13" t="str">
        <f t="shared" si="8"/>
        <v/>
      </c>
      <c r="O347" s="11">
        <v>0.0</v>
      </c>
      <c r="P347" s="11">
        <v>0.0</v>
      </c>
      <c r="Q347" s="11">
        <v>0.0</v>
      </c>
      <c r="S347" s="15">
        <f t="shared" si="9"/>
        <v>0</v>
      </c>
      <c r="T347" s="17" t="str">
        <f t="shared" si="10"/>
        <v/>
      </c>
      <c r="U347" s="17" t="str">
        <f t="shared" si="11"/>
        <v>ARC=0</v>
      </c>
      <c r="V347" s="17" t="str">
        <f t="shared" si="12"/>
        <v/>
      </c>
      <c r="W347" s="17" t="str">
        <f t="shared" si="13"/>
        <v/>
      </c>
      <c r="X347" s="13" t="str">
        <f t="shared" si="14"/>
        <v/>
      </c>
      <c r="AB347" s="11">
        <v>100.0</v>
      </c>
      <c r="AC347" s="15">
        <f t="shared" si="15"/>
        <v>100</v>
      </c>
      <c r="AD347" s="16" t="str">
        <f t="shared" si="16"/>
        <v/>
      </c>
      <c r="AE347" s="16" t="str">
        <f t="shared" si="17"/>
        <v/>
      </c>
      <c r="AF347" s="16" t="str">
        <f t="shared" si="18"/>
        <v/>
      </c>
      <c r="AG347" s="16" t="str">
        <f t="shared" si="19"/>
        <v>ARC&gt;0</v>
      </c>
      <c r="AH347" s="13" t="str">
        <f t="shared" si="20"/>
        <v/>
      </c>
      <c r="AI347" s="11">
        <v>0.0</v>
      </c>
      <c r="AJ347" s="11">
        <v>0.0</v>
      </c>
      <c r="AK347" s="11" t="s">
        <v>43</v>
      </c>
      <c r="AL347" s="18" t="str">
        <f t="shared" si="21"/>
        <v/>
      </c>
    </row>
    <row r="348" ht="15.75" customHeight="1">
      <c r="A348" s="11" t="s">
        <v>674</v>
      </c>
      <c r="B348" s="11">
        <v>2015.0</v>
      </c>
      <c r="C348" s="12" t="str">
        <f>VLOOKUP(A348, Regions!A:B, 2, FALSE)
</f>
        <v>Sub-Saharan Africa</v>
      </c>
      <c r="D348" s="13">
        <f t="shared" si="1"/>
        <v>5</v>
      </c>
      <c r="E348" s="14">
        <f t="shared" si="2"/>
        <v>2017.5</v>
      </c>
      <c r="F348" s="11" t="s">
        <v>675</v>
      </c>
      <c r="G348" s="11">
        <v>39.5399971</v>
      </c>
      <c r="H348" s="11">
        <v>98.95</v>
      </c>
      <c r="I348" s="15">
        <f t="shared" si="3"/>
        <v>99</v>
      </c>
      <c r="J348" s="16" t="str">
        <f t="shared" si="4"/>
        <v/>
      </c>
      <c r="K348" s="16" t="str">
        <f t="shared" si="5"/>
        <v/>
      </c>
      <c r="L348" s="16" t="str">
        <f t="shared" si="6"/>
        <v/>
      </c>
      <c r="M348" s="16" t="str">
        <f t="shared" si="7"/>
        <v>ARC&gt;0</v>
      </c>
      <c r="N348" s="13">
        <f t="shared" si="8"/>
        <v>0.03</v>
      </c>
      <c r="O348" s="11">
        <v>0.0</v>
      </c>
      <c r="P348" s="11">
        <v>1.05</v>
      </c>
      <c r="Q348" s="11">
        <v>0.0</v>
      </c>
      <c r="S348" s="15">
        <f t="shared" si="9"/>
        <v>0</v>
      </c>
      <c r="T348" s="17" t="str">
        <f t="shared" si="10"/>
        <v/>
      </c>
      <c r="U348" s="17" t="str">
        <f t="shared" si="11"/>
        <v>ARC=0</v>
      </c>
      <c r="V348" s="17" t="str">
        <f t="shared" si="12"/>
        <v/>
      </c>
      <c r="W348" s="17" t="str">
        <f t="shared" si="13"/>
        <v/>
      </c>
      <c r="X348" s="13">
        <f t="shared" si="14"/>
        <v>0</v>
      </c>
      <c r="AC348" s="15">
        <f t="shared" si="15"/>
        <v>0</v>
      </c>
      <c r="AD348" s="16" t="str">
        <f t="shared" si="16"/>
        <v/>
      </c>
      <c r="AE348" s="16" t="str">
        <f t="shared" si="17"/>
        <v>ARC=0</v>
      </c>
      <c r="AF348" s="16" t="str">
        <f t="shared" si="18"/>
        <v/>
      </c>
      <c r="AG348" s="16" t="str">
        <f t="shared" si="19"/>
        <v/>
      </c>
      <c r="AH348" s="13">
        <f t="shared" si="20"/>
        <v>0</v>
      </c>
      <c r="AL348" s="18">
        <f t="shared" si="21"/>
        <v>0</v>
      </c>
    </row>
    <row r="349" ht="15.75" customHeight="1">
      <c r="A349" s="11" t="s">
        <v>674</v>
      </c>
      <c r="B349" s="11">
        <v>2020.0</v>
      </c>
      <c r="C349" s="12" t="str">
        <f>VLOOKUP(A349, Regions!A:B, 2, FALSE)
</f>
        <v>Sub-Saharan Africa</v>
      </c>
      <c r="D349" s="13" t="str">
        <f t="shared" si="1"/>
        <v/>
      </c>
      <c r="E349" s="14" t="str">
        <f t="shared" si="2"/>
        <v/>
      </c>
      <c r="F349" s="11" t="s">
        <v>676</v>
      </c>
      <c r="G349" s="11">
        <v>40.08200073</v>
      </c>
      <c r="H349" s="11">
        <v>99.1</v>
      </c>
      <c r="I349" s="15">
        <f t="shared" si="3"/>
        <v>99</v>
      </c>
      <c r="J349" s="16" t="str">
        <f t="shared" si="4"/>
        <v/>
      </c>
      <c r="K349" s="16" t="str">
        <f t="shared" si="5"/>
        <v/>
      </c>
      <c r="L349" s="16" t="str">
        <f t="shared" si="6"/>
        <v/>
      </c>
      <c r="M349" s="16" t="str">
        <f t="shared" si="7"/>
        <v>ARC&gt;0</v>
      </c>
      <c r="N349" s="13" t="str">
        <f t="shared" si="8"/>
        <v/>
      </c>
      <c r="O349" s="11">
        <v>0.0</v>
      </c>
      <c r="P349" s="11">
        <v>0.9</v>
      </c>
      <c r="Q349" s="11">
        <v>0.0</v>
      </c>
      <c r="S349" s="15">
        <f t="shared" si="9"/>
        <v>0</v>
      </c>
      <c r="T349" s="17" t="str">
        <f t="shared" si="10"/>
        <v/>
      </c>
      <c r="U349" s="17" t="str">
        <f t="shared" si="11"/>
        <v>ARC=0</v>
      </c>
      <c r="V349" s="17" t="str">
        <f t="shared" si="12"/>
        <v/>
      </c>
      <c r="W349" s="17" t="str">
        <f t="shared" si="13"/>
        <v/>
      </c>
      <c r="X349" s="13" t="str">
        <f t="shared" si="14"/>
        <v/>
      </c>
      <c r="AC349" s="15">
        <f t="shared" si="15"/>
        <v>0</v>
      </c>
      <c r="AD349" s="16" t="str">
        <f t="shared" si="16"/>
        <v/>
      </c>
      <c r="AE349" s="16" t="str">
        <f t="shared" si="17"/>
        <v>ARC=0</v>
      </c>
      <c r="AF349" s="16" t="str">
        <f t="shared" si="18"/>
        <v/>
      </c>
      <c r="AG349" s="16" t="str">
        <f t="shared" si="19"/>
        <v/>
      </c>
      <c r="AH349" s="13" t="str">
        <f t="shared" si="20"/>
        <v/>
      </c>
      <c r="AL349" s="18" t="str">
        <f t="shared" si="21"/>
        <v/>
      </c>
    </row>
    <row r="350" ht="15.75" customHeight="1">
      <c r="A350" s="11" t="s">
        <v>677</v>
      </c>
      <c r="B350" s="11">
        <v>2015.0</v>
      </c>
      <c r="C350" s="12" t="str">
        <f>VLOOKUP(A350, Regions!A:B, 2, FALSE)
</f>
        <v>Latin America &amp; Caribbean</v>
      </c>
      <c r="D350" s="13">
        <f t="shared" si="1"/>
        <v>2</v>
      </c>
      <c r="E350" s="14">
        <f t="shared" si="2"/>
        <v>2016</v>
      </c>
      <c r="F350" s="11" t="s">
        <v>678</v>
      </c>
      <c r="G350" s="11">
        <v>30.82700157</v>
      </c>
      <c r="H350" s="11">
        <v>98.61185413</v>
      </c>
      <c r="I350" s="15">
        <f t="shared" si="3"/>
        <v>99</v>
      </c>
      <c r="J350" s="16" t="str">
        <f t="shared" si="4"/>
        <v/>
      </c>
      <c r="K350" s="16" t="str">
        <f t="shared" si="5"/>
        <v/>
      </c>
      <c r="L350" s="16" t="str">
        <f t="shared" si="6"/>
        <v/>
      </c>
      <c r="M350" s="16" t="str">
        <f t="shared" si="7"/>
        <v>ARC&gt;0</v>
      </c>
      <c r="N350" s="13">
        <f t="shared" si="8"/>
        <v>0</v>
      </c>
      <c r="O350" s="11">
        <v>0.0</v>
      </c>
      <c r="P350" s="11">
        <v>1.388145868</v>
      </c>
      <c r="Q350" s="11">
        <v>0.0</v>
      </c>
      <c r="S350" s="15">
        <f t="shared" si="9"/>
        <v>0</v>
      </c>
      <c r="T350" s="17" t="str">
        <f t="shared" si="10"/>
        <v/>
      </c>
      <c r="U350" s="17" t="str">
        <f t="shared" si="11"/>
        <v>ARC=0</v>
      </c>
      <c r="V350" s="17" t="str">
        <f t="shared" si="12"/>
        <v/>
      </c>
      <c r="W350" s="17" t="str">
        <f t="shared" si="13"/>
        <v/>
      </c>
      <c r="X350" s="13">
        <f t="shared" si="14"/>
        <v>0</v>
      </c>
      <c r="AC350" s="15">
        <f t="shared" si="15"/>
        <v>0</v>
      </c>
      <c r="AD350" s="16" t="str">
        <f t="shared" si="16"/>
        <v/>
      </c>
      <c r="AE350" s="16" t="str">
        <f t="shared" si="17"/>
        <v>ARC=0</v>
      </c>
      <c r="AF350" s="16" t="str">
        <f t="shared" si="18"/>
        <v/>
      </c>
      <c r="AG350" s="16" t="str">
        <f t="shared" si="19"/>
        <v/>
      </c>
      <c r="AH350" s="13">
        <f t="shared" si="20"/>
        <v>0</v>
      </c>
      <c r="AL350" s="18">
        <f t="shared" si="21"/>
        <v>0</v>
      </c>
    </row>
    <row r="351" ht="15.75" customHeight="1">
      <c r="A351" s="11" t="s">
        <v>677</v>
      </c>
      <c r="B351" s="11">
        <v>2017.0</v>
      </c>
      <c r="C351" s="12" t="str">
        <f>VLOOKUP(A351, Regions!A:B, 2, FALSE)
</f>
        <v>Latin America &amp; Caribbean</v>
      </c>
      <c r="D351" s="13" t="str">
        <f t="shared" si="1"/>
        <v/>
      </c>
      <c r="E351" s="14" t="str">
        <f t="shared" si="2"/>
        <v/>
      </c>
      <c r="F351" s="11" t="s">
        <v>679</v>
      </c>
      <c r="G351" s="11">
        <v>30.7729969</v>
      </c>
      <c r="H351" s="11">
        <v>98.61185413</v>
      </c>
      <c r="I351" s="15">
        <f t="shared" si="3"/>
        <v>99</v>
      </c>
      <c r="J351" s="16" t="str">
        <f t="shared" si="4"/>
        <v/>
      </c>
      <c r="K351" s="16" t="str">
        <f t="shared" si="5"/>
        <v/>
      </c>
      <c r="L351" s="16" t="str">
        <f t="shared" si="6"/>
        <v/>
      </c>
      <c r="M351" s="16" t="str">
        <f t="shared" si="7"/>
        <v>ARC&gt;0</v>
      </c>
      <c r="N351" s="13" t="str">
        <f t="shared" si="8"/>
        <v/>
      </c>
      <c r="O351" s="11">
        <v>0.0</v>
      </c>
      <c r="P351" s="11">
        <v>1.388145868</v>
      </c>
      <c r="Q351" s="11">
        <v>0.0</v>
      </c>
      <c r="S351" s="15">
        <f t="shared" si="9"/>
        <v>0</v>
      </c>
      <c r="T351" s="17" t="str">
        <f t="shared" si="10"/>
        <v/>
      </c>
      <c r="U351" s="17" t="str">
        <f t="shared" si="11"/>
        <v>ARC=0</v>
      </c>
      <c r="V351" s="17" t="str">
        <f t="shared" si="12"/>
        <v/>
      </c>
      <c r="W351" s="17" t="str">
        <f t="shared" si="13"/>
        <v/>
      </c>
      <c r="X351" s="13" t="str">
        <f t="shared" si="14"/>
        <v/>
      </c>
      <c r="AC351" s="15">
        <f t="shared" si="15"/>
        <v>0</v>
      </c>
      <c r="AD351" s="16" t="str">
        <f t="shared" si="16"/>
        <v/>
      </c>
      <c r="AE351" s="16" t="str">
        <f t="shared" si="17"/>
        <v>ARC=0</v>
      </c>
      <c r="AF351" s="16" t="str">
        <f t="shared" si="18"/>
        <v/>
      </c>
      <c r="AG351" s="16" t="str">
        <f t="shared" si="19"/>
        <v/>
      </c>
      <c r="AH351" s="13" t="str">
        <f t="shared" si="20"/>
        <v/>
      </c>
      <c r="AL351" s="18" t="str">
        <f t="shared" si="21"/>
        <v/>
      </c>
    </row>
    <row r="352" ht="15.75" customHeight="1">
      <c r="A352" s="11" t="s">
        <v>680</v>
      </c>
      <c r="B352" s="11">
        <v>2015.0</v>
      </c>
      <c r="C352" s="12" t="str">
        <f>VLOOKUP(A352, Regions!A:B, 2, FALSE)
</f>
        <v>Latin America &amp; Caribbean</v>
      </c>
      <c r="D352" s="13">
        <f t="shared" si="1"/>
        <v>5</v>
      </c>
      <c r="E352" s="14">
        <f t="shared" si="2"/>
        <v>2017.5</v>
      </c>
      <c r="F352" s="11" t="s">
        <v>681</v>
      </c>
      <c r="G352" s="11">
        <v>18.51499939</v>
      </c>
      <c r="H352" s="11">
        <v>95.56809428</v>
      </c>
      <c r="I352" s="15">
        <f t="shared" si="3"/>
        <v>96</v>
      </c>
      <c r="J352" s="16" t="str">
        <f t="shared" si="4"/>
        <v/>
      </c>
      <c r="K352" s="16" t="str">
        <f t="shared" si="5"/>
        <v/>
      </c>
      <c r="L352" s="16" t="str">
        <f t="shared" si="6"/>
        <v/>
      </c>
      <c r="M352" s="16" t="str">
        <f t="shared" si="7"/>
        <v>ARC&gt;0</v>
      </c>
      <c r="N352" s="13">
        <f t="shared" si="8"/>
        <v>0.263950058</v>
      </c>
      <c r="O352" s="11">
        <v>1.790210415</v>
      </c>
      <c r="P352" s="11">
        <v>2.641695303</v>
      </c>
      <c r="Q352" s="11">
        <v>0.0</v>
      </c>
      <c r="R352" s="11">
        <v>95.31226124</v>
      </c>
      <c r="S352" s="15">
        <f t="shared" si="9"/>
        <v>95</v>
      </c>
      <c r="T352" s="17" t="str">
        <f t="shared" si="10"/>
        <v/>
      </c>
      <c r="U352" s="17" t="str">
        <f t="shared" si="11"/>
        <v/>
      </c>
      <c r="V352" s="17" t="str">
        <f t="shared" si="12"/>
        <v/>
      </c>
      <c r="W352" s="17" t="str">
        <f t="shared" si="13"/>
        <v>ARC&gt;0</v>
      </c>
      <c r="X352" s="13">
        <f t="shared" si="14"/>
        <v>0.300352518</v>
      </c>
      <c r="Y352" s="11">
        <v>1.707252381</v>
      </c>
      <c r="Z352" s="11">
        <v>2.980486378</v>
      </c>
      <c r="AA352" s="11">
        <v>0.0</v>
      </c>
      <c r="AB352" s="11">
        <v>96.69403318</v>
      </c>
      <c r="AC352" s="15">
        <f t="shared" si="15"/>
        <v>97</v>
      </c>
      <c r="AD352" s="16" t="str">
        <f t="shared" si="16"/>
        <v/>
      </c>
      <c r="AE352" s="16" t="str">
        <f t="shared" si="17"/>
        <v/>
      </c>
      <c r="AF352" s="16" t="str">
        <f t="shared" si="18"/>
        <v/>
      </c>
      <c r="AG352" s="16" t="str">
        <f t="shared" si="19"/>
        <v>ARC&gt;0</v>
      </c>
      <c r="AH352" s="13">
        <f t="shared" si="20"/>
        <v>0.102357802</v>
      </c>
      <c r="AI352" s="11">
        <v>2.155311103</v>
      </c>
      <c r="AJ352" s="11">
        <v>1.150655713</v>
      </c>
      <c r="AK352" s="11" t="s">
        <v>43</v>
      </c>
      <c r="AL352" s="18">
        <f t="shared" si="21"/>
        <v>0.197994716</v>
      </c>
    </row>
    <row r="353" ht="15.75" customHeight="1">
      <c r="A353" s="11" t="s">
        <v>680</v>
      </c>
      <c r="B353" s="11">
        <v>2020.0</v>
      </c>
      <c r="C353" s="12" t="str">
        <f>VLOOKUP(A353, Regions!A:B, 2, FALSE)
</f>
        <v>Latin America &amp; Caribbean</v>
      </c>
      <c r="D353" s="13" t="str">
        <f t="shared" si="1"/>
        <v/>
      </c>
      <c r="E353" s="14" t="str">
        <f t="shared" si="2"/>
        <v/>
      </c>
      <c r="F353" s="11" t="s">
        <v>682</v>
      </c>
      <c r="G353" s="11">
        <v>18.8409996</v>
      </c>
      <c r="H353" s="11">
        <v>96.88784457</v>
      </c>
      <c r="I353" s="15">
        <f t="shared" si="3"/>
        <v>97</v>
      </c>
      <c r="J353" s="16" t="str">
        <f t="shared" si="4"/>
        <v/>
      </c>
      <c r="K353" s="16" t="str">
        <f t="shared" si="5"/>
        <v/>
      </c>
      <c r="L353" s="16" t="str">
        <f t="shared" si="6"/>
        <v/>
      </c>
      <c r="M353" s="16" t="str">
        <f t="shared" si="7"/>
        <v>ARC&gt;0</v>
      </c>
      <c r="N353" s="13" t="str">
        <f t="shared" si="8"/>
        <v/>
      </c>
      <c r="O353" s="11">
        <v>1.815652166</v>
      </c>
      <c r="P353" s="11">
        <v>1.296503269</v>
      </c>
      <c r="Q353" s="11">
        <v>0.0</v>
      </c>
      <c r="R353" s="11">
        <v>96.81402383</v>
      </c>
      <c r="S353" s="15">
        <f t="shared" si="9"/>
        <v>97</v>
      </c>
      <c r="T353" s="17" t="str">
        <f t="shared" si="10"/>
        <v/>
      </c>
      <c r="U353" s="17" t="str">
        <f t="shared" si="11"/>
        <v/>
      </c>
      <c r="V353" s="17" t="str">
        <f t="shared" si="12"/>
        <v/>
      </c>
      <c r="W353" s="17" t="str">
        <f t="shared" si="13"/>
        <v>ARC&gt;0</v>
      </c>
      <c r="X353" s="13" t="str">
        <f t="shared" si="14"/>
        <v/>
      </c>
      <c r="Y353" s="11">
        <v>1.734152255</v>
      </c>
      <c r="Z353" s="11">
        <v>1.451823918</v>
      </c>
      <c r="AA353" s="11">
        <v>0.0</v>
      </c>
      <c r="AB353" s="11">
        <v>97.20582219</v>
      </c>
      <c r="AC353" s="15">
        <f t="shared" si="15"/>
        <v>97</v>
      </c>
      <c r="AD353" s="16" t="str">
        <f t="shared" si="16"/>
        <v/>
      </c>
      <c r="AE353" s="16" t="str">
        <f t="shared" si="17"/>
        <v/>
      </c>
      <c r="AF353" s="16" t="str">
        <f t="shared" si="18"/>
        <v/>
      </c>
      <c r="AG353" s="16" t="str">
        <f t="shared" si="19"/>
        <v>ARC&gt;0</v>
      </c>
      <c r="AH353" s="13" t="str">
        <f t="shared" si="20"/>
        <v/>
      </c>
      <c r="AI353" s="11">
        <v>2.166718886</v>
      </c>
      <c r="AJ353" s="11">
        <v>0.6274589237</v>
      </c>
      <c r="AK353" s="11" t="s">
        <v>43</v>
      </c>
      <c r="AL353" s="18" t="str">
        <f t="shared" si="21"/>
        <v/>
      </c>
    </row>
    <row r="354" ht="15.75" customHeight="1">
      <c r="A354" s="11" t="s">
        <v>683</v>
      </c>
      <c r="B354" s="11">
        <v>2015.0</v>
      </c>
      <c r="C354" s="12" t="str">
        <f>VLOOKUP(A354, Regions!A:B, 2, FALSE)
</f>
        <v>Latin America &amp; Caribbean</v>
      </c>
      <c r="D354" s="13">
        <f t="shared" si="1"/>
        <v>5</v>
      </c>
      <c r="E354" s="14">
        <f t="shared" si="2"/>
        <v>2017.5</v>
      </c>
      <c r="F354" s="11" t="s">
        <v>684</v>
      </c>
      <c r="G354" s="11">
        <v>100.0</v>
      </c>
      <c r="H354" s="11">
        <v>99.9997742</v>
      </c>
      <c r="I354" s="15">
        <f t="shared" si="3"/>
        <v>100</v>
      </c>
      <c r="J354" s="16" t="str">
        <f t="shared" si="4"/>
        <v>full access</v>
      </c>
      <c r="K354" s="16" t="str">
        <f t="shared" si="5"/>
        <v/>
      </c>
      <c r="L354" s="16" t="str">
        <f t="shared" si="6"/>
        <v/>
      </c>
      <c r="M354" s="16" t="str">
        <f t="shared" si="7"/>
        <v/>
      </c>
      <c r="N354" s="13">
        <f t="shared" si="8"/>
        <v>-0.000100562</v>
      </c>
      <c r="O354" s="11">
        <v>0.0</v>
      </c>
      <c r="P354" s="11">
        <v>2.258038882E-4</v>
      </c>
      <c r="Q354" s="11">
        <v>0.0</v>
      </c>
      <c r="S354" s="15">
        <f t="shared" si="9"/>
        <v>0</v>
      </c>
      <c r="T354" s="17" t="str">
        <f t="shared" si="10"/>
        <v/>
      </c>
      <c r="U354" s="17" t="str">
        <f t="shared" si="11"/>
        <v>ARC=0</v>
      </c>
      <c r="V354" s="17" t="str">
        <f t="shared" si="12"/>
        <v/>
      </c>
      <c r="W354" s="17" t="str">
        <f t="shared" si="13"/>
        <v/>
      </c>
      <c r="X354" s="13">
        <f t="shared" si="14"/>
        <v>0</v>
      </c>
      <c r="AB354" s="11">
        <v>99.9997742</v>
      </c>
      <c r="AC354" s="15">
        <f t="shared" si="15"/>
        <v>100</v>
      </c>
      <c r="AD354" s="16" t="str">
        <f t="shared" si="16"/>
        <v>full access</v>
      </c>
      <c r="AE354" s="16" t="str">
        <f t="shared" si="17"/>
        <v/>
      </c>
      <c r="AF354" s="16" t="str">
        <f t="shared" si="18"/>
        <v/>
      </c>
      <c r="AG354" s="16" t="str">
        <f t="shared" si="19"/>
        <v>ARC&gt;0</v>
      </c>
      <c r="AH354" s="13">
        <f t="shared" si="20"/>
        <v>-0.000100562</v>
      </c>
      <c r="AI354" s="11">
        <v>0.0</v>
      </c>
      <c r="AJ354" s="11">
        <v>2.258038882E-4</v>
      </c>
      <c r="AK354" s="11" t="s">
        <v>43</v>
      </c>
      <c r="AL354" s="18">
        <f t="shared" si="21"/>
        <v>0.000100562</v>
      </c>
    </row>
    <row r="355" ht="15.75" customHeight="1">
      <c r="A355" s="11" t="s">
        <v>683</v>
      </c>
      <c r="B355" s="11">
        <v>2020.0</v>
      </c>
      <c r="C355" s="12" t="str">
        <f>VLOOKUP(A355, Regions!A:B, 2, FALSE)
</f>
        <v>Latin America &amp; Caribbean</v>
      </c>
      <c r="D355" s="13" t="str">
        <f t="shared" si="1"/>
        <v/>
      </c>
      <c r="E355" s="14" t="str">
        <f t="shared" si="2"/>
        <v/>
      </c>
      <c r="F355" s="11" t="s">
        <v>685</v>
      </c>
      <c r="G355" s="11">
        <v>100.0</v>
      </c>
      <c r="H355" s="11">
        <v>99.99927139</v>
      </c>
      <c r="I355" s="15">
        <f t="shared" si="3"/>
        <v>100</v>
      </c>
      <c r="J355" s="16" t="str">
        <f t="shared" si="4"/>
        <v/>
      </c>
      <c r="K355" s="16" t="str">
        <f t="shared" si="5"/>
        <v/>
      </c>
      <c r="L355" s="16" t="str">
        <f t="shared" si="6"/>
        <v/>
      </c>
      <c r="M355" s="16" t="str">
        <f t="shared" si="7"/>
        <v>ARC&gt;0</v>
      </c>
      <c r="N355" s="13" t="str">
        <f t="shared" si="8"/>
        <v/>
      </c>
      <c r="O355" s="11">
        <v>0.0</v>
      </c>
      <c r="P355" s="11">
        <v>7.286105507E-4</v>
      </c>
      <c r="Q355" s="11">
        <v>0.0</v>
      </c>
      <c r="S355" s="15">
        <f t="shared" si="9"/>
        <v>0</v>
      </c>
      <c r="T355" s="17" t="str">
        <f t="shared" si="10"/>
        <v/>
      </c>
      <c r="U355" s="17" t="str">
        <f t="shared" si="11"/>
        <v>ARC=0</v>
      </c>
      <c r="V355" s="17" t="str">
        <f t="shared" si="12"/>
        <v/>
      </c>
      <c r="W355" s="17" t="str">
        <f t="shared" si="13"/>
        <v/>
      </c>
      <c r="X355" s="13" t="str">
        <f t="shared" si="14"/>
        <v/>
      </c>
      <c r="AB355" s="11">
        <v>99.99927139</v>
      </c>
      <c r="AC355" s="15">
        <f t="shared" si="15"/>
        <v>100</v>
      </c>
      <c r="AD355" s="16" t="str">
        <f t="shared" si="16"/>
        <v/>
      </c>
      <c r="AE355" s="16" t="str">
        <f t="shared" si="17"/>
        <v/>
      </c>
      <c r="AF355" s="16" t="str">
        <f t="shared" si="18"/>
        <v/>
      </c>
      <c r="AG355" s="16" t="str">
        <f t="shared" si="19"/>
        <v>ARC&gt;0</v>
      </c>
      <c r="AH355" s="13" t="str">
        <f t="shared" si="20"/>
        <v/>
      </c>
      <c r="AI355" s="11">
        <v>0.0</v>
      </c>
      <c r="AJ355" s="11">
        <v>7.286105507E-4</v>
      </c>
      <c r="AK355" s="11" t="s">
        <v>43</v>
      </c>
      <c r="AL355" s="18" t="str">
        <f t="shared" si="21"/>
        <v/>
      </c>
    </row>
    <row r="356" ht="15.75" customHeight="1">
      <c r="A356" s="11" t="s">
        <v>686</v>
      </c>
      <c r="B356" s="11">
        <v>2015.0</v>
      </c>
      <c r="C356" s="12" t="str">
        <f>VLOOKUP(A356, Regions!A:B, 2, FALSE)
</f>
        <v>North America</v>
      </c>
      <c r="D356" s="13">
        <f t="shared" si="1"/>
        <v>5</v>
      </c>
      <c r="E356" s="14">
        <f t="shared" si="2"/>
        <v>2017.5</v>
      </c>
      <c r="F356" s="11" t="s">
        <v>687</v>
      </c>
      <c r="G356" s="11">
        <v>89.88899994</v>
      </c>
      <c r="H356" s="11">
        <v>91.4</v>
      </c>
      <c r="I356" s="15">
        <f t="shared" si="3"/>
        <v>91</v>
      </c>
      <c r="J356" s="16" t="str">
        <f t="shared" si="4"/>
        <v/>
      </c>
      <c r="K356" s="16" t="str">
        <f t="shared" si="5"/>
        <v/>
      </c>
      <c r="L356" s="16" t="str">
        <f t="shared" si="6"/>
        <v/>
      </c>
      <c r="M356" s="16" t="str">
        <f t="shared" si="7"/>
        <v>ARC&gt;0</v>
      </c>
      <c r="N356" s="13">
        <f t="shared" si="8"/>
        <v>0</v>
      </c>
      <c r="O356" s="11">
        <v>0.0</v>
      </c>
      <c r="P356" s="11">
        <v>8.6</v>
      </c>
      <c r="Q356" s="11">
        <v>0.0</v>
      </c>
      <c r="S356" s="15">
        <f t="shared" si="9"/>
        <v>0</v>
      </c>
      <c r="T356" s="17" t="str">
        <f t="shared" si="10"/>
        <v/>
      </c>
      <c r="U356" s="17" t="str">
        <f t="shared" si="11"/>
        <v>ARC=0</v>
      </c>
      <c r="V356" s="17" t="str">
        <f t="shared" si="12"/>
        <v/>
      </c>
      <c r="W356" s="17" t="str">
        <f t="shared" si="13"/>
        <v/>
      </c>
      <c r="X356" s="13">
        <f t="shared" si="14"/>
        <v>0</v>
      </c>
      <c r="AC356" s="15">
        <f t="shared" si="15"/>
        <v>0</v>
      </c>
      <c r="AD356" s="16" t="str">
        <f t="shared" si="16"/>
        <v/>
      </c>
      <c r="AE356" s="16" t="str">
        <f t="shared" si="17"/>
        <v>ARC=0</v>
      </c>
      <c r="AF356" s="16" t="str">
        <f t="shared" si="18"/>
        <v/>
      </c>
      <c r="AG356" s="16" t="str">
        <f t="shared" si="19"/>
        <v/>
      </c>
      <c r="AH356" s="13">
        <f t="shared" si="20"/>
        <v>0</v>
      </c>
      <c r="AL356" s="18">
        <f t="shared" si="21"/>
        <v>0</v>
      </c>
    </row>
    <row r="357" ht="15.75" customHeight="1">
      <c r="A357" s="11" t="s">
        <v>686</v>
      </c>
      <c r="B357" s="11">
        <v>2020.0</v>
      </c>
      <c r="C357" s="12" t="str">
        <f>VLOOKUP(A357, Regions!A:B, 2, FALSE)
</f>
        <v>North America</v>
      </c>
      <c r="D357" s="13" t="str">
        <f t="shared" si="1"/>
        <v/>
      </c>
      <c r="E357" s="14" t="str">
        <f t="shared" si="2"/>
        <v/>
      </c>
      <c r="F357" s="11" t="s">
        <v>688</v>
      </c>
      <c r="G357" s="11">
        <v>89.96199799</v>
      </c>
      <c r="H357" s="11">
        <v>91.4</v>
      </c>
      <c r="I357" s="15">
        <f t="shared" si="3"/>
        <v>91</v>
      </c>
      <c r="J357" s="16" t="str">
        <f t="shared" si="4"/>
        <v/>
      </c>
      <c r="K357" s="16" t="str">
        <f t="shared" si="5"/>
        <v/>
      </c>
      <c r="L357" s="16" t="str">
        <f t="shared" si="6"/>
        <v/>
      </c>
      <c r="M357" s="16" t="str">
        <f t="shared" si="7"/>
        <v>ARC&gt;0</v>
      </c>
      <c r="N357" s="13" t="str">
        <f t="shared" si="8"/>
        <v/>
      </c>
      <c r="O357" s="11">
        <v>0.0</v>
      </c>
      <c r="P357" s="11">
        <v>8.6</v>
      </c>
      <c r="Q357" s="11">
        <v>0.0</v>
      </c>
      <c r="S357" s="15">
        <f t="shared" si="9"/>
        <v>0</v>
      </c>
      <c r="T357" s="17" t="str">
        <f t="shared" si="10"/>
        <v/>
      </c>
      <c r="U357" s="17" t="str">
        <f t="shared" si="11"/>
        <v>ARC=0</v>
      </c>
      <c r="V357" s="17" t="str">
        <f t="shared" si="12"/>
        <v/>
      </c>
      <c r="W357" s="17" t="str">
        <f t="shared" si="13"/>
        <v/>
      </c>
      <c r="X357" s="13" t="str">
        <f t="shared" si="14"/>
        <v/>
      </c>
      <c r="AC357" s="15">
        <f t="shared" si="15"/>
        <v>0</v>
      </c>
      <c r="AD357" s="16" t="str">
        <f t="shared" si="16"/>
        <v/>
      </c>
      <c r="AE357" s="16" t="str">
        <f t="shared" si="17"/>
        <v>ARC=0</v>
      </c>
      <c r="AF357" s="16" t="str">
        <f t="shared" si="18"/>
        <v/>
      </c>
      <c r="AG357" s="16" t="str">
        <f t="shared" si="19"/>
        <v/>
      </c>
      <c r="AH357" s="13" t="str">
        <f t="shared" si="20"/>
        <v/>
      </c>
      <c r="AL357" s="18" t="str">
        <f t="shared" si="21"/>
        <v/>
      </c>
    </row>
    <row r="358" ht="15.75" customHeight="1">
      <c r="A358" s="11" t="s">
        <v>689</v>
      </c>
      <c r="B358" s="11">
        <v>2015.0</v>
      </c>
      <c r="C358" s="12" t="str">
        <f>VLOOKUP(A358, Regions!A:B, 2, FALSE)
</f>
        <v>Latin America &amp; Caribbean</v>
      </c>
      <c r="D358" s="13">
        <f t="shared" si="1"/>
        <v>3</v>
      </c>
      <c r="E358" s="14">
        <f t="shared" si="2"/>
        <v>2016.5</v>
      </c>
      <c r="F358" s="11" t="s">
        <v>690</v>
      </c>
      <c r="G358" s="11">
        <v>50.96399689</v>
      </c>
      <c r="H358" s="11">
        <v>95.1452199</v>
      </c>
      <c r="I358" s="15">
        <f t="shared" si="3"/>
        <v>95</v>
      </c>
      <c r="J358" s="16" t="str">
        <f t="shared" si="4"/>
        <v/>
      </c>
      <c r="K358" s="16" t="str">
        <f t="shared" si="5"/>
        <v/>
      </c>
      <c r="L358" s="16" t="str">
        <f t="shared" si="6"/>
        <v/>
      </c>
      <c r="M358" s="16" t="str">
        <f t="shared" si="7"/>
        <v>ARC&gt;0</v>
      </c>
      <c r="N358" s="13">
        <f t="shared" si="8"/>
        <v>0</v>
      </c>
      <c r="O358" s="11">
        <v>0.0</v>
      </c>
      <c r="P358" s="11">
        <v>4.070093703</v>
      </c>
      <c r="Q358" s="11">
        <v>0.784686397</v>
      </c>
      <c r="S358" s="15">
        <f t="shared" si="9"/>
        <v>0</v>
      </c>
      <c r="T358" s="17" t="str">
        <f t="shared" si="10"/>
        <v/>
      </c>
      <c r="U358" s="17" t="str">
        <f t="shared" si="11"/>
        <v>ARC=0</v>
      </c>
      <c r="V358" s="17" t="str">
        <f t="shared" si="12"/>
        <v/>
      </c>
      <c r="W358" s="17" t="str">
        <f t="shared" si="13"/>
        <v/>
      </c>
      <c r="X358" s="13">
        <f t="shared" si="14"/>
        <v>0</v>
      </c>
      <c r="AC358" s="15">
        <f t="shared" si="15"/>
        <v>0</v>
      </c>
      <c r="AD358" s="16" t="str">
        <f t="shared" si="16"/>
        <v/>
      </c>
      <c r="AE358" s="16" t="str">
        <f t="shared" si="17"/>
        <v>ARC=0</v>
      </c>
      <c r="AF358" s="16" t="str">
        <f t="shared" si="18"/>
        <v/>
      </c>
      <c r="AG358" s="16" t="str">
        <f t="shared" si="19"/>
        <v/>
      </c>
      <c r="AH358" s="13">
        <f t="shared" si="20"/>
        <v>0</v>
      </c>
      <c r="AL358" s="18">
        <f t="shared" si="21"/>
        <v>0</v>
      </c>
    </row>
    <row r="359" ht="15.75" customHeight="1">
      <c r="A359" s="11" t="s">
        <v>689</v>
      </c>
      <c r="B359" s="11">
        <v>2018.0</v>
      </c>
      <c r="C359" s="12" t="str">
        <f>VLOOKUP(A359, Regions!A:B, 2, FALSE)
</f>
        <v>Latin America &amp; Caribbean</v>
      </c>
      <c r="D359" s="13" t="str">
        <f t="shared" si="1"/>
        <v/>
      </c>
      <c r="E359" s="14" t="str">
        <f t="shared" si="2"/>
        <v/>
      </c>
      <c r="F359" s="11" t="s">
        <v>691</v>
      </c>
      <c r="G359" s="11">
        <v>52.19799805</v>
      </c>
      <c r="H359" s="11">
        <v>95.1452199</v>
      </c>
      <c r="I359" s="15">
        <f t="shared" si="3"/>
        <v>95</v>
      </c>
      <c r="J359" s="16" t="str">
        <f t="shared" si="4"/>
        <v/>
      </c>
      <c r="K359" s="16" t="str">
        <f t="shared" si="5"/>
        <v/>
      </c>
      <c r="L359" s="16" t="str">
        <f t="shared" si="6"/>
        <v/>
      </c>
      <c r="M359" s="16" t="str">
        <f t="shared" si="7"/>
        <v>ARC&gt;0</v>
      </c>
      <c r="N359" s="13" t="str">
        <f t="shared" si="8"/>
        <v/>
      </c>
      <c r="O359" s="11">
        <v>0.0</v>
      </c>
      <c r="P359" s="11">
        <v>4.8547801</v>
      </c>
      <c r="S359" s="15">
        <f t="shared" si="9"/>
        <v>0</v>
      </c>
      <c r="T359" s="17" t="str">
        <f t="shared" si="10"/>
        <v/>
      </c>
      <c r="U359" s="17" t="str">
        <f t="shared" si="11"/>
        <v>ARC=0</v>
      </c>
      <c r="V359" s="17" t="str">
        <f t="shared" si="12"/>
        <v/>
      </c>
      <c r="W359" s="17" t="str">
        <f t="shared" si="13"/>
        <v/>
      </c>
      <c r="X359" s="13" t="str">
        <f t="shared" si="14"/>
        <v/>
      </c>
      <c r="AC359" s="15">
        <f t="shared" si="15"/>
        <v>0</v>
      </c>
      <c r="AD359" s="16" t="str">
        <f t="shared" si="16"/>
        <v/>
      </c>
      <c r="AE359" s="16" t="str">
        <f t="shared" si="17"/>
        <v>ARC=0</v>
      </c>
      <c r="AF359" s="16" t="str">
        <f t="shared" si="18"/>
        <v/>
      </c>
      <c r="AG359" s="16" t="str">
        <f t="shared" si="19"/>
        <v/>
      </c>
      <c r="AH359" s="13" t="str">
        <f t="shared" si="20"/>
        <v/>
      </c>
      <c r="AL359" s="18" t="str">
        <f t="shared" si="21"/>
        <v/>
      </c>
    </row>
    <row r="360" ht="15.75" customHeight="1">
      <c r="A360" s="11" t="s">
        <v>692</v>
      </c>
      <c r="B360" s="11">
        <v>2015.0</v>
      </c>
      <c r="C360" s="12" t="str">
        <f>VLOOKUP(A360, Regions!A:B, 2, FALSE)
</f>
        <v>East Asia &amp; Pacific</v>
      </c>
      <c r="D360" s="13">
        <f t="shared" si="1"/>
        <v>5</v>
      </c>
      <c r="E360" s="14">
        <f t="shared" si="2"/>
        <v>2017.5</v>
      </c>
      <c r="F360" s="11" t="s">
        <v>693</v>
      </c>
      <c r="G360" s="11">
        <v>18.91400146</v>
      </c>
      <c r="H360" s="11">
        <v>91.32139736</v>
      </c>
      <c r="I360" s="15">
        <f t="shared" si="3"/>
        <v>91</v>
      </c>
      <c r="J360" s="16" t="str">
        <f t="shared" si="4"/>
        <v/>
      </c>
      <c r="K360" s="16" t="str">
        <f t="shared" si="5"/>
        <v/>
      </c>
      <c r="L360" s="16" t="str">
        <f t="shared" si="6"/>
        <v/>
      </c>
      <c r="M360" s="16" t="str">
        <f t="shared" si="7"/>
        <v>ARC&gt;0</v>
      </c>
      <c r="N360" s="13">
        <f t="shared" si="8"/>
        <v>0.103265438</v>
      </c>
      <c r="O360" s="11">
        <v>6.499281296</v>
      </c>
      <c r="P360" s="11">
        <v>1.929815904</v>
      </c>
      <c r="Q360" s="11">
        <v>0.2495054413</v>
      </c>
      <c r="R360" s="11">
        <v>91.38641565</v>
      </c>
      <c r="S360" s="15">
        <f t="shared" si="9"/>
        <v>91</v>
      </c>
      <c r="T360" s="17" t="str">
        <f t="shared" si="10"/>
        <v/>
      </c>
      <c r="U360" s="17" t="str">
        <f t="shared" si="11"/>
        <v/>
      </c>
      <c r="V360" s="17" t="str">
        <f t="shared" si="12"/>
        <v/>
      </c>
      <c r="W360" s="17" t="str">
        <f t="shared" si="13"/>
        <v>ARC&gt;0</v>
      </c>
      <c r="X360" s="13">
        <f t="shared" si="14"/>
        <v>0.078781444</v>
      </c>
      <c r="Y360" s="11">
        <v>6.194005024</v>
      </c>
      <c r="Z360" s="11">
        <v>2.148529534</v>
      </c>
      <c r="AA360" s="11">
        <v>0.2710497959</v>
      </c>
      <c r="AB360" s="11">
        <v>91.04264868</v>
      </c>
      <c r="AC360" s="15">
        <f t="shared" si="15"/>
        <v>91</v>
      </c>
      <c r="AD360" s="16" t="str">
        <f t="shared" si="16"/>
        <v/>
      </c>
      <c r="AE360" s="16" t="str">
        <f t="shared" si="17"/>
        <v/>
      </c>
      <c r="AF360" s="16" t="str">
        <f t="shared" si="18"/>
        <v/>
      </c>
      <c r="AG360" s="16" t="str">
        <f t="shared" si="19"/>
        <v>ARC&gt;0</v>
      </c>
      <c r="AH360" s="13">
        <f t="shared" si="20"/>
        <v>0.211708264</v>
      </c>
      <c r="AI360" s="11">
        <v>7.808027061</v>
      </c>
      <c r="AJ360" s="11">
        <v>0.9921814015</v>
      </c>
      <c r="AK360" s="11" t="s">
        <v>694</v>
      </c>
      <c r="AL360" s="18">
        <f t="shared" si="21"/>
        <v>-0.13292682</v>
      </c>
    </row>
    <row r="361" ht="15.75" customHeight="1">
      <c r="A361" s="11" t="s">
        <v>692</v>
      </c>
      <c r="B361" s="11">
        <v>2020.0</v>
      </c>
      <c r="C361" s="12" t="str">
        <f>VLOOKUP(A361, Regions!A:B, 2, FALSE)
</f>
        <v>East Asia &amp; Pacific</v>
      </c>
      <c r="D361" s="13" t="str">
        <f t="shared" si="1"/>
        <v/>
      </c>
      <c r="E361" s="14" t="str">
        <f t="shared" si="2"/>
        <v/>
      </c>
      <c r="F361" s="11" t="s">
        <v>695</v>
      </c>
      <c r="G361" s="11">
        <v>17.88899994</v>
      </c>
      <c r="H361" s="11">
        <v>91.83772455</v>
      </c>
      <c r="I361" s="15">
        <f t="shared" si="3"/>
        <v>92</v>
      </c>
      <c r="J361" s="16" t="str">
        <f t="shared" si="4"/>
        <v/>
      </c>
      <c r="K361" s="16" t="str">
        <f t="shared" si="5"/>
        <v/>
      </c>
      <c r="L361" s="16" t="str">
        <f t="shared" si="6"/>
        <v/>
      </c>
      <c r="M361" s="16" t="str">
        <f t="shared" si="7"/>
        <v>ARC&gt;0</v>
      </c>
      <c r="N361" s="13" t="str">
        <f t="shared" si="8"/>
        <v/>
      </c>
      <c r="O361" s="11">
        <v>6.520899952</v>
      </c>
      <c r="P361" s="11">
        <v>1.418623428</v>
      </c>
      <c r="Q361" s="11">
        <v>0.2227520679</v>
      </c>
      <c r="R361" s="11">
        <v>91.78032287</v>
      </c>
      <c r="S361" s="15">
        <f t="shared" si="9"/>
        <v>92</v>
      </c>
      <c r="T361" s="17" t="str">
        <f t="shared" si="10"/>
        <v/>
      </c>
      <c r="U361" s="17" t="str">
        <f t="shared" si="11"/>
        <v/>
      </c>
      <c r="V361" s="17" t="str">
        <f t="shared" si="12"/>
        <v/>
      </c>
      <c r="W361" s="17" t="str">
        <f t="shared" si="13"/>
        <v>ARC&gt;0</v>
      </c>
      <c r="X361" s="13" t="str">
        <f t="shared" si="14"/>
        <v/>
      </c>
      <c r="Y361" s="11">
        <v>6.220703339</v>
      </c>
      <c r="Z361" s="11">
        <v>1.72769216</v>
      </c>
      <c r="AA361" s="11">
        <v>0.2712816327</v>
      </c>
      <c r="AB361" s="11">
        <v>92.10119</v>
      </c>
      <c r="AC361" s="15">
        <f t="shared" si="15"/>
        <v>92</v>
      </c>
      <c r="AD361" s="16" t="str">
        <f t="shared" si="16"/>
        <v/>
      </c>
      <c r="AE361" s="16" t="str">
        <f t="shared" si="17"/>
        <v/>
      </c>
      <c r="AF361" s="16" t="str">
        <f t="shared" si="18"/>
        <v/>
      </c>
      <c r="AG361" s="16" t="str">
        <f t="shared" si="19"/>
        <v>ARC&gt;0</v>
      </c>
      <c r="AH361" s="13" t="str">
        <f t="shared" si="20"/>
        <v/>
      </c>
      <c r="AI361" s="11">
        <v>7.89881</v>
      </c>
      <c r="AJ361" s="11">
        <v>0.0</v>
      </c>
      <c r="AK361" s="11" t="s">
        <v>43</v>
      </c>
      <c r="AL361" s="18" t="str">
        <f t="shared" si="21"/>
        <v/>
      </c>
    </row>
    <row r="362" ht="15.75" customHeight="1">
      <c r="A362" s="11" t="s">
        <v>696</v>
      </c>
      <c r="B362" s="11">
        <v>2015.0</v>
      </c>
      <c r="C362" s="12" t="str">
        <f>VLOOKUP(A362, Regions!A:B, 2, FALSE)
</f>
        <v>Europe &amp; Central Asia</v>
      </c>
      <c r="D362" s="13">
        <f t="shared" si="1"/>
        <v>5</v>
      </c>
      <c r="E362" s="14">
        <f t="shared" si="2"/>
        <v>2017.5</v>
      </c>
      <c r="F362" s="11" t="s">
        <v>697</v>
      </c>
      <c r="G362" s="11">
        <v>96.73899841</v>
      </c>
      <c r="H362" s="11">
        <v>100.0</v>
      </c>
      <c r="I362" s="15">
        <f t="shared" si="3"/>
        <v>100</v>
      </c>
      <c r="J362" s="16" t="str">
        <f t="shared" si="4"/>
        <v>full access</v>
      </c>
      <c r="K362" s="16" t="str">
        <f t="shared" si="5"/>
        <v/>
      </c>
      <c r="L362" s="16" t="str">
        <f t="shared" si="6"/>
        <v/>
      </c>
      <c r="M362" s="16" t="str">
        <f t="shared" si="7"/>
        <v/>
      </c>
      <c r="N362" s="13">
        <f t="shared" si="8"/>
        <v>0</v>
      </c>
      <c r="O362" s="11">
        <v>0.0</v>
      </c>
      <c r="P362" s="11">
        <v>0.0</v>
      </c>
      <c r="Q362" s="11">
        <v>0.0</v>
      </c>
      <c r="S362" s="15">
        <f t="shared" si="9"/>
        <v>0</v>
      </c>
      <c r="T362" s="17" t="str">
        <f t="shared" si="10"/>
        <v/>
      </c>
      <c r="U362" s="17" t="str">
        <f t="shared" si="11"/>
        <v>ARC=0</v>
      </c>
      <c r="V362" s="17" t="str">
        <f t="shared" si="12"/>
        <v/>
      </c>
      <c r="W362" s="17" t="str">
        <f t="shared" si="13"/>
        <v/>
      </c>
      <c r="X362" s="13">
        <f t="shared" si="14"/>
        <v>0</v>
      </c>
      <c r="AC362" s="15">
        <f t="shared" si="15"/>
        <v>0</v>
      </c>
      <c r="AD362" s="16" t="str">
        <f t="shared" si="16"/>
        <v/>
      </c>
      <c r="AE362" s="16" t="str">
        <f t="shared" si="17"/>
        <v>ARC=0</v>
      </c>
      <c r="AF362" s="16" t="str">
        <f t="shared" si="18"/>
        <v/>
      </c>
      <c r="AG362" s="16" t="str">
        <f t="shared" si="19"/>
        <v/>
      </c>
      <c r="AH362" s="13">
        <f t="shared" si="20"/>
        <v>0</v>
      </c>
      <c r="AL362" s="18">
        <f t="shared" si="21"/>
        <v>0</v>
      </c>
    </row>
    <row r="363" ht="15.75" customHeight="1">
      <c r="A363" s="11" t="s">
        <v>696</v>
      </c>
      <c r="B363" s="11">
        <v>2020.0</v>
      </c>
      <c r="C363" s="12" t="str">
        <f>VLOOKUP(A363, Regions!A:B, 2, FALSE)
</f>
        <v>Europe &amp; Central Asia</v>
      </c>
      <c r="D363" s="13" t="str">
        <f t="shared" si="1"/>
        <v/>
      </c>
      <c r="E363" s="14" t="str">
        <f t="shared" si="2"/>
        <v/>
      </c>
      <c r="F363" s="11" t="s">
        <v>698</v>
      </c>
      <c r="G363" s="11">
        <v>97.49900055</v>
      </c>
      <c r="H363" s="11">
        <v>100.0</v>
      </c>
      <c r="I363" s="15">
        <f t="shared" si="3"/>
        <v>100</v>
      </c>
      <c r="J363" s="16" t="str">
        <f t="shared" si="4"/>
        <v/>
      </c>
      <c r="K363" s="16" t="str">
        <f t="shared" si="5"/>
        <v/>
      </c>
      <c r="L363" s="16" t="str">
        <f t="shared" si="6"/>
        <v/>
      </c>
      <c r="M363" s="16" t="str">
        <f t="shared" si="7"/>
        <v>ARC&gt;0</v>
      </c>
      <c r="N363" s="13" t="str">
        <f t="shared" si="8"/>
        <v/>
      </c>
      <c r="O363" s="11">
        <v>0.0</v>
      </c>
      <c r="P363" s="11">
        <v>0.0</v>
      </c>
      <c r="Q363" s="11">
        <v>0.0</v>
      </c>
      <c r="S363" s="15">
        <f t="shared" si="9"/>
        <v>0</v>
      </c>
      <c r="T363" s="17" t="str">
        <f t="shared" si="10"/>
        <v/>
      </c>
      <c r="U363" s="17" t="str">
        <f t="shared" si="11"/>
        <v>ARC=0</v>
      </c>
      <c r="V363" s="17" t="str">
        <f t="shared" si="12"/>
        <v/>
      </c>
      <c r="W363" s="17" t="str">
        <f t="shared" si="13"/>
        <v/>
      </c>
      <c r="X363" s="13" t="str">
        <f t="shared" si="14"/>
        <v/>
      </c>
      <c r="AC363" s="15">
        <f t="shared" si="15"/>
        <v>0</v>
      </c>
      <c r="AD363" s="16" t="str">
        <f t="shared" si="16"/>
        <v/>
      </c>
      <c r="AE363" s="16" t="str">
        <f t="shared" si="17"/>
        <v>ARC=0</v>
      </c>
      <c r="AF363" s="16" t="str">
        <f t="shared" si="18"/>
        <v/>
      </c>
      <c r="AG363" s="16" t="str">
        <f t="shared" si="19"/>
        <v/>
      </c>
      <c r="AH363" s="13" t="str">
        <f t="shared" si="20"/>
        <v/>
      </c>
      <c r="AL363" s="18" t="str">
        <f t="shared" si="21"/>
        <v/>
      </c>
    </row>
    <row r="364" ht="15.75" customHeight="1">
      <c r="A364" s="11" t="s">
        <v>699</v>
      </c>
      <c r="B364" s="11">
        <v>2015.0</v>
      </c>
      <c r="C364" s="12" t="str">
        <f>VLOOKUP(A364, Regions!A:B, 2, FALSE)
</f>
        <v>Sub-Saharan Africa</v>
      </c>
      <c r="D364" s="13">
        <f t="shared" si="1"/>
        <v>5</v>
      </c>
      <c r="E364" s="14">
        <f t="shared" si="2"/>
        <v>2017.5</v>
      </c>
      <c r="F364" s="11" t="s">
        <v>700</v>
      </c>
      <c r="G364" s="11">
        <v>70.1740036</v>
      </c>
      <c r="H364" s="11">
        <v>77.12422979</v>
      </c>
      <c r="I364" s="15">
        <f t="shared" si="3"/>
        <v>77</v>
      </c>
      <c r="J364" s="16" t="str">
        <f t="shared" si="4"/>
        <v/>
      </c>
      <c r="K364" s="16" t="str">
        <f t="shared" si="5"/>
        <v/>
      </c>
      <c r="L364" s="16" t="str">
        <f t="shared" si="6"/>
        <v/>
      </c>
      <c r="M364" s="16" t="str">
        <f t="shared" si="7"/>
        <v>ARC&gt;0</v>
      </c>
      <c r="N364" s="13">
        <f t="shared" si="8"/>
        <v>0.220445074</v>
      </c>
      <c r="O364" s="11">
        <v>18.34430682</v>
      </c>
      <c r="P364" s="11">
        <v>1.859577121</v>
      </c>
      <c r="Q364" s="11">
        <v>2.671886269</v>
      </c>
      <c r="R364" s="11">
        <v>71.28271664</v>
      </c>
      <c r="S364" s="15">
        <f t="shared" si="9"/>
        <v>71</v>
      </c>
      <c r="T364" s="17" t="str">
        <f t="shared" si="10"/>
        <v/>
      </c>
      <c r="U364" s="17" t="str">
        <f t="shared" si="11"/>
        <v/>
      </c>
      <c r="V364" s="17" t="str">
        <f t="shared" si="12"/>
        <v/>
      </c>
      <c r="W364" s="17" t="str">
        <f t="shared" si="13"/>
        <v>ARC&gt;0</v>
      </c>
      <c r="X364" s="13">
        <f t="shared" si="14"/>
        <v>0.60357957</v>
      </c>
      <c r="Y364" s="11">
        <v>17.07304495</v>
      </c>
      <c r="Z364" s="11">
        <v>4.118479256</v>
      </c>
      <c r="AA364" s="11">
        <v>7.525759155</v>
      </c>
      <c r="AB364" s="11">
        <v>79.607041</v>
      </c>
      <c r="AC364" s="15">
        <f t="shared" si="15"/>
        <v>80</v>
      </c>
      <c r="AD364" s="16" t="str">
        <f t="shared" si="16"/>
        <v/>
      </c>
      <c r="AE364" s="16" t="str">
        <f t="shared" si="17"/>
        <v/>
      </c>
      <c r="AF364" s="16" t="str">
        <f t="shared" si="18"/>
        <v/>
      </c>
      <c r="AG364" s="16" t="str">
        <f t="shared" si="19"/>
        <v>ARC&gt;0</v>
      </c>
      <c r="AH364" s="13">
        <f t="shared" si="20"/>
        <v>-0.00529962</v>
      </c>
      <c r="AI364" s="11">
        <v>18.88462966</v>
      </c>
      <c r="AJ364" s="11">
        <v>0.8994805634</v>
      </c>
      <c r="AK364" s="11" t="s">
        <v>701</v>
      </c>
      <c r="AL364" s="18">
        <f t="shared" si="21"/>
        <v>0.60887919</v>
      </c>
    </row>
    <row r="365" ht="15.75" customHeight="1">
      <c r="A365" s="11" t="s">
        <v>699</v>
      </c>
      <c r="B365" s="11">
        <v>2020.0</v>
      </c>
      <c r="C365" s="12" t="str">
        <f>VLOOKUP(A365, Regions!A:B, 2, FALSE)
</f>
        <v>Sub-Saharan Africa</v>
      </c>
      <c r="D365" s="13" t="str">
        <f t="shared" si="1"/>
        <v/>
      </c>
      <c r="E365" s="14" t="str">
        <f t="shared" si="2"/>
        <v/>
      </c>
      <c r="F365" s="11" t="s">
        <v>702</v>
      </c>
      <c r="G365" s="11">
        <v>74.35400391</v>
      </c>
      <c r="H365" s="11">
        <v>78.22645516</v>
      </c>
      <c r="I365" s="15">
        <f t="shared" si="3"/>
        <v>78</v>
      </c>
      <c r="J365" s="16" t="str">
        <f t="shared" si="4"/>
        <v/>
      </c>
      <c r="K365" s="16" t="str">
        <f t="shared" si="5"/>
        <v/>
      </c>
      <c r="L365" s="16" t="str">
        <f t="shared" si="6"/>
        <v/>
      </c>
      <c r="M365" s="16" t="str">
        <f t="shared" si="7"/>
        <v>ARC&gt;0</v>
      </c>
      <c r="N365" s="13" t="str">
        <f t="shared" si="8"/>
        <v/>
      </c>
      <c r="O365" s="11">
        <v>20.23798298</v>
      </c>
      <c r="P365" s="11">
        <v>0.4435199284</v>
      </c>
      <c r="Q365" s="11">
        <v>1.09204193</v>
      </c>
      <c r="R365" s="11">
        <v>74.30061449</v>
      </c>
      <c r="S365" s="15">
        <f t="shared" si="9"/>
        <v>74</v>
      </c>
      <c r="T365" s="17" t="str">
        <f t="shared" si="10"/>
        <v/>
      </c>
      <c r="U365" s="17" t="str">
        <f t="shared" si="11"/>
        <v/>
      </c>
      <c r="V365" s="17" t="str">
        <f t="shared" si="12"/>
        <v/>
      </c>
      <c r="W365" s="17" t="str">
        <f t="shared" si="13"/>
        <v>ARC&gt;0</v>
      </c>
      <c r="X365" s="13" t="str">
        <f t="shared" si="14"/>
        <v/>
      </c>
      <c r="Y365" s="11">
        <v>19.71184258</v>
      </c>
      <c r="Z365" s="11">
        <v>1.729405704</v>
      </c>
      <c r="AA365" s="11">
        <v>4.258137228</v>
      </c>
      <c r="AB365" s="11">
        <v>79.5805429</v>
      </c>
      <c r="AC365" s="15">
        <f t="shared" si="15"/>
        <v>80</v>
      </c>
      <c r="AD365" s="16" t="str">
        <f t="shared" si="16"/>
        <v/>
      </c>
      <c r="AE365" s="16" t="str">
        <f t="shared" si="17"/>
        <v/>
      </c>
      <c r="AF365" s="16" t="str">
        <f t="shared" si="18"/>
        <v/>
      </c>
      <c r="AG365" s="16" t="str">
        <f t="shared" si="19"/>
        <v>ARC&gt;0</v>
      </c>
      <c r="AH365" s="13" t="str">
        <f t="shared" si="20"/>
        <v/>
      </c>
      <c r="AI365" s="11">
        <v>20.4194571</v>
      </c>
      <c r="AJ365" s="11">
        <v>0.0</v>
      </c>
      <c r="AK365" s="11" t="s">
        <v>43</v>
      </c>
      <c r="AL365" s="18" t="str">
        <f t="shared" si="21"/>
        <v/>
      </c>
    </row>
    <row r="366" ht="15.75" customHeight="1">
      <c r="A366" s="11" t="s">
        <v>703</v>
      </c>
      <c r="B366" s="11">
        <v>2015.0</v>
      </c>
      <c r="C366" s="12" t="str">
        <f>VLOOKUP(A366, Regions!A:B, 2, FALSE)
</f>
        <v>Europe &amp; Central Asia</v>
      </c>
      <c r="D366" s="13">
        <f t="shared" si="1"/>
        <v>5</v>
      </c>
      <c r="E366" s="14">
        <f t="shared" si="2"/>
        <v>2017.5</v>
      </c>
      <c r="F366" s="11" t="s">
        <v>704</v>
      </c>
      <c r="G366" s="11">
        <v>83.18000031</v>
      </c>
      <c r="H366" s="11">
        <v>99.54802638</v>
      </c>
      <c r="I366" s="15">
        <f t="shared" si="3"/>
        <v>100</v>
      </c>
      <c r="J366" s="16" t="str">
        <f t="shared" si="4"/>
        <v>full access</v>
      </c>
      <c r="K366" s="16" t="str">
        <f t="shared" si="5"/>
        <v/>
      </c>
      <c r="L366" s="16" t="str">
        <f t="shared" si="6"/>
        <v/>
      </c>
      <c r="M366" s="16" t="str">
        <f t="shared" si="7"/>
        <v/>
      </c>
      <c r="N366" s="13">
        <f t="shared" si="8"/>
        <v>0.090394724</v>
      </c>
      <c r="O366" s="11">
        <v>0.0</v>
      </c>
      <c r="P366" s="11">
        <v>0.4519736166</v>
      </c>
      <c r="Q366" s="11">
        <v>0.0</v>
      </c>
      <c r="S366" s="15">
        <f t="shared" si="9"/>
        <v>0</v>
      </c>
      <c r="T366" s="17" t="str">
        <f t="shared" si="10"/>
        <v/>
      </c>
      <c r="U366" s="17" t="str">
        <f t="shared" si="11"/>
        <v>ARC=0</v>
      </c>
      <c r="V366" s="17" t="str">
        <f t="shared" si="12"/>
        <v/>
      </c>
      <c r="W366" s="17" t="str">
        <f t="shared" si="13"/>
        <v/>
      </c>
      <c r="X366" s="13">
        <f t="shared" si="14"/>
        <v>0</v>
      </c>
      <c r="AC366" s="15">
        <f t="shared" si="15"/>
        <v>0</v>
      </c>
      <c r="AD366" s="16" t="str">
        <f t="shared" si="16"/>
        <v/>
      </c>
      <c r="AE366" s="16" t="str">
        <f t="shared" si="17"/>
        <v>ARC=0</v>
      </c>
      <c r="AF366" s="16" t="str">
        <f t="shared" si="18"/>
        <v/>
      </c>
      <c r="AG366" s="16" t="str">
        <f t="shared" si="19"/>
        <v/>
      </c>
      <c r="AH366" s="13">
        <f t="shared" si="20"/>
        <v>0</v>
      </c>
      <c r="AL366" s="18">
        <f t="shared" si="21"/>
        <v>0</v>
      </c>
    </row>
    <row r="367" ht="15.75" customHeight="1">
      <c r="A367" s="11" t="s">
        <v>703</v>
      </c>
      <c r="B367" s="11">
        <v>2020.0</v>
      </c>
      <c r="C367" s="12" t="str">
        <f>VLOOKUP(A367, Regions!A:B, 2, FALSE)
</f>
        <v>Europe &amp; Central Asia</v>
      </c>
      <c r="D367" s="13" t="str">
        <f t="shared" si="1"/>
        <v/>
      </c>
      <c r="E367" s="14" t="str">
        <f t="shared" si="2"/>
        <v/>
      </c>
      <c r="F367" s="11" t="s">
        <v>705</v>
      </c>
      <c r="G367" s="11">
        <v>84.28700256</v>
      </c>
      <c r="H367" s="11">
        <v>100.0</v>
      </c>
      <c r="I367" s="15">
        <f t="shared" si="3"/>
        <v>100</v>
      </c>
      <c r="J367" s="16" t="str">
        <f t="shared" si="4"/>
        <v/>
      </c>
      <c r="K367" s="16" t="str">
        <f t="shared" si="5"/>
        <v/>
      </c>
      <c r="L367" s="16" t="str">
        <f t="shared" si="6"/>
        <v/>
      </c>
      <c r="M367" s="16" t="str">
        <f t="shared" si="7"/>
        <v>ARC&gt;0</v>
      </c>
      <c r="N367" s="13" t="str">
        <f t="shared" si="8"/>
        <v/>
      </c>
      <c r="O367" s="11">
        <v>0.0</v>
      </c>
      <c r="P367" s="11">
        <v>0.0</v>
      </c>
      <c r="Q367" s="11">
        <v>0.0</v>
      </c>
      <c r="S367" s="15">
        <f t="shared" si="9"/>
        <v>0</v>
      </c>
      <c r="T367" s="17" t="str">
        <f t="shared" si="10"/>
        <v/>
      </c>
      <c r="U367" s="17" t="str">
        <f t="shared" si="11"/>
        <v>ARC=0</v>
      </c>
      <c r="V367" s="17" t="str">
        <f t="shared" si="12"/>
        <v/>
      </c>
      <c r="W367" s="17" t="str">
        <f t="shared" si="13"/>
        <v/>
      </c>
      <c r="X367" s="13" t="str">
        <f t="shared" si="14"/>
        <v/>
      </c>
      <c r="AC367" s="15">
        <f t="shared" si="15"/>
        <v>0</v>
      </c>
      <c r="AD367" s="16" t="str">
        <f t="shared" si="16"/>
        <v/>
      </c>
      <c r="AE367" s="16" t="str">
        <f t="shared" si="17"/>
        <v>ARC=0</v>
      </c>
      <c r="AF367" s="16" t="str">
        <f t="shared" si="18"/>
        <v/>
      </c>
      <c r="AG367" s="16" t="str">
        <f t="shared" si="19"/>
        <v/>
      </c>
      <c r="AH367" s="13" t="str">
        <f t="shared" si="20"/>
        <v/>
      </c>
      <c r="AL367" s="18" t="str">
        <f t="shared" si="21"/>
        <v/>
      </c>
    </row>
    <row r="368" ht="15.75" customHeight="1">
      <c r="A368" s="11" t="s">
        <v>706</v>
      </c>
      <c r="B368" s="11">
        <v>2015.0</v>
      </c>
      <c r="C368" s="12" t="str">
        <f>VLOOKUP(A368, Regions!A:B, 2, FALSE)
</f>
        <v>Sub-Saharan Africa</v>
      </c>
      <c r="D368" s="13">
        <f t="shared" si="1"/>
        <v>5</v>
      </c>
      <c r="E368" s="14">
        <f t="shared" si="2"/>
        <v>2017.5</v>
      </c>
      <c r="F368" s="11" t="s">
        <v>707</v>
      </c>
      <c r="G368" s="11">
        <v>45.86200333</v>
      </c>
      <c r="H368" s="11">
        <v>78.60209362</v>
      </c>
      <c r="I368" s="15">
        <f t="shared" si="3"/>
        <v>79</v>
      </c>
      <c r="J368" s="16" t="str">
        <f t="shared" si="4"/>
        <v/>
      </c>
      <c r="K368" s="16" t="str">
        <f t="shared" si="5"/>
        <v/>
      </c>
      <c r="L368" s="16" t="str">
        <f t="shared" si="6"/>
        <v/>
      </c>
      <c r="M368" s="16" t="str">
        <f t="shared" si="7"/>
        <v>ARC&gt;0</v>
      </c>
      <c r="N368" s="13">
        <f t="shared" si="8"/>
        <v>1.260628834</v>
      </c>
      <c r="O368" s="11">
        <v>3.392145635</v>
      </c>
      <c r="P368" s="11">
        <v>17.59491318</v>
      </c>
      <c r="Q368" s="11">
        <v>0.4108475646</v>
      </c>
      <c r="R368" s="11">
        <v>65.94120156</v>
      </c>
      <c r="S368" s="15">
        <f t="shared" si="9"/>
        <v>66</v>
      </c>
      <c r="T368" s="17" t="str">
        <f t="shared" si="10"/>
        <v/>
      </c>
      <c r="U368" s="17" t="str">
        <f t="shared" si="11"/>
        <v/>
      </c>
      <c r="V368" s="17" t="str">
        <f t="shared" si="12"/>
        <v/>
      </c>
      <c r="W368" s="17" t="str">
        <f t="shared" si="13"/>
        <v>ARC&gt;0</v>
      </c>
      <c r="X368" s="13">
        <f t="shared" si="14"/>
        <v>1.860345328</v>
      </c>
      <c r="Y368" s="11">
        <v>5.253411854</v>
      </c>
      <c r="Z368" s="11">
        <v>28.07919255</v>
      </c>
      <c r="AA368" s="11">
        <v>0.7261940369</v>
      </c>
      <c r="AB368" s="11">
        <v>93.54769776</v>
      </c>
      <c r="AC368" s="15">
        <f t="shared" si="15"/>
        <v>94</v>
      </c>
      <c r="AD368" s="16" t="str">
        <f t="shared" si="16"/>
        <v/>
      </c>
      <c r="AE368" s="16" t="str">
        <f t="shared" si="17"/>
        <v/>
      </c>
      <c r="AF368" s="16" t="str">
        <f t="shared" si="18"/>
        <v/>
      </c>
      <c r="AG368" s="16" t="str">
        <f t="shared" si="19"/>
        <v>ARC&gt;0</v>
      </c>
      <c r="AH368" s="13">
        <f t="shared" si="20"/>
        <v>0.354800636</v>
      </c>
      <c r="AI368" s="11">
        <v>1.195005973</v>
      </c>
      <c r="AJ368" s="11">
        <v>5.218700794</v>
      </c>
      <c r="AK368" s="11" t="s">
        <v>708</v>
      </c>
      <c r="AL368" s="18">
        <f t="shared" si="21"/>
        <v>1.505544692</v>
      </c>
    </row>
    <row r="369" ht="15.75" customHeight="1">
      <c r="A369" s="11" t="s">
        <v>706</v>
      </c>
      <c r="B369" s="11">
        <v>2020.0</v>
      </c>
      <c r="C369" s="12" t="str">
        <f>VLOOKUP(A369, Regions!A:B, 2, FALSE)
</f>
        <v>Sub-Saharan Africa</v>
      </c>
      <c r="D369" s="13" t="str">
        <f t="shared" si="1"/>
        <v/>
      </c>
      <c r="E369" s="14" t="str">
        <f t="shared" si="2"/>
        <v/>
      </c>
      <c r="F369" s="11" t="s">
        <v>709</v>
      </c>
      <c r="G369" s="11">
        <v>48.12200165</v>
      </c>
      <c r="H369" s="11">
        <v>84.90523779</v>
      </c>
      <c r="I369" s="15">
        <f t="shared" si="3"/>
        <v>85</v>
      </c>
      <c r="J369" s="16" t="str">
        <f t="shared" si="4"/>
        <v/>
      </c>
      <c r="K369" s="16" t="str">
        <f t="shared" si="5"/>
        <v/>
      </c>
      <c r="L369" s="16" t="str">
        <f t="shared" si="6"/>
        <v/>
      </c>
      <c r="M369" s="16" t="str">
        <f t="shared" si="7"/>
        <v>ARC&gt;0</v>
      </c>
      <c r="N369" s="13" t="str">
        <f t="shared" si="8"/>
        <v/>
      </c>
      <c r="O369" s="11">
        <v>2.387217509</v>
      </c>
      <c r="P369" s="11">
        <v>12.60781566</v>
      </c>
      <c r="Q369" s="11">
        <v>0.09972904042</v>
      </c>
      <c r="R369" s="11">
        <v>75.2429282</v>
      </c>
      <c r="S369" s="15">
        <f t="shared" si="9"/>
        <v>75</v>
      </c>
      <c r="T369" s="17" t="str">
        <f t="shared" si="10"/>
        <v/>
      </c>
      <c r="U369" s="17" t="str">
        <f t="shared" si="11"/>
        <v/>
      </c>
      <c r="V369" s="17" t="str">
        <f t="shared" si="12"/>
        <v/>
      </c>
      <c r="W369" s="17" t="str">
        <f t="shared" si="13"/>
        <v>ARC&gt;0</v>
      </c>
      <c r="X369" s="13" t="str">
        <f t="shared" si="14"/>
        <v/>
      </c>
      <c r="Y369" s="11">
        <v>4.052382433</v>
      </c>
      <c r="Z369" s="11">
        <v>20.51245174</v>
      </c>
      <c r="AA369" s="11">
        <v>0.1922376314</v>
      </c>
      <c r="AB369" s="11">
        <v>95.32170094</v>
      </c>
      <c r="AC369" s="15">
        <f t="shared" si="15"/>
        <v>95</v>
      </c>
      <c r="AD369" s="16" t="str">
        <f t="shared" si="16"/>
        <v/>
      </c>
      <c r="AE369" s="16" t="str">
        <f t="shared" si="17"/>
        <v/>
      </c>
      <c r="AF369" s="16" t="str">
        <f t="shared" si="18"/>
        <v/>
      </c>
      <c r="AG369" s="16" t="str">
        <f t="shared" si="19"/>
        <v>ARC&gt;0</v>
      </c>
      <c r="AH369" s="13" t="str">
        <f t="shared" si="20"/>
        <v/>
      </c>
      <c r="AI369" s="11">
        <v>0.5920836567</v>
      </c>
      <c r="AJ369" s="11">
        <v>4.086215402</v>
      </c>
      <c r="AK369" s="11" t="s">
        <v>43</v>
      </c>
      <c r="AL369" s="18" t="str">
        <f t="shared" si="21"/>
        <v/>
      </c>
    </row>
    <row r="370" ht="15.75" customHeight="1">
      <c r="A370" s="11" t="s">
        <v>710</v>
      </c>
      <c r="B370" s="11">
        <v>2015.0</v>
      </c>
      <c r="C370" s="12" t="str">
        <f>VLOOKUP(A370, Regions!A:B, 2, FALSE)
</f>
        <v>Europe &amp; Central Asia</v>
      </c>
      <c r="D370" s="13">
        <f t="shared" si="1"/>
        <v>5</v>
      </c>
      <c r="E370" s="14">
        <f t="shared" si="2"/>
        <v>2017.5</v>
      </c>
      <c r="F370" s="11" t="s">
        <v>711</v>
      </c>
      <c r="G370" s="11">
        <v>55.69599915</v>
      </c>
      <c r="H370" s="11">
        <v>93.3864573</v>
      </c>
      <c r="I370" s="15">
        <f t="shared" si="3"/>
        <v>93</v>
      </c>
      <c r="J370" s="16" t="str">
        <f t="shared" si="4"/>
        <v/>
      </c>
      <c r="K370" s="16" t="str">
        <f t="shared" si="5"/>
        <v/>
      </c>
      <c r="L370" s="16" t="str">
        <f t="shared" si="6"/>
        <v/>
      </c>
      <c r="M370" s="16" t="str">
        <f t="shared" si="7"/>
        <v>ARC&gt;0</v>
      </c>
      <c r="N370" s="13">
        <f t="shared" si="8"/>
        <v>0.381814404</v>
      </c>
      <c r="O370" s="11">
        <v>6.112096052</v>
      </c>
      <c r="P370" s="11">
        <v>0.4835436344</v>
      </c>
      <c r="Q370" s="11">
        <v>0.01790301579</v>
      </c>
      <c r="R370" s="11">
        <v>94.72352905</v>
      </c>
      <c r="S370" s="15">
        <f t="shared" si="9"/>
        <v>95</v>
      </c>
      <c r="T370" s="17" t="str">
        <f t="shared" si="10"/>
        <v/>
      </c>
      <c r="U370" s="17" t="str">
        <f t="shared" si="11"/>
        <v/>
      </c>
      <c r="V370" s="17" t="str">
        <f t="shared" si="12"/>
        <v/>
      </c>
      <c r="W370" s="17" t="str">
        <f t="shared" si="13"/>
        <v>ARC&gt;0</v>
      </c>
      <c r="X370" s="13">
        <f t="shared" si="14"/>
        <v>0.22428914</v>
      </c>
      <c r="Y370" s="11">
        <v>4.600438201</v>
      </c>
      <c r="Z370" s="11">
        <v>0.6356232686</v>
      </c>
      <c r="AA370" s="11">
        <v>0.040409478</v>
      </c>
      <c r="AB370" s="11">
        <v>92.32286869</v>
      </c>
      <c r="AC370" s="15">
        <f t="shared" si="15"/>
        <v>92</v>
      </c>
      <c r="AD370" s="16" t="str">
        <f t="shared" si="16"/>
        <v/>
      </c>
      <c r="AE370" s="16" t="str">
        <f t="shared" si="17"/>
        <v/>
      </c>
      <c r="AF370" s="16" t="str">
        <f t="shared" si="18"/>
        <v/>
      </c>
      <c r="AG370" s="16" t="str">
        <f t="shared" si="19"/>
        <v>ARC&gt;0</v>
      </c>
      <c r="AH370" s="13">
        <f t="shared" si="20"/>
        <v>0.50974024</v>
      </c>
      <c r="AI370" s="11">
        <v>7.314561109</v>
      </c>
      <c r="AJ370" s="11">
        <v>0.3625701971</v>
      </c>
      <c r="AK370" s="11" t="s">
        <v>43</v>
      </c>
      <c r="AL370" s="18">
        <f t="shared" si="21"/>
        <v>-0.2854511</v>
      </c>
    </row>
    <row r="371" ht="15.75" customHeight="1">
      <c r="A371" s="11" t="s">
        <v>710</v>
      </c>
      <c r="B371" s="11">
        <v>2020.0</v>
      </c>
      <c r="C371" s="12" t="str">
        <f>VLOOKUP(A371, Regions!A:B, 2, FALSE)
</f>
        <v>Europe &amp; Central Asia</v>
      </c>
      <c r="D371" s="13" t="str">
        <f t="shared" si="1"/>
        <v/>
      </c>
      <c r="E371" s="14" t="str">
        <f t="shared" si="2"/>
        <v/>
      </c>
      <c r="F371" s="11" t="s">
        <v>712</v>
      </c>
      <c r="G371" s="11">
        <v>56.44599915</v>
      </c>
      <c r="H371" s="11">
        <v>95.29552932</v>
      </c>
      <c r="I371" s="15">
        <f t="shared" si="3"/>
        <v>95</v>
      </c>
      <c r="J371" s="16" t="str">
        <f t="shared" si="4"/>
        <v/>
      </c>
      <c r="K371" s="16" t="str">
        <f t="shared" si="5"/>
        <v/>
      </c>
      <c r="L371" s="16" t="str">
        <f t="shared" si="6"/>
        <v/>
      </c>
      <c r="M371" s="16" t="str">
        <f t="shared" si="7"/>
        <v>ARC&gt;0</v>
      </c>
      <c r="N371" s="13" t="str">
        <f t="shared" si="8"/>
        <v/>
      </c>
      <c r="O371" s="11">
        <v>4.244199279</v>
      </c>
      <c r="P371" s="11">
        <v>0.4437204778</v>
      </c>
      <c r="Q371" s="11">
        <v>0.01655092647</v>
      </c>
      <c r="R371" s="11">
        <v>95.84497475</v>
      </c>
      <c r="S371" s="15">
        <f t="shared" si="9"/>
        <v>96</v>
      </c>
      <c r="T371" s="17" t="str">
        <f t="shared" si="10"/>
        <v/>
      </c>
      <c r="U371" s="17" t="str">
        <f t="shared" si="11"/>
        <v/>
      </c>
      <c r="V371" s="17" t="str">
        <f t="shared" si="12"/>
        <v/>
      </c>
      <c r="W371" s="17" t="str">
        <f t="shared" si="13"/>
        <v>ARC&gt;0</v>
      </c>
      <c r="X371" s="13" t="str">
        <f t="shared" si="14"/>
        <v/>
      </c>
      <c r="Y371" s="11">
        <v>3.545864028</v>
      </c>
      <c r="Z371" s="11">
        <v>0.5711602866</v>
      </c>
      <c r="AA371" s="11">
        <v>0.03800093141</v>
      </c>
      <c r="AB371" s="11">
        <v>94.87156989</v>
      </c>
      <c r="AC371" s="15">
        <f t="shared" si="15"/>
        <v>95</v>
      </c>
      <c r="AD371" s="16" t="str">
        <f t="shared" si="16"/>
        <v/>
      </c>
      <c r="AE371" s="16" t="str">
        <f t="shared" si="17"/>
        <v/>
      </c>
      <c r="AF371" s="16" t="str">
        <f t="shared" si="18"/>
        <v/>
      </c>
      <c r="AG371" s="16" t="str">
        <f t="shared" si="19"/>
        <v>ARC&gt;0</v>
      </c>
      <c r="AH371" s="13" t="str">
        <f t="shared" si="20"/>
        <v/>
      </c>
      <c r="AI371" s="11">
        <v>4.783037865</v>
      </c>
      <c r="AJ371" s="11">
        <v>0.3453922445</v>
      </c>
      <c r="AK371" s="11" t="s">
        <v>43</v>
      </c>
      <c r="AL371" s="18" t="str">
        <f t="shared" si="21"/>
        <v/>
      </c>
    </row>
    <row r="372" ht="15.75" customHeight="1">
      <c r="A372" s="11" t="s">
        <v>713</v>
      </c>
      <c r="B372" s="11">
        <v>2015.0</v>
      </c>
      <c r="C372" s="12" t="str">
        <f>VLOOKUP(A372, Regions!A:B, 2, FALSE)
</f>
        <v>East Asia &amp; Pacific</v>
      </c>
      <c r="D372" s="13">
        <f t="shared" si="1"/>
        <v>4</v>
      </c>
      <c r="E372" s="14">
        <f t="shared" si="2"/>
        <v>2017</v>
      </c>
      <c r="F372" s="11" t="s">
        <v>714</v>
      </c>
      <c r="G372" s="11">
        <v>55.40000153</v>
      </c>
      <c r="H372" s="11">
        <v>96.2508915</v>
      </c>
      <c r="I372" s="15">
        <f t="shared" si="3"/>
        <v>96</v>
      </c>
      <c r="J372" s="16" t="str">
        <f t="shared" si="4"/>
        <v/>
      </c>
      <c r="K372" s="16" t="str">
        <f t="shared" si="5"/>
        <v/>
      </c>
      <c r="L372" s="16" t="str">
        <f t="shared" si="6"/>
        <v/>
      </c>
      <c r="M372" s="16" t="str">
        <f t="shared" si="7"/>
        <v>ARC&gt;0</v>
      </c>
      <c r="N372" s="13">
        <f t="shared" si="8"/>
        <v>0.1502138475</v>
      </c>
      <c r="O372" s="11">
        <v>0.0</v>
      </c>
      <c r="P372" s="11">
        <v>0.0</v>
      </c>
      <c r="Q372" s="11">
        <v>3.749108502</v>
      </c>
      <c r="S372" s="15">
        <f t="shared" si="9"/>
        <v>0</v>
      </c>
      <c r="T372" s="17" t="str">
        <f t="shared" si="10"/>
        <v/>
      </c>
      <c r="U372" s="17" t="str">
        <f t="shared" si="11"/>
        <v>ARC=0</v>
      </c>
      <c r="V372" s="17" t="str">
        <f t="shared" si="12"/>
        <v/>
      </c>
      <c r="W372" s="17" t="str">
        <f t="shared" si="13"/>
        <v/>
      </c>
      <c r="X372" s="13">
        <f t="shared" si="14"/>
        <v>0</v>
      </c>
      <c r="AC372" s="15">
        <f t="shared" si="15"/>
        <v>0</v>
      </c>
      <c r="AD372" s="16" t="str">
        <f t="shared" si="16"/>
        <v/>
      </c>
      <c r="AE372" s="16" t="str">
        <f t="shared" si="17"/>
        <v>ARC=0</v>
      </c>
      <c r="AF372" s="16" t="str">
        <f t="shared" si="18"/>
        <v/>
      </c>
      <c r="AG372" s="16" t="str">
        <f t="shared" si="19"/>
        <v/>
      </c>
      <c r="AH372" s="13">
        <f t="shared" si="20"/>
        <v>0</v>
      </c>
      <c r="AL372" s="18">
        <f t="shared" si="21"/>
        <v>0</v>
      </c>
    </row>
    <row r="373" ht="15.75" customHeight="1">
      <c r="A373" s="11" t="s">
        <v>713</v>
      </c>
      <c r="B373" s="11">
        <v>2019.0</v>
      </c>
      <c r="C373" s="12" t="str">
        <f>VLOOKUP(A373, Regions!A:B, 2, FALSE)
</f>
        <v>East Asia &amp; Pacific</v>
      </c>
      <c r="D373" s="13" t="str">
        <f t="shared" si="1"/>
        <v/>
      </c>
      <c r="E373" s="14" t="str">
        <f t="shared" si="2"/>
        <v/>
      </c>
      <c r="F373" s="11" t="s">
        <v>715</v>
      </c>
      <c r="G373" s="11">
        <v>57.1190033</v>
      </c>
      <c r="H373" s="11">
        <v>96.85174689</v>
      </c>
      <c r="I373" s="15">
        <f t="shared" si="3"/>
        <v>97</v>
      </c>
      <c r="J373" s="16" t="str">
        <f t="shared" si="4"/>
        <v/>
      </c>
      <c r="K373" s="16" t="str">
        <f t="shared" si="5"/>
        <v/>
      </c>
      <c r="L373" s="16" t="str">
        <f t="shared" si="6"/>
        <v/>
      </c>
      <c r="M373" s="16" t="str">
        <f t="shared" si="7"/>
        <v>ARC&gt;0</v>
      </c>
      <c r="N373" s="13" t="str">
        <f t="shared" si="8"/>
        <v/>
      </c>
      <c r="O373" s="11">
        <v>0.0</v>
      </c>
      <c r="P373" s="11">
        <v>3.148253109</v>
      </c>
      <c r="S373" s="15">
        <f t="shared" si="9"/>
        <v>0</v>
      </c>
      <c r="T373" s="17" t="str">
        <f t="shared" si="10"/>
        <v/>
      </c>
      <c r="U373" s="17" t="str">
        <f t="shared" si="11"/>
        <v>ARC=0</v>
      </c>
      <c r="V373" s="17" t="str">
        <f t="shared" si="12"/>
        <v/>
      </c>
      <c r="W373" s="17" t="str">
        <f t="shared" si="13"/>
        <v/>
      </c>
      <c r="X373" s="13" t="str">
        <f t="shared" si="14"/>
        <v/>
      </c>
      <c r="AC373" s="15">
        <f t="shared" si="15"/>
        <v>0</v>
      </c>
      <c r="AD373" s="16" t="str">
        <f t="shared" si="16"/>
        <v/>
      </c>
      <c r="AE373" s="16" t="str">
        <f t="shared" si="17"/>
        <v>ARC=0</v>
      </c>
      <c r="AF373" s="16" t="str">
        <f t="shared" si="18"/>
        <v/>
      </c>
      <c r="AG373" s="16" t="str">
        <f t="shared" si="19"/>
        <v/>
      </c>
      <c r="AH373" s="13" t="str">
        <f t="shared" si="20"/>
        <v/>
      </c>
      <c r="AL373" s="18" t="str">
        <f t="shared" si="21"/>
        <v/>
      </c>
    </row>
    <row r="374" ht="15.75" customHeight="1">
      <c r="A374" s="11" t="s">
        <v>716</v>
      </c>
      <c r="B374" s="11">
        <v>2015.0</v>
      </c>
      <c r="C374" s="12" t="str">
        <f>VLOOKUP(A374, Regions!A:B, 2, FALSE)
</f>
        <v>Sub-Saharan Africa</v>
      </c>
      <c r="D374" s="13">
        <f t="shared" si="1"/>
        <v>5</v>
      </c>
      <c r="E374" s="14">
        <f t="shared" si="2"/>
        <v>2017.5</v>
      </c>
      <c r="F374" s="11" t="s">
        <v>717</v>
      </c>
      <c r="G374" s="11">
        <v>40.82899857</v>
      </c>
      <c r="H374" s="11">
        <v>57.84746516</v>
      </c>
      <c r="I374" s="15">
        <f t="shared" si="3"/>
        <v>58</v>
      </c>
      <c r="J374" s="16" t="str">
        <f t="shared" si="4"/>
        <v/>
      </c>
      <c r="K374" s="16" t="str">
        <f t="shared" si="5"/>
        <v/>
      </c>
      <c r="L374" s="16" t="str">
        <f t="shared" si="6"/>
        <v/>
      </c>
      <c r="M374" s="16" t="str">
        <f t="shared" si="7"/>
        <v>ARC&gt;0</v>
      </c>
      <c r="N374" s="13">
        <f t="shared" si="8"/>
        <v>1.183764092</v>
      </c>
      <c r="O374" s="11">
        <v>8.196957957</v>
      </c>
      <c r="P374" s="11">
        <v>15.91095456</v>
      </c>
      <c r="Q374" s="11">
        <v>18.04462232</v>
      </c>
      <c r="R374" s="11">
        <v>45.52971384</v>
      </c>
      <c r="S374" s="15">
        <f t="shared" si="9"/>
        <v>46</v>
      </c>
      <c r="T374" s="17" t="str">
        <f t="shared" si="10"/>
        <v/>
      </c>
      <c r="U374" s="17" t="str">
        <f t="shared" si="11"/>
        <v/>
      </c>
      <c r="V374" s="17" t="str">
        <f t="shared" si="12"/>
        <v/>
      </c>
      <c r="W374" s="17" t="str">
        <f t="shared" si="13"/>
        <v>ARC&gt;0</v>
      </c>
      <c r="X374" s="13">
        <f t="shared" si="14"/>
        <v>1.444597766</v>
      </c>
      <c r="Y374" s="11">
        <v>4.840494472</v>
      </c>
      <c r="Z374" s="11">
        <v>21.71696143</v>
      </c>
      <c r="AA374" s="11">
        <v>27.91283027</v>
      </c>
      <c r="AB374" s="11">
        <v>75.69883758</v>
      </c>
      <c r="AC374" s="15">
        <f t="shared" si="15"/>
        <v>76</v>
      </c>
      <c r="AD374" s="16" t="str">
        <f t="shared" si="16"/>
        <v/>
      </c>
      <c r="AE374" s="16" t="str">
        <f t="shared" si="17"/>
        <v/>
      </c>
      <c r="AF374" s="16" t="str">
        <f t="shared" si="18"/>
        <v/>
      </c>
      <c r="AG374" s="16" t="str">
        <f t="shared" si="19"/>
        <v>ARC&gt;0</v>
      </c>
      <c r="AH374" s="13">
        <f t="shared" si="20"/>
        <v>0.542560016</v>
      </c>
      <c r="AI374" s="11">
        <v>13.06127759</v>
      </c>
      <c r="AJ374" s="11">
        <v>7.496659761</v>
      </c>
      <c r="AK374" s="11" t="s">
        <v>718</v>
      </c>
      <c r="AL374" s="18">
        <f t="shared" si="21"/>
        <v>0.90203775</v>
      </c>
    </row>
    <row r="375" ht="15.75" customHeight="1">
      <c r="A375" s="11" t="s">
        <v>716</v>
      </c>
      <c r="B375" s="11">
        <v>2020.0</v>
      </c>
      <c r="C375" s="12" t="str">
        <f>VLOOKUP(A375, Regions!A:B, 2, FALSE)
</f>
        <v>Sub-Saharan Africa</v>
      </c>
      <c r="D375" s="13" t="str">
        <f t="shared" si="1"/>
        <v/>
      </c>
      <c r="E375" s="14" t="str">
        <f t="shared" si="2"/>
        <v/>
      </c>
      <c r="F375" s="11" t="s">
        <v>719</v>
      </c>
      <c r="G375" s="11">
        <v>42.92300034</v>
      </c>
      <c r="H375" s="11">
        <v>63.76628562</v>
      </c>
      <c r="I375" s="15">
        <f t="shared" si="3"/>
        <v>64</v>
      </c>
      <c r="J375" s="16" t="str">
        <f t="shared" si="4"/>
        <v/>
      </c>
      <c r="K375" s="16" t="str">
        <f t="shared" si="5"/>
        <v/>
      </c>
      <c r="L375" s="16" t="str">
        <f t="shared" si="6"/>
        <v/>
      </c>
      <c r="M375" s="16" t="str">
        <f t="shared" si="7"/>
        <v>ARC&gt;0</v>
      </c>
      <c r="N375" s="13" t="str">
        <f t="shared" si="8"/>
        <v/>
      </c>
      <c r="O375" s="11">
        <v>9.023316357</v>
      </c>
      <c r="P375" s="11">
        <v>15.5639457</v>
      </c>
      <c r="Q375" s="11">
        <v>11.64645233</v>
      </c>
      <c r="R375" s="11">
        <v>52.75270267</v>
      </c>
      <c r="S375" s="15">
        <f t="shared" si="9"/>
        <v>53</v>
      </c>
      <c r="T375" s="17" t="str">
        <f t="shared" si="10"/>
        <v/>
      </c>
      <c r="U375" s="17" t="str">
        <f t="shared" si="11"/>
        <v/>
      </c>
      <c r="V375" s="17" t="str">
        <f t="shared" si="12"/>
        <v/>
      </c>
      <c r="W375" s="17" t="str">
        <f t="shared" si="13"/>
        <v>ARC&gt;0</v>
      </c>
      <c r="X375" s="13" t="str">
        <f t="shared" si="14"/>
        <v/>
      </c>
      <c r="Y375" s="11">
        <v>5.221136889</v>
      </c>
      <c r="Z375" s="11">
        <v>23.14294909</v>
      </c>
      <c r="AA375" s="11">
        <v>18.88321135</v>
      </c>
      <c r="AB375" s="11">
        <v>78.41163766</v>
      </c>
      <c r="AC375" s="15">
        <f t="shared" si="15"/>
        <v>78</v>
      </c>
      <c r="AD375" s="16" t="str">
        <f t="shared" si="16"/>
        <v/>
      </c>
      <c r="AE375" s="16" t="str">
        <f t="shared" si="17"/>
        <v/>
      </c>
      <c r="AF375" s="16" t="str">
        <f t="shared" si="18"/>
        <v/>
      </c>
      <c r="AG375" s="16" t="str">
        <f t="shared" si="19"/>
        <v>ARC&gt;0</v>
      </c>
      <c r="AH375" s="13" t="str">
        <f t="shared" si="20"/>
        <v/>
      </c>
      <c r="AI375" s="11">
        <v>14.07927743</v>
      </c>
      <c r="AJ375" s="11">
        <v>5.485735437</v>
      </c>
      <c r="AK375" s="11" t="s">
        <v>720</v>
      </c>
      <c r="AL375" s="18" t="str">
        <f t="shared" si="21"/>
        <v/>
      </c>
    </row>
    <row r="376" ht="15.75" customHeight="1">
      <c r="A376" s="11" t="s">
        <v>721</v>
      </c>
      <c r="B376" s="11">
        <v>2015.0</v>
      </c>
      <c r="C376" s="12" t="str">
        <f>VLOOKUP(A376, Regions!A:B, 2, FALSE)
</f>
        <v>East Asia &amp; Pacific</v>
      </c>
      <c r="D376" s="13">
        <f t="shared" si="1"/>
        <v>5</v>
      </c>
      <c r="E376" s="14">
        <f t="shared" si="2"/>
        <v>2017.5</v>
      </c>
      <c r="F376" s="11" t="s">
        <v>722</v>
      </c>
      <c r="G376" s="11">
        <v>100.0</v>
      </c>
      <c r="H376" s="11">
        <v>100.0</v>
      </c>
      <c r="I376" s="15">
        <f t="shared" si="3"/>
        <v>100</v>
      </c>
      <c r="J376" s="16" t="str">
        <f t="shared" si="4"/>
        <v>full access</v>
      </c>
      <c r="K376" s="16" t="str">
        <f t="shared" si="5"/>
        <v/>
      </c>
      <c r="L376" s="16" t="str">
        <f t="shared" si="6"/>
        <v/>
      </c>
      <c r="M376" s="16" t="str">
        <f t="shared" si="7"/>
        <v/>
      </c>
      <c r="N376" s="13">
        <f t="shared" si="8"/>
        <v>0</v>
      </c>
      <c r="O376" s="11">
        <v>0.0</v>
      </c>
      <c r="P376" s="11">
        <v>0.0</v>
      </c>
      <c r="Q376" s="11">
        <v>0.0</v>
      </c>
      <c r="S376" s="15">
        <f t="shared" si="9"/>
        <v>0</v>
      </c>
      <c r="T376" s="17" t="str">
        <f t="shared" si="10"/>
        <v/>
      </c>
      <c r="U376" s="17" t="str">
        <f t="shared" si="11"/>
        <v>ARC=0</v>
      </c>
      <c r="V376" s="17" t="str">
        <f t="shared" si="12"/>
        <v/>
      </c>
      <c r="W376" s="17" t="str">
        <f t="shared" si="13"/>
        <v/>
      </c>
      <c r="X376" s="13">
        <f t="shared" si="14"/>
        <v>0</v>
      </c>
      <c r="AB376" s="11">
        <v>100.0</v>
      </c>
      <c r="AC376" s="15">
        <f t="shared" si="15"/>
        <v>100</v>
      </c>
      <c r="AD376" s="16" t="str">
        <f t="shared" si="16"/>
        <v>full access</v>
      </c>
      <c r="AE376" s="16" t="str">
        <f t="shared" si="17"/>
        <v/>
      </c>
      <c r="AF376" s="16" t="str">
        <f t="shared" si="18"/>
        <v/>
      </c>
      <c r="AG376" s="16" t="str">
        <f t="shared" si="19"/>
        <v>ARC&gt;0</v>
      </c>
      <c r="AH376" s="13">
        <f t="shared" si="20"/>
        <v>0</v>
      </c>
      <c r="AI376" s="11">
        <v>0.0</v>
      </c>
      <c r="AJ376" s="11">
        <v>0.0</v>
      </c>
      <c r="AK376" s="11" t="s">
        <v>43</v>
      </c>
      <c r="AL376" s="18">
        <f t="shared" si="21"/>
        <v>0</v>
      </c>
    </row>
    <row r="377" ht="15.75" customHeight="1">
      <c r="A377" s="11" t="s">
        <v>721</v>
      </c>
      <c r="B377" s="11">
        <v>2020.0</v>
      </c>
      <c r="C377" s="12" t="str">
        <f>VLOOKUP(A377, Regions!A:B, 2, FALSE)
</f>
        <v>East Asia &amp; Pacific</v>
      </c>
      <c r="D377" s="13" t="str">
        <f t="shared" si="1"/>
        <v/>
      </c>
      <c r="E377" s="14" t="str">
        <f t="shared" si="2"/>
        <v/>
      </c>
      <c r="F377" s="11" t="s">
        <v>723</v>
      </c>
      <c r="G377" s="11">
        <v>100.0</v>
      </c>
      <c r="H377" s="11">
        <v>100.0</v>
      </c>
      <c r="I377" s="15">
        <f t="shared" si="3"/>
        <v>100</v>
      </c>
      <c r="J377" s="16" t="str">
        <f t="shared" si="4"/>
        <v/>
      </c>
      <c r="K377" s="16" t="str">
        <f t="shared" si="5"/>
        <v/>
      </c>
      <c r="L377" s="16" t="str">
        <f t="shared" si="6"/>
        <v/>
      </c>
      <c r="M377" s="16" t="str">
        <f t="shared" si="7"/>
        <v>ARC&gt;0</v>
      </c>
      <c r="N377" s="13" t="str">
        <f t="shared" si="8"/>
        <v/>
      </c>
      <c r="O377" s="11">
        <v>0.0</v>
      </c>
      <c r="P377" s="11">
        <v>0.0</v>
      </c>
      <c r="Q377" s="11">
        <v>0.0</v>
      </c>
      <c r="S377" s="15">
        <f t="shared" si="9"/>
        <v>0</v>
      </c>
      <c r="T377" s="17" t="str">
        <f t="shared" si="10"/>
        <v/>
      </c>
      <c r="U377" s="17" t="str">
        <f t="shared" si="11"/>
        <v>ARC=0</v>
      </c>
      <c r="V377" s="17" t="str">
        <f t="shared" si="12"/>
        <v/>
      </c>
      <c r="W377" s="17" t="str">
        <f t="shared" si="13"/>
        <v/>
      </c>
      <c r="X377" s="13" t="str">
        <f t="shared" si="14"/>
        <v/>
      </c>
      <c r="AB377" s="11">
        <v>100.0</v>
      </c>
      <c r="AC377" s="15">
        <f t="shared" si="15"/>
        <v>100</v>
      </c>
      <c r="AD377" s="16" t="str">
        <f t="shared" si="16"/>
        <v/>
      </c>
      <c r="AE377" s="16" t="str">
        <f t="shared" si="17"/>
        <v/>
      </c>
      <c r="AF377" s="16" t="str">
        <f t="shared" si="18"/>
        <v/>
      </c>
      <c r="AG377" s="16" t="str">
        <f t="shared" si="19"/>
        <v>ARC&gt;0</v>
      </c>
      <c r="AH377" s="13" t="str">
        <f t="shared" si="20"/>
        <v/>
      </c>
      <c r="AI377" s="11">
        <v>0.0</v>
      </c>
      <c r="AJ377" s="11">
        <v>0.0</v>
      </c>
      <c r="AK377" s="11" t="s">
        <v>43</v>
      </c>
      <c r="AL377" s="18" t="str">
        <f t="shared" si="21"/>
        <v/>
      </c>
    </row>
    <row r="378" ht="15.75" customHeight="1">
      <c r="A378" s="11" t="s">
        <v>724</v>
      </c>
      <c r="B378" s="11">
        <v>2015.0</v>
      </c>
      <c r="C378" s="12" t="str">
        <f>VLOOKUP(A378, Regions!A:B, 2, FALSE)
</f>
        <v>Latin America &amp; Caribbean</v>
      </c>
      <c r="D378" s="13">
        <f t="shared" si="1"/>
        <v>2</v>
      </c>
      <c r="E378" s="14">
        <f t="shared" si="2"/>
        <v>2016</v>
      </c>
      <c r="F378" s="11" t="s">
        <v>725</v>
      </c>
      <c r="G378" s="11">
        <v>100.0</v>
      </c>
      <c r="H378" s="11">
        <v>95.31117933</v>
      </c>
      <c r="I378" s="15">
        <f t="shared" si="3"/>
        <v>95</v>
      </c>
      <c r="J378" s="16" t="str">
        <f t="shared" si="4"/>
        <v/>
      </c>
      <c r="K378" s="16" t="str">
        <f t="shared" si="5"/>
        <v/>
      </c>
      <c r="L378" s="16" t="str">
        <f t="shared" si="6"/>
        <v/>
      </c>
      <c r="M378" s="16" t="str">
        <f t="shared" si="7"/>
        <v>ARC&gt;0</v>
      </c>
      <c r="N378" s="13">
        <f t="shared" si="8"/>
        <v>0</v>
      </c>
      <c r="O378" s="11">
        <v>0.0</v>
      </c>
      <c r="P378" s="11">
        <v>4.68882067</v>
      </c>
      <c r="Q378" s="11">
        <v>0.0</v>
      </c>
      <c r="S378" s="15">
        <f t="shared" si="9"/>
        <v>0</v>
      </c>
      <c r="T378" s="17" t="str">
        <f t="shared" si="10"/>
        <v/>
      </c>
      <c r="U378" s="17" t="str">
        <f t="shared" si="11"/>
        <v>ARC=0</v>
      </c>
      <c r="V378" s="17" t="str">
        <f t="shared" si="12"/>
        <v/>
      </c>
      <c r="W378" s="17" t="str">
        <f t="shared" si="13"/>
        <v/>
      </c>
      <c r="X378" s="13">
        <f t="shared" si="14"/>
        <v>0</v>
      </c>
      <c r="AB378" s="11">
        <v>95.31117933</v>
      </c>
      <c r="AC378" s="15">
        <f t="shared" si="15"/>
        <v>95</v>
      </c>
      <c r="AD378" s="16" t="str">
        <f t="shared" si="16"/>
        <v/>
      </c>
      <c r="AE378" s="16" t="str">
        <f t="shared" si="17"/>
        <v/>
      </c>
      <c r="AF378" s="16" t="str">
        <f t="shared" si="18"/>
        <v/>
      </c>
      <c r="AG378" s="16" t="str">
        <f t="shared" si="19"/>
        <v>ARC&gt;0</v>
      </c>
      <c r="AH378" s="13">
        <f t="shared" si="20"/>
        <v>0</v>
      </c>
      <c r="AI378" s="11">
        <v>0.0</v>
      </c>
      <c r="AJ378" s="11">
        <v>4.68882067</v>
      </c>
      <c r="AK378" s="11" t="s">
        <v>43</v>
      </c>
      <c r="AL378" s="18">
        <f t="shared" si="21"/>
        <v>0</v>
      </c>
    </row>
    <row r="379" ht="15.75" customHeight="1">
      <c r="A379" s="11" t="s">
        <v>724</v>
      </c>
      <c r="B379" s="11">
        <v>2017.0</v>
      </c>
      <c r="C379" s="12" t="str">
        <f>VLOOKUP(A379, Regions!A:B, 2, FALSE)
</f>
        <v>Latin America &amp; Caribbean</v>
      </c>
      <c r="D379" s="13" t="str">
        <f t="shared" si="1"/>
        <v/>
      </c>
      <c r="E379" s="14" t="str">
        <f t="shared" si="2"/>
        <v/>
      </c>
      <c r="F379" s="11" t="s">
        <v>726</v>
      </c>
      <c r="G379" s="11">
        <v>100.0</v>
      </c>
      <c r="H379" s="11">
        <v>95.31117933</v>
      </c>
      <c r="I379" s="15">
        <f t="shared" si="3"/>
        <v>95</v>
      </c>
      <c r="J379" s="16" t="str">
        <f t="shared" si="4"/>
        <v/>
      </c>
      <c r="K379" s="16" t="str">
        <f t="shared" si="5"/>
        <v/>
      </c>
      <c r="L379" s="16" t="str">
        <f t="shared" si="6"/>
        <v/>
      </c>
      <c r="M379" s="16" t="str">
        <f t="shared" si="7"/>
        <v>ARC&gt;0</v>
      </c>
      <c r="N379" s="13" t="str">
        <f t="shared" si="8"/>
        <v/>
      </c>
      <c r="O379" s="11">
        <v>0.0</v>
      </c>
      <c r="P379" s="11">
        <v>4.68882067</v>
      </c>
      <c r="Q379" s="11">
        <v>0.0</v>
      </c>
      <c r="S379" s="15">
        <f t="shared" si="9"/>
        <v>0</v>
      </c>
      <c r="T379" s="17" t="str">
        <f t="shared" si="10"/>
        <v/>
      </c>
      <c r="U379" s="17" t="str">
        <f t="shared" si="11"/>
        <v>ARC=0</v>
      </c>
      <c r="V379" s="17" t="str">
        <f t="shared" si="12"/>
        <v/>
      </c>
      <c r="W379" s="17" t="str">
        <f t="shared" si="13"/>
        <v/>
      </c>
      <c r="X379" s="13" t="str">
        <f t="shared" si="14"/>
        <v/>
      </c>
      <c r="AB379" s="11">
        <v>95.31117933</v>
      </c>
      <c r="AC379" s="15">
        <f t="shared" si="15"/>
        <v>95</v>
      </c>
      <c r="AD379" s="16" t="str">
        <f t="shared" si="16"/>
        <v/>
      </c>
      <c r="AE379" s="16" t="str">
        <f t="shared" si="17"/>
        <v/>
      </c>
      <c r="AF379" s="16" t="str">
        <f t="shared" si="18"/>
        <v/>
      </c>
      <c r="AG379" s="16" t="str">
        <f t="shared" si="19"/>
        <v>ARC&gt;0</v>
      </c>
      <c r="AH379" s="13" t="str">
        <f t="shared" si="20"/>
        <v/>
      </c>
      <c r="AI379" s="11">
        <v>0.0</v>
      </c>
      <c r="AJ379" s="11">
        <v>4.68882067</v>
      </c>
      <c r="AK379" s="11" t="s">
        <v>43</v>
      </c>
      <c r="AL379" s="18" t="str">
        <f t="shared" si="21"/>
        <v/>
      </c>
    </row>
    <row r="380" ht="15.75" customHeight="1">
      <c r="A380" s="11" t="s">
        <v>727</v>
      </c>
      <c r="B380" s="11">
        <v>2015.0</v>
      </c>
      <c r="C380" s="12" t="str">
        <f>VLOOKUP(A380, Regions!A:B, 2, FALSE)
</f>
        <v>Europe &amp; Central Asia</v>
      </c>
      <c r="D380" s="13">
        <f t="shared" si="1"/>
        <v>5</v>
      </c>
      <c r="E380" s="14">
        <f t="shared" si="2"/>
        <v>2017.5</v>
      </c>
      <c r="F380" s="11" t="s">
        <v>728</v>
      </c>
      <c r="G380" s="11">
        <v>53.88899994</v>
      </c>
      <c r="H380" s="11">
        <v>99.78718913</v>
      </c>
      <c r="I380" s="15">
        <f t="shared" si="3"/>
        <v>100</v>
      </c>
      <c r="J380" s="16" t="str">
        <f t="shared" si="4"/>
        <v>full access</v>
      </c>
      <c r="K380" s="16" t="str">
        <f t="shared" si="5"/>
        <v/>
      </c>
      <c r="L380" s="16" t="str">
        <f t="shared" si="6"/>
        <v/>
      </c>
      <c r="M380" s="16" t="str">
        <f t="shared" si="7"/>
        <v/>
      </c>
      <c r="N380" s="13">
        <f t="shared" si="8"/>
        <v>0.00010189</v>
      </c>
      <c r="O380" s="11">
        <v>0.2128108674</v>
      </c>
      <c r="P380" s="11">
        <v>0.0</v>
      </c>
      <c r="Q380" s="11">
        <v>0.0</v>
      </c>
      <c r="R380" s="11">
        <v>100.0</v>
      </c>
      <c r="S380" s="15">
        <f t="shared" si="9"/>
        <v>100</v>
      </c>
      <c r="T380" s="17" t="str">
        <f t="shared" si="10"/>
        <v>full access</v>
      </c>
      <c r="U380" s="17" t="str">
        <f t="shared" si="11"/>
        <v/>
      </c>
      <c r="V380" s="17" t="str">
        <f t="shared" si="12"/>
        <v/>
      </c>
      <c r="W380" s="17" t="str">
        <f t="shared" si="13"/>
        <v>ARC&gt;0</v>
      </c>
      <c r="X380" s="13">
        <f t="shared" si="14"/>
        <v>0</v>
      </c>
      <c r="Y380" s="11">
        <v>0.0</v>
      </c>
      <c r="Z380" s="11">
        <v>0.0</v>
      </c>
      <c r="AA380" s="11">
        <v>0.0</v>
      </c>
      <c r="AB380" s="11">
        <v>99.60509406</v>
      </c>
      <c r="AC380" s="15">
        <f t="shared" si="15"/>
        <v>100</v>
      </c>
      <c r="AD380" s="16" t="str">
        <f t="shared" si="16"/>
        <v>full access</v>
      </c>
      <c r="AE380" s="16" t="str">
        <f t="shared" si="17"/>
        <v/>
      </c>
      <c r="AF380" s="16" t="str">
        <f t="shared" si="18"/>
        <v/>
      </c>
      <c r="AG380" s="16" t="str">
        <f t="shared" si="19"/>
        <v>ARC&gt;0</v>
      </c>
      <c r="AH380" s="13">
        <f t="shared" si="20"/>
        <v>0</v>
      </c>
      <c r="AI380" s="11">
        <v>0.3949059374</v>
      </c>
      <c r="AJ380" s="11">
        <v>0.0</v>
      </c>
      <c r="AK380" s="11" t="s">
        <v>43</v>
      </c>
      <c r="AL380" s="18">
        <f t="shared" si="21"/>
        <v>0</v>
      </c>
    </row>
    <row r="381" ht="15.75" customHeight="1">
      <c r="A381" s="11" t="s">
        <v>727</v>
      </c>
      <c r="B381" s="11">
        <v>2020.0</v>
      </c>
      <c r="C381" s="12" t="str">
        <f>VLOOKUP(A381, Regions!A:B, 2, FALSE)
</f>
        <v>Europe &amp; Central Asia</v>
      </c>
      <c r="D381" s="13" t="str">
        <f t="shared" si="1"/>
        <v/>
      </c>
      <c r="E381" s="14" t="str">
        <f t="shared" si="2"/>
        <v/>
      </c>
      <c r="F381" s="11" t="s">
        <v>729</v>
      </c>
      <c r="G381" s="11">
        <v>53.75999832</v>
      </c>
      <c r="H381" s="11">
        <v>99.78769858</v>
      </c>
      <c r="I381" s="15">
        <f t="shared" si="3"/>
        <v>100</v>
      </c>
      <c r="J381" s="16" t="str">
        <f t="shared" si="4"/>
        <v/>
      </c>
      <c r="K381" s="16" t="str">
        <f t="shared" si="5"/>
        <v/>
      </c>
      <c r="L381" s="16" t="str">
        <f t="shared" si="6"/>
        <v/>
      </c>
      <c r="M381" s="16" t="str">
        <f t="shared" si="7"/>
        <v>ARC&gt;0</v>
      </c>
      <c r="N381" s="13" t="str">
        <f t="shared" si="8"/>
        <v/>
      </c>
      <c r="O381" s="11">
        <v>0.2123014241</v>
      </c>
      <c r="P381" s="11">
        <v>0.0</v>
      </c>
      <c r="Q381" s="11">
        <v>0.0</v>
      </c>
      <c r="R381" s="11">
        <v>100.0</v>
      </c>
      <c r="S381" s="15">
        <f t="shared" si="9"/>
        <v>100</v>
      </c>
      <c r="T381" s="17" t="str">
        <f t="shared" si="10"/>
        <v/>
      </c>
      <c r="U381" s="17" t="str">
        <f t="shared" si="11"/>
        <v/>
      </c>
      <c r="V381" s="17" t="str">
        <f t="shared" si="12"/>
        <v/>
      </c>
      <c r="W381" s="17" t="str">
        <f t="shared" si="13"/>
        <v>ARC&gt;0</v>
      </c>
      <c r="X381" s="13" t="str">
        <f t="shared" si="14"/>
        <v/>
      </c>
      <c r="Y381" s="11">
        <v>0.0</v>
      </c>
      <c r="Z381" s="11">
        <v>0.0</v>
      </c>
      <c r="AA381" s="11">
        <v>0.0</v>
      </c>
      <c r="AB381" s="11">
        <v>99.60509406</v>
      </c>
      <c r="AC381" s="15">
        <f t="shared" si="15"/>
        <v>100</v>
      </c>
      <c r="AD381" s="16" t="str">
        <f t="shared" si="16"/>
        <v/>
      </c>
      <c r="AE381" s="16" t="str">
        <f t="shared" si="17"/>
        <v/>
      </c>
      <c r="AF381" s="16" t="str">
        <f t="shared" si="18"/>
        <v/>
      </c>
      <c r="AG381" s="16" t="str">
        <f t="shared" si="19"/>
        <v>ARC&gt;0</v>
      </c>
      <c r="AH381" s="13" t="str">
        <f t="shared" si="20"/>
        <v/>
      </c>
      <c r="AI381" s="11">
        <v>0.3949059374</v>
      </c>
      <c r="AJ381" s="11">
        <v>0.0</v>
      </c>
      <c r="AK381" s="11" t="s">
        <v>43</v>
      </c>
      <c r="AL381" s="18" t="str">
        <f t="shared" si="21"/>
        <v/>
      </c>
    </row>
    <row r="382" ht="15.75" customHeight="1">
      <c r="A382" s="11" t="s">
        <v>730</v>
      </c>
      <c r="B382" s="11">
        <v>2015.0</v>
      </c>
      <c r="C382" s="12" t="str">
        <f>VLOOKUP(A382, Regions!A:B, 2, FALSE)
</f>
        <v>Europe &amp; Central Asia</v>
      </c>
      <c r="D382" s="13">
        <f t="shared" si="1"/>
        <v>5</v>
      </c>
      <c r="E382" s="14">
        <f t="shared" si="2"/>
        <v>2017.5</v>
      </c>
      <c r="F382" s="11" t="s">
        <v>731</v>
      </c>
      <c r="G382" s="11">
        <v>53.78100586</v>
      </c>
      <c r="H382" s="11">
        <v>99.5</v>
      </c>
      <c r="I382" s="15">
        <f t="shared" si="3"/>
        <v>100</v>
      </c>
      <c r="J382" s="16" t="str">
        <f t="shared" si="4"/>
        <v>full access</v>
      </c>
      <c r="K382" s="16" t="str">
        <f t="shared" si="5"/>
        <v/>
      </c>
      <c r="L382" s="16" t="str">
        <f t="shared" si="6"/>
        <v/>
      </c>
      <c r="M382" s="16" t="str">
        <f t="shared" si="7"/>
        <v/>
      </c>
      <c r="N382" s="13">
        <f t="shared" si="8"/>
        <v>0</v>
      </c>
      <c r="O382" s="11">
        <v>0.0</v>
      </c>
      <c r="P382" s="11">
        <v>0.5</v>
      </c>
      <c r="Q382" s="11">
        <v>0.0</v>
      </c>
      <c r="S382" s="15">
        <f t="shared" si="9"/>
        <v>0</v>
      </c>
      <c r="T382" s="17" t="str">
        <f t="shared" si="10"/>
        <v/>
      </c>
      <c r="U382" s="17" t="str">
        <f t="shared" si="11"/>
        <v>ARC=0</v>
      </c>
      <c r="V382" s="17" t="str">
        <f t="shared" si="12"/>
        <v/>
      </c>
      <c r="W382" s="17" t="str">
        <f t="shared" si="13"/>
        <v/>
      </c>
      <c r="X382" s="13">
        <f t="shared" si="14"/>
        <v>0</v>
      </c>
      <c r="AC382" s="15">
        <f t="shared" si="15"/>
        <v>0</v>
      </c>
      <c r="AD382" s="16" t="str">
        <f t="shared" si="16"/>
        <v/>
      </c>
      <c r="AE382" s="16" t="str">
        <f t="shared" si="17"/>
        <v>ARC=0</v>
      </c>
      <c r="AF382" s="16" t="str">
        <f t="shared" si="18"/>
        <v/>
      </c>
      <c r="AG382" s="16" t="str">
        <f t="shared" si="19"/>
        <v/>
      </c>
      <c r="AH382" s="13">
        <f t="shared" si="20"/>
        <v>0</v>
      </c>
      <c r="AL382" s="18">
        <f t="shared" si="21"/>
        <v>0</v>
      </c>
    </row>
    <row r="383" ht="15.75" customHeight="1">
      <c r="A383" s="11" t="s">
        <v>730</v>
      </c>
      <c r="B383" s="11">
        <v>2020.0</v>
      </c>
      <c r="C383" s="12" t="str">
        <f>VLOOKUP(A383, Regions!A:B, 2, FALSE)
</f>
        <v>Europe &amp; Central Asia</v>
      </c>
      <c r="D383" s="13" t="str">
        <f t="shared" si="1"/>
        <v/>
      </c>
      <c r="E383" s="14" t="str">
        <f t="shared" si="2"/>
        <v/>
      </c>
      <c r="F383" s="11" t="s">
        <v>732</v>
      </c>
      <c r="G383" s="11">
        <v>55.11800385</v>
      </c>
      <c r="H383" s="11">
        <v>99.5</v>
      </c>
      <c r="I383" s="15">
        <f t="shared" si="3"/>
        <v>100</v>
      </c>
      <c r="J383" s="16" t="str">
        <f t="shared" si="4"/>
        <v/>
      </c>
      <c r="K383" s="16" t="str">
        <f t="shared" si="5"/>
        <v/>
      </c>
      <c r="L383" s="16" t="str">
        <f t="shared" si="6"/>
        <v/>
      </c>
      <c r="M383" s="16" t="str">
        <f t="shared" si="7"/>
        <v>ARC&gt;0</v>
      </c>
      <c r="N383" s="13" t="str">
        <f t="shared" si="8"/>
        <v/>
      </c>
      <c r="O383" s="11">
        <v>0.0</v>
      </c>
      <c r="P383" s="11">
        <v>0.5</v>
      </c>
      <c r="Q383" s="11">
        <v>0.0</v>
      </c>
      <c r="S383" s="15">
        <f t="shared" si="9"/>
        <v>0</v>
      </c>
      <c r="T383" s="17" t="str">
        <f t="shared" si="10"/>
        <v/>
      </c>
      <c r="U383" s="17" t="str">
        <f t="shared" si="11"/>
        <v>ARC=0</v>
      </c>
      <c r="V383" s="17" t="str">
        <f t="shared" si="12"/>
        <v/>
      </c>
      <c r="W383" s="17" t="str">
        <f t="shared" si="13"/>
        <v/>
      </c>
      <c r="X383" s="13" t="str">
        <f t="shared" si="14"/>
        <v/>
      </c>
      <c r="AC383" s="15">
        <f t="shared" si="15"/>
        <v>0</v>
      </c>
      <c r="AD383" s="16" t="str">
        <f t="shared" si="16"/>
        <v/>
      </c>
      <c r="AE383" s="16" t="str">
        <f t="shared" si="17"/>
        <v>ARC=0</v>
      </c>
      <c r="AF383" s="16" t="str">
        <f t="shared" si="18"/>
        <v/>
      </c>
      <c r="AG383" s="16" t="str">
        <f t="shared" si="19"/>
        <v/>
      </c>
      <c r="AH383" s="13" t="str">
        <f t="shared" si="20"/>
        <v/>
      </c>
      <c r="AL383" s="18" t="str">
        <f t="shared" si="21"/>
        <v/>
      </c>
    </row>
    <row r="384" ht="15.75" customHeight="1">
      <c r="A384" s="11" t="s">
        <v>733</v>
      </c>
      <c r="B384" s="11">
        <v>2015.0</v>
      </c>
      <c r="C384" s="12" t="str">
        <f>VLOOKUP(A384, Regions!A:B, 2, FALSE)
</f>
        <v>East Asia &amp; Pacific</v>
      </c>
      <c r="D384" s="13">
        <f t="shared" si="1"/>
        <v>5</v>
      </c>
      <c r="E384" s="14">
        <f t="shared" si="2"/>
        <v>2017.5</v>
      </c>
      <c r="F384" s="11" t="s">
        <v>734</v>
      </c>
      <c r="G384" s="11">
        <v>22.3599987</v>
      </c>
      <c r="H384" s="11">
        <v>69.32991889</v>
      </c>
      <c r="I384" s="15">
        <f t="shared" si="3"/>
        <v>69</v>
      </c>
      <c r="J384" s="16" t="str">
        <f t="shared" si="4"/>
        <v/>
      </c>
      <c r="K384" s="16" t="str">
        <f t="shared" si="5"/>
        <v/>
      </c>
      <c r="L384" s="16" t="str">
        <f t="shared" si="6"/>
        <v/>
      </c>
      <c r="M384" s="16" t="str">
        <f t="shared" si="7"/>
        <v>ARC&gt;0</v>
      </c>
      <c r="N384" s="13">
        <f t="shared" si="8"/>
        <v>-0.40577867</v>
      </c>
      <c r="O384" s="11">
        <v>5.705267634</v>
      </c>
      <c r="P384" s="11">
        <v>18.98898125</v>
      </c>
      <c r="Q384" s="11">
        <v>5.975832221</v>
      </c>
      <c r="R384" s="11">
        <v>63.01213819</v>
      </c>
      <c r="S384" s="15">
        <f t="shared" si="9"/>
        <v>63</v>
      </c>
      <c r="T384" s="17" t="str">
        <f t="shared" si="10"/>
        <v/>
      </c>
      <c r="U384" s="17" t="str">
        <f t="shared" si="11"/>
        <v/>
      </c>
      <c r="V384" s="17" t="str">
        <f t="shared" si="12"/>
        <v/>
      </c>
      <c r="W384" s="17" t="str">
        <f t="shared" si="13"/>
        <v>ARC&gt;0</v>
      </c>
      <c r="X384" s="13">
        <f t="shared" si="14"/>
        <v>-0.72137414</v>
      </c>
      <c r="Y384" s="11">
        <v>6.338468203</v>
      </c>
      <c r="Z384" s="11">
        <v>23.28459564</v>
      </c>
      <c r="AA384" s="11">
        <v>7.364797966</v>
      </c>
      <c r="AB384" s="11">
        <v>91.26697205</v>
      </c>
      <c r="AC384" s="15">
        <f t="shared" si="15"/>
        <v>91</v>
      </c>
      <c r="AD384" s="16" t="str">
        <f t="shared" si="16"/>
        <v/>
      </c>
      <c r="AE384" s="16" t="str">
        <f t="shared" si="17"/>
        <v/>
      </c>
      <c r="AF384" s="16" t="str">
        <f t="shared" si="18"/>
        <v/>
      </c>
      <c r="AG384" s="16" t="str">
        <f t="shared" si="19"/>
        <v>ARC&gt;0</v>
      </c>
      <c r="AH384" s="13">
        <f t="shared" si="20"/>
        <v>0.028760968</v>
      </c>
      <c r="AI384" s="11">
        <v>3.506623017</v>
      </c>
      <c r="AJ384" s="11">
        <v>4.073439607</v>
      </c>
      <c r="AK384" s="11" t="s">
        <v>735</v>
      </c>
      <c r="AL384" s="18">
        <f t="shared" si="21"/>
        <v>-0.750135108</v>
      </c>
    </row>
    <row r="385" ht="15.75" customHeight="1">
      <c r="A385" s="11" t="s">
        <v>733</v>
      </c>
      <c r="B385" s="11">
        <v>2020.0</v>
      </c>
      <c r="C385" s="12" t="str">
        <f>VLOOKUP(A385, Regions!A:B, 2, FALSE)
</f>
        <v>East Asia &amp; Pacific</v>
      </c>
      <c r="D385" s="13" t="str">
        <f t="shared" si="1"/>
        <v/>
      </c>
      <c r="E385" s="14" t="str">
        <f t="shared" si="2"/>
        <v/>
      </c>
      <c r="F385" s="11" t="s">
        <v>736</v>
      </c>
      <c r="G385" s="11">
        <v>24.67000008</v>
      </c>
      <c r="H385" s="11">
        <v>67.30102554</v>
      </c>
      <c r="I385" s="15">
        <f t="shared" si="3"/>
        <v>67</v>
      </c>
      <c r="J385" s="16" t="str">
        <f t="shared" si="4"/>
        <v/>
      </c>
      <c r="K385" s="16" t="str">
        <f t="shared" si="5"/>
        <v/>
      </c>
      <c r="L385" s="16" t="str">
        <f t="shared" si="6"/>
        <v/>
      </c>
      <c r="M385" s="16" t="str">
        <f t="shared" si="7"/>
        <v>ARC&gt;0</v>
      </c>
      <c r="N385" s="13" t="str">
        <f t="shared" si="8"/>
        <v/>
      </c>
      <c r="O385" s="11">
        <v>5.79547831</v>
      </c>
      <c r="P385" s="11">
        <v>21.26784313</v>
      </c>
      <c r="Q385" s="11">
        <v>5.635653025</v>
      </c>
      <c r="R385" s="11">
        <v>59.40526749</v>
      </c>
      <c r="S385" s="15">
        <f t="shared" si="9"/>
        <v>59</v>
      </c>
      <c r="T385" s="17" t="str">
        <f t="shared" si="10"/>
        <v/>
      </c>
      <c r="U385" s="17" t="str">
        <f t="shared" si="11"/>
        <v/>
      </c>
      <c r="V385" s="17" t="str">
        <f t="shared" si="12"/>
        <v/>
      </c>
      <c r="W385" s="17" t="str">
        <f t="shared" si="13"/>
        <v>ARC&gt;0</v>
      </c>
      <c r="X385" s="13" t="str">
        <f t="shared" si="14"/>
        <v/>
      </c>
      <c r="Y385" s="11">
        <v>6.528523649</v>
      </c>
      <c r="Z385" s="11">
        <v>26.955911</v>
      </c>
      <c r="AA385" s="11">
        <v>7.110297857</v>
      </c>
      <c r="AB385" s="11">
        <v>91.41077689</v>
      </c>
      <c r="AC385" s="15">
        <f t="shared" si="15"/>
        <v>91</v>
      </c>
      <c r="AD385" s="16" t="str">
        <f t="shared" si="16"/>
        <v/>
      </c>
      <c r="AE385" s="16" t="str">
        <f t="shared" si="17"/>
        <v/>
      </c>
      <c r="AF385" s="16" t="str">
        <f t="shared" si="18"/>
        <v/>
      </c>
      <c r="AG385" s="16" t="str">
        <f t="shared" si="19"/>
        <v>ARC&gt;0</v>
      </c>
      <c r="AH385" s="13" t="str">
        <f t="shared" si="20"/>
        <v/>
      </c>
      <c r="AI385" s="11">
        <v>3.557120425</v>
      </c>
      <c r="AJ385" s="11">
        <v>3.899286137</v>
      </c>
      <c r="AK385" s="11" t="s">
        <v>737</v>
      </c>
      <c r="AL385" s="18" t="str">
        <f t="shared" si="21"/>
        <v/>
      </c>
    </row>
    <row r="386" ht="15.75" customHeight="1">
      <c r="A386" s="11" t="s">
        <v>738</v>
      </c>
      <c r="B386" s="11">
        <v>2015.0</v>
      </c>
      <c r="C386" s="12" t="str">
        <f>VLOOKUP(A386, Regions!A:B, 2, FALSE)
</f>
        <v>Sub-Saharan Africa</v>
      </c>
      <c r="D386" s="13">
        <f t="shared" si="1"/>
        <v>5</v>
      </c>
      <c r="E386" s="14">
        <f t="shared" si="2"/>
        <v>2017.5</v>
      </c>
      <c r="F386" s="11" t="s">
        <v>739</v>
      </c>
      <c r="G386" s="11">
        <v>43.24500275</v>
      </c>
      <c r="H386" s="11">
        <v>48.71115368</v>
      </c>
      <c r="I386" s="15">
        <f t="shared" si="3"/>
        <v>49</v>
      </c>
      <c r="J386" s="16" t="str">
        <f t="shared" si="4"/>
        <v/>
      </c>
      <c r="K386" s="16" t="str">
        <f t="shared" si="5"/>
        <v/>
      </c>
      <c r="L386" s="16" t="str">
        <f t="shared" si="6"/>
        <v/>
      </c>
      <c r="M386" s="16" t="str">
        <f t="shared" si="7"/>
        <v>ARC&gt;0</v>
      </c>
      <c r="N386" s="13">
        <f t="shared" si="8"/>
        <v>1.553163942</v>
      </c>
      <c r="O386" s="11">
        <v>23.40618776</v>
      </c>
      <c r="P386" s="11">
        <v>20.15410676</v>
      </c>
      <c r="Q386" s="11">
        <v>7.728551789</v>
      </c>
      <c r="R386" s="11">
        <v>29.2281926</v>
      </c>
      <c r="S386" s="15">
        <f t="shared" si="9"/>
        <v>29</v>
      </c>
      <c r="T386" s="17" t="str">
        <f t="shared" si="10"/>
        <v/>
      </c>
      <c r="U386" s="17" t="str">
        <f t="shared" si="11"/>
        <v/>
      </c>
      <c r="V386" s="17" t="str">
        <f t="shared" si="12"/>
        <v/>
      </c>
      <c r="W386" s="17" t="str">
        <f t="shared" si="13"/>
        <v>ARC&gt;0</v>
      </c>
      <c r="X386" s="13">
        <f t="shared" si="14"/>
        <v>1.569534044</v>
      </c>
      <c r="Y386" s="11">
        <v>28.88714853</v>
      </c>
      <c r="Z386" s="11">
        <v>28.97578886</v>
      </c>
      <c r="AA386" s="11">
        <v>12.90887001</v>
      </c>
      <c r="AB386" s="11">
        <v>74.28070864</v>
      </c>
      <c r="AC386" s="15">
        <f t="shared" si="15"/>
        <v>74</v>
      </c>
      <c r="AD386" s="16" t="str">
        <f t="shared" si="16"/>
        <v/>
      </c>
      <c r="AE386" s="16" t="str">
        <f t="shared" si="17"/>
        <v/>
      </c>
      <c r="AF386" s="16" t="str">
        <f t="shared" si="18"/>
        <v/>
      </c>
      <c r="AG386" s="16" t="str">
        <f t="shared" si="19"/>
        <v>ARC&gt;0</v>
      </c>
      <c r="AH386" s="13">
        <f t="shared" si="20"/>
        <v>0.96851942</v>
      </c>
      <c r="AI386" s="11">
        <v>16.21294199</v>
      </c>
      <c r="AJ386" s="11">
        <v>8.576478283</v>
      </c>
      <c r="AK386" s="11" t="s">
        <v>740</v>
      </c>
      <c r="AL386" s="18">
        <f t="shared" si="21"/>
        <v>0.601014624</v>
      </c>
    </row>
    <row r="387" ht="15.75" customHeight="1">
      <c r="A387" s="11" t="s">
        <v>738</v>
      </c>
      <c r="B387" s="11">
        <v>2020.0</v>
      </c>
      <c r="C387" s="12" t="str">
        <f>VLOOKUP(A387, Regions!A:B, 2, FALSE)
</f>
        <v>Sub-Saharan Africa</v>
      </c>
      <c r="D387" s="13" t="str">
        <f t="shared" si="1"/>
        <v/>
      </c>
      <c r="E387" s="14" t="str">
        <f t="shared" si="2"/>
        <v/>
      </c>
      <c r="F387" s="11" t="s">
        <v>741</v>
      </c>
      <c r="G387" s="11">
        <v>46.14099884</v>
      </c>
      <c r="H387" s="11">
        <v>56.47697339</v>
      </c>
      <c r="I387" s="15">
        <f t="shared" si="3"/>
        <v>56</v>
      </c>
      <c r="J387" s="16" t="str">
        <f t="shared" si="4"/>
        <v/>
      </c>
      <c r="K387" s="16" t="str">
        <f t="shared" si="5"/>
        <v/>
      </c>
      <c r="L387" s="16" t="str">
        <f t="shared" si="6"/>
        <v/>
      </c>
      <c r="M387" s="16" t="str">
        <f t="shared" si="7"/>
        <v>ARC&gt;0</v>
      </c>
      <c r="N387" s="13" t="str">
        <f t="shared" si="8"/>
        <v/>
      </c>
      <c r="O387" s="11">
        <v>27.70419956</v>
      </c>
      <c r="P387" s="11">
        <v>13.41704303</v>
      </c>
      <c r="Q387" s="11">
        <v>2.401784021</v>
      </c>
      <c r="R387" s="11">
        <v>37.07586282</v>
      </c>
      <c r="S387" s="15">
        <f t="shared" si="9"/>
        <v>37</v>
      </c>
      <c r="T387" s="17" t="str">
        <f t="shared" si="10"/>
        <v/>
      </c>
      <c r="U387" s="17" t="str">
        <f t="shared" si="11"/>
        <v/>
      </c>
      <c r="V387" s="17" t="str">
        <f t="shared" si="12"/>
        <v/>
      </c>
      <c r="W387" s="17" t="str">
        <f t="shared" si="13"/>
        <v>ARC&gt;0</v>
      </c>
      <c r="X387" s="13" t="str">
        <f t="shared" si="14"/>
        <v/>
      </c>
      <c r="Y387" s="11">
        <v>36.64324958</v>
      </c>
      <c r="Z387" s="11">
        <v>21.82149546</v>
      </c>
      <c r="AA387" s="11">
        <v>4.459392143</v>
      </c>
      <c r="AB387" s="11">
        <v>79.12330574</v>
      </c>
      <c r="AC387" s="15">
        <f t="shared" si="15"/>
        <v>79</v>
      </c>
      <c r="AD387" s="16" t="str">
        <f t="shared" si="16"/>
        <v/>
      </c>
      <c r="AE387" s="16" t="str">
        <f t="shared" si="17"/>
        <v/>
      </c>
      <c r="AF387" s="16" t="str">
        <f t="shared" si="18"/>
        <v/>
      </c>
      <c r="AG387" s="16" t="str">
        <f t="shared" si="19"/>
        <v>ARC&gt;0</v>
      </c>
      <c r="AH387" s="13" t="str">
        <f t="shared" si="20"/>
        <v/>
      </c>
      <c r="AI387" s="11">
        <v>17.26991556</v>
      </c>
      <c r="AJ387" s="11">
        <v>3.606778703</v>
      </c>
      <c r="AK387" s="11" t="s">
        <v>43</v>
      </c>
      <c r="AL387" s="18" t="str">
        <f t="shared" si="21"/>
        <v/>
      </c>
    </row>
    <row r="388" ht="15.75" customHeight="1">
      <c r="A388" s="11" t="s">
        <v>742</v>
      </c>
      <c r="B388" s="11">
        <v>2015.0</v>
      </c>
      <c r="C388" s="12" t="str">
        <f>VLOOKUP(A388, Regions!A:B, 2, FALSE)
</f>
        <v>Sub-Saharan Africa</v>
      </c>
      <c r="D388" s="13">
        <f t="shared" si="1"/>
        <v>5</v>
      </c>
      <c r="E388" s="14">
        <f t="shared" si="2"/>
        <v>2017.5</v>
      </c>
      <c r="F388" s="11" t="s">
        <v>743</v>
      </c>
      <c r="G388" s="11">
        <v>64.82800293</v>
      </c>
      <c r="H388" s="11">
        <v>91.87634387</v>
      </c>
      <c r="I388" s="15">
        <f t="shared" si="3"/>
        <v>92</v>
      </c>
      <c r="J388" s="16" t="str">
        <f t="shared" si="4"/>
        <v/>
      </c>
      <c r="K388" s="16" t="str">
        <f t="shared" si="5"/>
        <v/>
      </c>
      <c r="L388" s="16" t="str">
        <f t="shared" si="6"/>
        <v/>
      </c>
      <c r="M388" s="16" t="str">
        <f t="shared" si="7"/>
        <v>ARC&gt;0</v>
      </c>
      <c r="N388" s="13">
        <f t="shared" si="8"/>
        <v>0.401742714</v>
      </c>
      <c r="O388" s="11">
        <v>2.803155965</v>
      </c>
      <c r="P388" s="11">
        <v>2.078820804</v>
      </c>
      <c r="Q388" s="11">
        <v>3.241679359</v>
      </c>
      <c r="R388" s="11">
        <v>79.03373853</v>
      </c>
      <c r="S388" s="15">
        <f t="shared" si="9"/>
        <v>79</v>
      </c>
      <c r="T388" s="17" t="str">
        <f t="shared" si="10"/>
        <v/>
      </c>
      <c r="U388" s="17" t="str">
        <f t="shared" si="11"/>
        <v/>
      </c>
      <c r="V388" s="17" t="str">
        <f t="shared" si="12"/>
        <v/>
      </c>
      <c r="W388" s="17" t="str">
        <f t="shared" si="13"/>
        <v>ARC&gt;0</v>
      </c>
      <c r="X388" s="13">
        <f t="shared" si="14"/>
        <v>0.85914853</v>
      </c>
      <c r="Y388" s="11">
        <v>6.61766745</v>
      </c>
      <c r="Z388" s="11">
        <v>5.131945818</v>
      </c>
      <c r="AA388" s="11">
        <v>9.216648202</v>
      </c>
      <c r="AB388" s="11">
        <v>98.84401345</v>
      </c>
      <c r="AC388" s="15">
        <f t="shared" si="15"/>
        <v>99</v>
      </c>
      <c r="AD388" s="16" t="str">
        <f t="shared" si="16"/>
        <v/>
      </c>
      <c r="AE388" s="16" t="str">
        <f t="shared" si="17"/>
        <v/>
      </c>
      <c r="AF388" s="16" t="str">
        <f t="shared" si="18"/>
        <v/>
      </c>
      <c r="AG388" s="16" t="str">
        <f t="shared" si="19"/>
        <v>ARC&gt;0</v>
      </c>
      <c r="AH388" s="13">
        <f t="shared" si="20"/>
        <v>0.031450278</v>
      </c>
      <c r="AI388" s="11">
        <v>0.7336182863</v>
      </c>
      <c r="AJ388" s="11">
        <v>0.4223682597</v>
      </c>
      <c r="AK388" s="11" t="s">
        <v>43</v>
      </c>
      <c r="AL388" s="18">
        <f t="shared" si="21"/>
        <v>0.827698252</v>
      </c>
    </row>
    <row r="389" ht="15.75" customHeight="1">
      <c r="A389" s="11" t="s">
        <v>742</v>
      </c>
      <c r="B389" s="11">
        <v>2020.0</v>
      </c>
      <c r="C389" s="12" t="str">
        <f>VLOOKUP(A389, Regions!A:B, 2, FALSE)
</f>
        <v>Sub-Saharan Africa</v>
      </c>
      <c r="D389" s="13" t="str">
        <f t="shared" si="1"/>
        <v/>
      </c>
      <c r="E389" s="14" t="str">
        <f t="shared" si="2"/>
        <v/>
      </c>
      <c r="F389" s="11" t="s">
        <v>744</v>
      </c>
      <c r="G389" s="11">
        <v>67.35400391</v>
      </c>
      <c r="H389" s="11">
        <v>93.88505744</v>
      </c>
      <c r="I389" s="15">
        <f t="shared" si="3"/>
        <v>94</v>
      </c>
      <c r="J389" s="16" t="str">
        <f t="shared" si="4"/>
        <v/>
      </c>
      <c r="K389" s="16" t="str">
        <f t="shared" si="5"/>
        <v/>
      </c>
      <c r="L389" s="16" t="str">
        <f t="shared" si="6"/>
        <v/>
      </c>
      <c r="M389" s="16" t="str">
        <f t="shared" si="7"/>
        <v>ARC&gt;0</v>
      </c>
      <c r="N389" s="13" t="str">
        <f t="shared" si="8"/>
        <v/>
      </c>
      <c r="O389" s="11">
        <v>2.772736186</v>
      </c>
      <c r="P389" s="11">
        <v>1.410816657</v>
      </c>
      <c r="Q389" s="11">
        <v>1.931389712</v>
      </c>
      <c r="R389" s="11">
        <v>83.32948118</v>
      </c>
      <c r="S389" s="15">
        <f t="shared" si="9"/>
        <v>83</v>
      </c>
      <c r="T389" s="17" t="str">
        <f t="shared" si="10"/>
        <v/>
      </c>
      <c r="U389" s="17" t="str">
        <f t="shared" si="11"/>
        <v/>
      </c>
      <c r="V389" s="17" t="str">
        <f t="shared" si="12"/>
        <v/>
      </c>
      <c r="W389" s="17" t="str">
        <f t="shared" si="13"/>
        <v>ARC&gt;0</v>
      </c>
      <c r="X389" s="13" t="str">
        <f t="shared" si="14"/>
        <v/>
      </c>
      <c r="Y389" s="11">
        <v>6.977359359</v>
      </c>
      <c r="Z389" s="11">
        <v>3.776999287</v>
      </c>
      <c r="AA389" s="11">
        <v>5.916160173</v>
      </c>
      <c r="AB389" s="11">
        <v>99.00126484</v>
      </c>
      <c r="AC389" s="15">
        <f t="shared" si="15"/>
        <v>99</v>
      </c>
      <c r="AD389" s="16" t="str">
        <f t="shared" si="16"/>
        <v/>
      </c>
      <c r="AE389" s="16" t="str">
        <f t="shared" si="17"/>
        <v/>
      </c>
      <c r="AF389" s="16" t="str">
        <f t="shared" si="18"/>
        <v/>
      </c>
      <c r="AG389" s="16" t="str">
        <f t="shared" si="19"/>
        <v>ARC&gt;0</v>
      </c>
      <c r="AH389" s="13" t="str">
        <f t="shared" si="20"/>
        <v/>
      </c>
      <c r="AI389" s="11">
        <v>0.734785403</v>
      </c>
      <c r="AJ389" s="11">
        <v>0.2639497547</v>
      </c>
      <c r="AK389" s="11" t="s">
        <v>43</v>
      </c>
      <c r="AL389" s="18" t="str">
        <f t="shared" si="21"/>
        <v/>
      </c>
    </row>
    <row r="390" ht="15.75" customHeight="1">
      <c r="A390" s="11" t="s">
        <v>745</v>
      </c>
      <c r="B390" s="11">
        <v>2015.0</v>
      </c>
      <c r="C390" s="12" t="str">
        <f>VLOOKUP(A390, Regions!A:B, 2, FALSE)
</f>
        <v>Sub-Saharan Africa</v>
      </c>
      <c r="D390" s="13">
        <f t="shared" si="1"/>
        <v>5</v>
      </c>
      <c r="E390" s="14">
        <f t="shared" si="2"/>
        <v>2017.5</v>
      </c>
      <c r="F390" s="11" t="s">
        <v>746</v>
      </c>
      <c r="G390" s="11">
        <v>18.85199928</v>
      </c>
      <c r="H390" s="11">
        <v>41.24750946</v>
      </c>
      <c r="I390" s="15">
        <f t="shared" si="3"/>
        <v>41</v>
      </c>
      <c r="J390" s="16" t="str">
        <f t="shared" si="4"/>
        <v/>
      </c>
      <c r="K390" s="16" t="str">
        <f t="shared" si="5"/>
        <v/>
      </c>
      <c r="L390" s="16" t="str">
        <f t="shared" si="6"/>
        <v/>
      </c>
      <c r="M390" s="16" t="str">
        <f t="shared" si="7"/>
        <v>ARC&gt;0</v>
      </c>
      <c r="N390" s="13">
        <f t="shared" si="8"/>
        <v>-0.059316458</v>
      </c>
      <c r="O390" s="11">
        <v>30.69573713</v>
      </c>
      <c r="P390" s="11">
        <v>13.55439295</v>
      </c>
      <c r="Q390" s="11">
        <v>14.50236045</v>
      </c>
      <c r="R390" s="11">
        <v>36.72677973</v>
      </c>
      <c r="S390" s="15">
        <f t="shared" si="9"/>
        <v>37</v>
      </c>
      <c r="T390" s="17" t="str">
        <f t="shared" si="10"/>
        <v/>
      </c>
      <c r="U390" s="17" t="str">
        <f t="shared" si="11"/>
        <v/>
      </c>
      <c r="V390" s="17" t="str">
        <f t="shared" si="12"/>
        <v/>
      </c>
      <c r="W390" s="17" t="str">
        <f t="shared" si="13"/>
        <v>ARC&gt;0</v>
      </c>
      <c r="X390" s="13">
        <f t="shared" si="14"/>
        <v>-0.626630184</v>
      </c>
      <c r="Y390" s="11">
        <v>32.66279967</v>
      </c>
      <c r="Z390" s="11">
        <v>14.31006538</v>
      </c>
      <c r="AA390" s="11">
        <v>16.30035522</v>
      </c>
      <c r="AB390" s="11">
        <v>60.70687736</v>
      </c>
      <c r="AC390" s="15">
        <f t="shared" si="15"/>
        <v>61</v>
      </c>
      <c r="AD390" s="16" t="str">
        <f t="shared" si="16"/>
        <v/>
      </c>
      <c r="AE390" s="16" t="str">
        <f t="shared" si="17"/>
        <v/>
      </c>
      <c r="AF390" s="16" t="str">
        <f t="shared" si="18"/>
        <v/>
      </c>
      <c r="AG390" s="16" t="str">
        <f t="shared" si="19"/>
        <v>ARC&gt;0</v>
      </c>
      <c r="AH390" s="13">
        <f t="shared" si="20"/>
        <v>1.862165418</v>
      </c>
      <c r="AI390" s="11">
        <v>22.22855395</v>
      </c>
      <c r="AJ390" s="11">
        <v>10.30163914</v>
      </c>
      <c r="AK390" s="11" t="s">
        <v>747</v>
      </c>
      <c r="AL390" s="18">
        <f t="shared" si="21"/>
        <v>-2.488795602</v>
      </c>
    </row>
    <row r="391" ht="15.75" customHeight="1">
      <c r="A391" s="11" t="s">
        <v>745</v>
      </c>
      <c r="B391" s="11">
        <v>2020.0</v>
      </c>
      <c r="C391" s="12" t="str">
        <f>VLOOKUP(A391, Regions!A:B, 2, FALSE)
</f>
        <v>Sub-Saharan Africa</v>
      </c>
      <c r="D391" s="13" t="str">
        <f t="shared" si="1"/>
        <v/>
      </c>
      <c r="E391" s="14" t="str">
        <f t="shared" si="2"/>
        <v/>
      </c>
      <c r="F391" s="11" t="s">
        <v>748</v>
      </c>
      <c r="G391" s="11">
        <v>20.1989994</v>
      </c>
      <c r="H391" s="11">
        <v>40.95092717</v>
      </c>
      <c r="I391" s="15">
        <f t="shared" si="3"/>
        <v>41</v>
      </c>
      <c r="J391" s="16" t="str">
        <f t="shared" si="4"/>
        <v/>
      </c>
      <c r="K391" s="16" t="str">
        <f t="shared" si="5"/>
        <v/>
      </c>
      <c r="L391" s="16" t="str">
        <f t="shared" si="6"/>
        <v/>
      </c>
      <c r="M391" s="16" t="str">
        <f t="shared" si="7"/>
        <v>ARC&gt;0</v>
      </c>
      <c r="N391" s="13" t="str">
        <f t="shared" si="8"/>
        <v/>
      </c>
      <c r="O391" s="11">
        <v>37.42696287</v>
      </c>
      <c r="P391" s="11">
        <v>13.53755519</v>
      </c>
      <c r="Q391" s="11">
        <v>8.084554762</v>
      </c>
      <c r="R391" s="11">
        <v>33.59362881</v>
      </c>
      <c r="S391" s="15">
        <f t="shared" si="9"/>
        <v>34</v>
      </c>
      <c r="T391" s="17" t="str">
        <f t="shared" si="10"/>
        <v/>
      </c>
      <c r="U391" s="17" t="str">
        <f t="shared" si="11"/>
        <v/>
      </c>
      <c r="V391" s="17" t="str">
        <f t="shared" si="12"/>
        <v/>
      </c>
      <c r="W391" s="17" t="str">
        <f t="shared" si="13"/>
        <v>ARC&gt;0</v>
      </c>
      <c r="X391" s="13" t="str">
        <f t="shared" si="14"/>
        <v/>
      </c>
      <c r="Y391" s="11">
        <v>42.16438068</v>
      </c>
      <c r="Z391" s="11">
        <v>14.11109616</v>
      </c>
      <c r="AA391" s="11">
        <v>10.13089435</v>
      </c>
      <c r="AB391" s="11">
        <v>70.01770445</v>
      </c>
      <c r="AC391" s="15">
        <f t="shared" si="15"/>
        <v>70</v>
      </c>
      <c r="AD391" s="16" t="str">
        <f t="shared" si="16"/>
        <v/>
      </c>
      <c r="AE391" s="16" t="str">
        <f t="shared" si="17"/>
        <v/>
      </c>
      <c r="AF391" s="16" t="str">
        <f t="shared" si="18"/>
        <v/>
      </c>
      <c r="AG391" s="16" t="str">
        <f t="shared" si="19"/>
        <v>ARC&gt;0</v>
      </c>
      <c r="AH391" s="13" t="str">
        <f t="shared" si="20"/>
        <v/>
      </c>
      <c r="AI391" s="11">
        <v>18.71066092</v>
      </c>
      <c r="AJ391" s="11">
        <v>11.27163464</v>
      </c>
      <c r="AK391" s="11" t="s">
        <v>43</v>
      </c>
      <c r="AL391" s="18" t="str">
        <f t="shared" si="21"/>
        <v/>
      </c>
    </row>
    <row r="392" ht="15.75" customHeight="1">
      <c r="A392" s="11" t="s">
        <v>749</v>
      </c>
      <c r="B392" s="11">
        <v>2015.0</v>
      </c>
      <c r="C392" s="12" t="str">
        <f>VLOOKUP(A392, Regions!A:B, 2, FALSE)
</f>
        <v>Europe &amp; Central Asia</v>
      </c>
      <c r="D392" s="13">
        <f t="shared" si="1"/>
        <v>5</v>
      </c>
      <c r="E392" s="14">
        <f t="shared" si="2"/>
        <v>2017.5</v>
      </c>
      <c r="F392" s="11" t="s">
        <v>750</v>
      </c>
      <c r="G392" s="11">
        <v>79.60199738</v>
      </c>
      <c r="H392" s="11">
        <v>99.92672046</v>
      </c>
      <c r="I392" s="15">
        <f t="shared" si="3"/>
        <v>100</v>
      </c>
      <c r="J392" s="16" t="str">
        <f t="shared" si="4"/>
        <v>full access</v>
      </c>
      <c r="K392" s="16" t="str">
        <f t="shared" si="5"/>
        <v/>
      </c>
      <c r="L392" s="16" t="str">
        <f t="shared" si="6"/>
        <v/>
      </c>
      <c r="M392" s="16" t="str">
        <f t="shared" si="7"/>
        <v/>
      </c>
      <c r="N392" s="13">
        <f t="shared" si="8"/>
        <v>-0.00022157</v>
      </c>
      <c r="O392" s="11">
        <v>0.0</v>
      </c>
      <c r="P392" s="11">
        <v>0.07327954441</v>
      </c>
      <c r="Q392" s="11">
        <v>0.0</v>
      </c>
      <c r="R392" s="11">
        <v>100.0</v>
      </c>
      <c r="S392" s="15">
        <f t="shared" si="9"/>
        <v>100</v>
      </c>
      <c r="T392" s="17" t="str">
        <f t="shared" si="10"/>
        <v>full access</v>
      </c>
      <c r="U392" s="17" t="str">
        <f t="shared" si="11"/>
        <v/>
      </c>
      <c r="V392" s="17" t="str">
        <f t="shared" si="12"/>
        <v/>
      </c>
      <c r="W392" s="17" t="str">
        <f t="shared" si="13"/>
        <v>ARC&gt;0</v>
      </c>
      <c r="X392" s="13">
        <f t="shared" si="14"/>
        <v>0</v>
      </c>
      <c r="Y392" s="11">
        <v>0.0</v>
      </c>
      <c r="Z392" s="11">
        <v>0.0</v>
      </c>
      <c r="AA392" s="11">
        <v>0.0</v>
      </c>
      <c r="AB392" s="11">
        <v>99.90794521</v>
      </c>
      <c r="AC392" s="15">
        <f t="shared" si="15"/>
        <v>100</v>
      </c>
      <c r="AD392" s="16" t="str">
        <f t="shared" si="16"/>
        <v>full access</v>
      </c>
      <c r="AE392" s="16" t="str">
        <f t="shared" si="17"/>
        <v/>
      </c>
      <c r="AF392" s="16" t="str">
        <f t="shared" si="18"/>
        <v/>
      </c>
      <c r="AG392" s="16" t="str">
        <f t="shared" si="19"/>
        <v>ARC&gt;0</v>
      </c>
      <c r="AH392" s="13">
        <f t="shared" si="20"/>
        <v>0</v>
      </c>
      <c r="AI392" s="11">
        <v>0.0</v>
      </c>
      <c r="AJ392" s="11">
        <v>0.09205479452</v>
      </c>
      <c r="AK392" s="11" t="s">
        <v>43</v>
      </c>
      <c r="AL392" s="18">
        <f t="shared" si="21"/>
        <v>0</v>
      </c>
    </row>
    <row r="393" ht="15.75" customHeight="1">
      <c r="A393" s="11" t="s">
        <v>749</v>
      </c>
      <c r="B393" s="11">
        <v>2020.0</v>
      </c>
      <c r="C393" s="12" t="str">
        <f>VLOOKUP(A393, Regions!A:B, 2, FALSE)
</f>
        <v>Europe &amp; Central Asia</v>
      </c>
      <c r="D393" s="13" t="str">
        <f t="shared" si="1"/>
        <v/>
      </c>
      <c r="E393" s="14" t="str">
        <f t="shared" si="2"/>
        <v/>
      </c>
      <c r="F393" s="11" t="s">
        <v>751</v>
      </c>
      <c r="G393" s="11">
        <v>80.80999756</v>
      </c>
      <c r="H393" s="11">
        <v>99.92561261</v>
      </c>
      <c r="I393" s="15">
        <f t="shared" si="3"/>
        <v>100</v>
      </c>
      <c r="J393" s="16" t="str">
        <f t="shared" si="4"/>
        <v/>
      </c>
      <c r="K393" s="16" t="str">
        <f t="shared" si="5"/>
        <v/>
      </c>
      <c r="L393" s="16" t="str">
        <f t="shared" si="6"/>
        <v/>
      </c>
      <c r="M393" s="16" t="str">
        <f t="shared" si="7"/>
        <v>ARC&gt;0</v>
      </c>
      <c r="N393" s="13" t="str">
        <f t="shared" si="8"/>
        <v/>
      </c>
      <c r="O393" s="11">
        <v>0.0</v>
      </c>
      <c r="P393" s="11">
        <v>0.07438739142</v>
      </c>
      <c r="Q393" s="11">
        <v>0.0</v>
      </c>
      <c r="R393" s="11">
        <v>100.0</v>
      </c>
      <c r="S393" s="15">
        <f t="shared" si="9"/>
        <v>100</v>
      </c>
      <c r="T393" s="17" t="str">
        <f t="shared" si="10"/>
        <v/>
      </c>
      <c r="U393" s="17" t="str">
        <f t="shared" si="11"/>
        <v/>
      </c>
      <c r="V393" s="17" t="str">
        <f t="shared" si="12"/>
        <v/>
      </c>
      <c r="W393" s="17" t="str">
        <f t="shared" si="13"/>
        <v>ARC&gt;0</v>
      </c>
      <c r="X393" s="13" t="str">
        <f t="shared" si="14"/>
        <v/>
      </c>
      <c r="Y393" s="11">
        <v>0.0</v>
      </c>
      <c r="Z393" s="11">
        <v>0.0</v>
      </c>
      <c r="AA393" s="11">
        <v>0.0</v>
      </c>
      <c r="AB393" s="11">
        <v>99.90794521</v>
      </c>
      <c r="AC393" s="15">
        <f t="shared" si="15"/>
        <v>100</v>
      </c>
      <c r="AD393" s="16" t="str">
        <f t="shared" si="16"/>
        <v/>
      </c>
      <c r="AE393" s="16" t="str">
        <f t="shared" si="17"/>
        <v/>
      </c>
      <c r="AF393" s="16" t="str">
        <f t="shared" si="18"/>
        <v/>
      </c>
      <c r="AG393" s="16" t="str">
        <f t="shared" si="19"/>
        <v>ARC&gt;0</v>
      </c>
      <c r="AH393" s="13" t="str">
        <f t="shared" si="20"/>
        <v/>
      </c>
      <c r="AI393" s="11">
        <v>0.0</v>
      </c>
      <c r="AJ393" s="11">
        <v>0.09205479452</v>
      </c>
      <c r="AK393" s="11" t="s">
        <v>43</v>
      </c>
      <c r="AL393" s="18" t="str">
        <f t="shared" si="21"/>
        <v/>
      </c>
    </row>
    <row r="394" ht="15.75" customHeight="1">
      <c r="A394" s="11" t="s">
        <v>752</v>
      </c>
      <c r="B394" s="11">
        <v>2015.0</v>
      </c>
      <c r="C394" s="12" t="str">
        <f>VLOOKUP(A394, Regions!A:B, 2, FALSE)
</f>
        <v>South Asia</v>
      </c>
      <c r="D394" s="13">
        <f t="shared" si="1"/>
        <v>5</v>
      </c>
      <c r="E394" s="14">
        <f t="shared" si="2"/>
        <v>2017.5</v>
      </c>
      <c r="F394" s="11" t="s">
        <v>753</v>
      </c>
      <c r="G394" s="11">
        <v>18.25600052</v>
      </c>
      <c r="H394" s="11">
        <v>90.11102857</v>
      </c>
      <c r="I394" s="15">
        <f t="shared" si="3"/>
        <v>90</v>
      </c>
      <c r="J394" s="16" t="str">
        <f t="shared" si="4"/>
        <v/>
      </c>
      <c r="K394" s="16" t="str">
        <f t="shared" si="5"/>
        <v/>
      </c>
      <c r="L394" s="16" t="str">
        <f t="shared" si="6"/>
        <v/>
      </c>
      <c r="M394" s="16" t="str">
        <f t="shared" si="7"/>
        <v>ARC&gt;0</v>
      </c>
      <c r="N394" s="13">
        <f t="shared" si="8"/>
        <v>0.42331016</v>
      </c>
      <c r="O394" s="11">
        <v>0.9128012935</v>
      </c>
      <c r="P394" s="11">
        <v>6.761522893</v>
      </c>
      <c r="Q394" s="11">
        <v>2.214647247</v>
      </c>
      <c r="R394" s="11">
        <v>88.25710614</v>
      </c>
      <c r="S394" s="15">
        <f t="shared" si="9"/>
        <v>88</v>
      </c>
      <c r="T394" s="17" t="str">
        <f t="shared" si="10"/>
        <v/>
      </c>
      <c r="U394" s="17" t="str">
        <f t="shared" si="11"/>
        <v/>
      </c>
      <c r="V394" s="17" t="str">
        <f t="shared" si="12"/>
        <v/>
      </c>
      <c r="W394" s="17" t="str">
        <f t="shared" si="13"/>
        <v>ARC&gt;0</v>
      </c>
      <c r="X394" s="13">
        <f t="shared" si="14"/>
        <v>0.456065912</v>
      </c>
      <c r="Y394" s="11">
        <v>1.016290258</v>
      </c>
      <c r="Z394" s="11">
        <v>8.017356135</v>
      </c>
      <c r="AA394" s="11">
        <v>2.709247463</v>
      </c>
      <c r="AB394" s="11">
        <v>98.41224652</v>
      </c>
      <c r="AC394" s="15">
        <f t="shared" si="15"/>
        <v>98</v>
      </c>
      <c r="AD394" s="16" t="str">
        <f t="shared" si="16"/>
        <v/>
      </c>
      <c r="AE394" s="16" t="str">
        <f t="shared" si="17"/>
        <v/>
      </c>
      <c r="AF394" s="16" t="str">
        <f t="shared" si="18"/>
        <v/>
      </c>
      <c r="AG394" s="16" t="str">
        <f t="shared" si="19"/>
        <v>ARC&gt;0</v>
      </c>
      <c r="AH394" s="13">
        <f t="shared" si="20"/>
        <v>0.231426734</v>
      </c>
      <c r="AI394" s="11">
        <v>0.4494138094</v>
      </c>
      <c r="AJ394" s="11">
        <v>1.138339672</v>
      </c>
      <c r="AK394" s="11" t="s">
        <v>43</v>
      </c>
      <c r="AL394" s="18">
        <f t="shared" si="21"/>
        <v>0.224639178</v>
      </c>
    </row>
    <row r="395" ht="15.75" customHeight="1">
      <c r="A395" s="11" t="s">
        <v>752</v>
      </c>
      <c r="B395" s="11">
        <v>2020.0</v>
      </c>
      <c r="C395" s="12" t="str">
        <f>VLOOKUP(A395, Regions!A:B, 2, FALSE)
</f>
        <v>South Asia</v>
      </c>
      <c r="D395" s="13" t="str">
        <f t="shared" si="1"/>
        <v/>
      </c>
      <c r="E395" s="14" t="str">
        <f t="shared" si="2"/>
        <v/>
      </c>
      <c r="F395" s="11" t="s">
        <v>754</v>
      </c>
      <c r="G395" s="11">
        <v>18.71299934</v>
      </c>
      <c r="H395" s="11">
        <v>92.22757937</v>
      </c>
      <c r="I395" s="15">
        <f t="shared" si="3"/>
        <v>92</v>
      </c>
      <c r="J395" s="16" t="str">
        <f t="shared" si="4"/>
        <v/>
      </c>
      <c r="K395" s="16" t="str">
        <f t="shared" si="5"/>
        <v/>
      </c>
      <c r="L395" s="16" t="str">
        <f t="shared" si="6"/>
        <v/>
      </c>
      <c r="M395" s="16" t="str">
        <f t="shared" si="7"/>
        <v>ARC&gt;0</v>
      </c>
      <c r="N395" s="13" t="str">
        <f t="shared" si="8"/>
        <v/>
      </c>
      <c r="O395" s="11">
        <v>0.5954581495</v>
      </c>
      <c r="P395" s="11">
        <v>5.348927064</v>
      </c>
      <c r="Q395" s="11">
        <v>1.82803542</v>
      </c>
      <c r="R395" s="11">
        <v>90.5374357</v>
      </c>
      <c r="S395" s="15">
        <f t="shared" si="9"/>
        <v>91</v>
      </c>
      <c r="T395" s="17" t="str">
        <f t="shared" si="10"/>
        <v/>
      </c>
      <c r="U395" s="17" t="str">
        <f t="shared" si="11"/>
        <v/>
      </c>
      <c r="V395" s="17" t="str">
        <f t="shared" si="12"/>
        <v/>
      </c>
      <c r="W395" s="17" t="str">
        <f t="shared" si="13"/>
        <v>ARC&gt;0</v>
      </c>
      <c r="X395" s="13" t="str">
        <f t="shared" si="14"/>
        <v/>
      </c>
      <c r="Y395" s="11">
        <v>0.7032099038</v>
      </c>
      <c r="Z395" s="11">
        <v>6.510488612</v>
      </c>
      <c r="AA395" s="11">
        <v>2.248865782</v>
      </c>
      <c r="AB395" s="11">
        <v>99.56938019</v>
      </c>
      <c r="AC395" s="15">
        <f t="shared" si="15"/>
        <v>100</v>
      </c>
      <c r="AD395" s="16" t="str">
        <f t="shared" si="16"/>
        <v/>
      </c>
      <c r="AE395" s="16" t="str">
        <f t="shared" si="17"/>
        <v/>
      </c>
      <c r="AF395" s="16" t="str">
        <f t="shared" si="18"/>
        <v/>
      </c>
      <c r="AG395" s="16" t="str">
        <f t="shared" si="19"/>
        <v>ARC&gt;0</v>
      </c>
      <c r="AH395" s="13" t="str">
        <f t="shared" si="20"/>
        <v/>
      </c>
      <c r="AI395" s="11">
        <v>0.1273977901</v>
      </c>
      <c r="AJ395" s="11">
        <v>0.3032220202</v>
      </c>
      <c r="AK395" s="11" t="s">
        <v>43</v>
      </c>
      <c r="AL395" s="18" t="str">
        <f t="shared" si="21"/>
        <v/>
      </c>
    </row>
    <row r="396" ht="15.75" customHeight="1">
      <c r="A396" s="11" t="s">
        <v>755</v>
      </c>
      <c r="B396" s="11">
        <v>2015.0</v>
      </c>
      <c r="C396" s="12" t="str">
        <f>VLOOKUP(A396, Regions!A:B, 2, FALSE)
</f>
        <v>Middle East &amp; North Africa</v>
      </c>
      <c r="D396" s="13">
        <f t="shared" si="1"/>
        <v>5</v>
      </c>
      <c r="E396" s="14">
        <f t="shared" si="2"/>
        <v>2017.5</v>
      </c>
      <c r="F396" s="11" t="s">
        <v>756</v>
      </c>
      <c r="G396" s="11">
        <v>33.89400101</v>
      </c>
      <c r="H396" s="11">
        <v>58.95025332</v>
      </c>
      <c r="I396" s="15">
        <f t="shared" si="3"/>
        <v>59</v>
      </c>
      <c r="J396" s="16" t="str">
        <f t="shared" si="4"/>
        <v/>
      </c>
      <c r="K396" s="16" t="str">
        <f t="shared" si="5"/>
        <v/>
      </c>
      <c r="L396" s="16" t="str">
        <f t="shared" si="6"/>
        <v/>
      </c>
      <c r="M396" s="16" t="str">
        <f t="shared" si="7"/>
        <v>ARC&gt;0</v>
      </c>
      <c r="N396" s="13">
        <f t="shared" si="8"/>
        <v>0.299684456</v>
      </c>
      <c r="O396" s="11">
        <v>26.11181598</v>
      </c>
      <c r="P396" s="11">
        <v>5.635847128</v>
      </c>
      <c r="Q396" s="11">
        <v>9.302083569</v>
      </c>
      <c r="R396" s="11">
        <v>51.70743773</v>
      </c>
      <c r="S396" s="15">
        <f t="shared" si="9"/>
        <v>52</v>
      </c>
      <c r="T396" s="17" t="str">
        <f t="shared" si="10"/>
        <v/>
      </c>
      <c r="U396" s="17" t="str">
        <f t="shared" si="11"/>
        <v/>
      </c>
      <c r="V396" s="17" t="str">
        <f t="shared" si="12"/>
        <v/>
      </c>
      <c r="W396" s="17" t="str">
        <f t="shared" si="13"/>
        <v>ARC&gt;0</v>
      </c>
      <c r="X396" s="13">
        <f t="shared" si="14"/>
        <v>0.298317868</v>
      </c>
      <c r="Y396" s="11">
        <v>26.68778964</v>
      </c>
      <c r="Z396" s="11">
        <v>8.122567512</v>
      </c>
      <c r="AA396" s="11">
        <v>13.48220513</v>
      </c>
      <c r="AB396" s="11">
        <v>73.07645757</v>
      </c>
      <c r="AC396" s="15">
        <f t="shared" si="15"/>
        <v>73</v>
      </c>
      <c r="AD396" s="16" t="str">
        <f t="shared" si="16"/>
        <v/>
      </c>
      <c r="AE396" s="16" t="str">
        <f t="shared" si="17"/>
        <v/>
      </c>
      <c r="AF396" s="16" t="str">
        <f t="shared" si="18"/>
        <v/>
      </c>
      <c r="AG396" s="16" t="str">
        <f t="shared" si="19"/>
        <v>ARC&gt;0</v>
      </c>
      <c r="AH396" s="13">
        <f t="shared" si="20"/>
        <v>0.137440398</v>
      </c>
      <c r="AI396" s="11">
        <v>24.98845154</v>
      </c>
      <c r="AJ396" s="11">
        <v>0.7858106217</v>
      </c>
      <c r="AK396" s="11" t="s">
        <v>757</v>
      </c>
      <c r="AL396" s="18">
        <f t="shared" si="21"/>
        <v>0.16087747</v>
      </c>
    </row>
    <row r="397" ht="15.75" customHeight="1">
      <c r="A397" s="11" t="s">
        <v>755</v>
      </c>
      <c r="B397" s="11">
        <v>2020.0</v>
      </c>
      <c r="C397" s="12" t="str">
        <f>VLOOKUP(A397, Regions!A:B, 2, FALSE)
</f>
        <v>Middle East &amp; North Africa</v>
      </c>
      <c r="D397" s="13" t="str">
        <f t="shared" si="1"/>
        <v/>
      </c>
      <c r="E397" s="14" t="str">
        <f t="shared" si="2"/>
        <v/>
      </c>
      <c r="F397" s="11" t="s">
        <v>758</v>
      </c>
      <c r="G397" s="11">
        <v>35.25299835</v>
      </c>
      <c r="H397" s="11">
        <v>60.4486756</v>
      </c>
      <c r="I397" s="15">
        <f t="shared" si="3"/>
        <v>60</v>
      </c>
      <c r="J397" s="16" t="str">
        <f t="shared" si="4"/>
        <v/>
      </c>
      <c r="K397" s="16" t="str">
        <f t="shared" si="5"/>
        <v/>
      </c>
      <c r="L397" s="16" t="str">
        <f t="shared" si="6"/>
        <v/>
      </c>
      <c r="M397" s="16" t="str">
        <f t="shared" si="7"/>
        <v>ARC&gt;0</v>
      </c>
      <c r="N397" s="13" t="str">
        <f t="shared" si="8"/>
        <v/>
      </c>
      <c r="O397" s="11">
        <v>26.67001975</v>
      </c>
      <c r="P397" s="11">
        <v>3.650217875</v>
      </c>
      <c r="Q397" s="11">
        <v>9.231086774</v>
      </c>
      <c r="R397" s="11">
        <v>53.19902707</v>
      </c>
      <c r="S397" s="15">
        <f t="shared" si="9"/>
        <v>53</v>
      </c>
      <c r="T397" s="17" t="str">
        <f t="shared" si="10"/>
        <v/>
      </c>
      <c r="U397" s="17" t="str">
        <f t="shared" si="11"/>
        <v/>
      </c>
      <c r="V397" s="17" t="str">
        <f t="shared" si="12"/>
        <v/>
      </c>
      <c r="W397" s="17" t="str">
        <f t="shared" si="13"/>
        <v>ARC&gt;0</v>
      </c>
      <c r="X397" s="13" t="str">
        <f t="shared" si="14"/>
        <v/>
      </c>
      <c r="Y397" s="11">
        <v>27.45764451</v>
      </c>
      <c r="Z397" s="11">
        <v>5.637660008</v>
      </c>
      <c r="AA397" s="11">
        <v>13.70566842</v>
      </c>
      <c r="AB397" s="11">
        <v>73.76365956</v>
      </c>
      <c r="AC397" s="15">
        <f t="shared" si="15"/>
        <v>74</v>
      </c>
      <c r="AD397" s="16" t="str">
        <f t="shared" si="16"/>
        <v/>
      </c>
      <c r="AE397" s="16" t="str">
        <f t="shared" si="17"/>
        <v/>
      </c>
      <c r="AF397" s="16" t="str">
        <f t="shared" si="18"/>
        <v/>
      </c>
      <c r="AG397" s="16" t="str">
        <f t="shared" si="19"/>
        <v>ARC&gt;0</v>
      </c>
      <c r="AH397" s="13" t="str">
        <f t="shared" si="20"/>
        <v/>
      </c>
      <c r="AI397" s="11">
        <v>25.22343986</v>
      </c>
      <c r="AJ397" s="11">
        <v>0.0</v>
      </c>
      <c r="AK397" s="11" t="s">
        <v>759</v>
      </c>
      <c r="AL397" s="18" t="str">
        <f t="shared" si="21"/>
        <v/>
      </c>
    </row>
    <row r="398" ht="15.75" customHeight="1">
      <c r="A398" s="11" t="s">
        <v>760</v>
      </c>
      <c r="B398" s="11">
        <v>2015.0</v>
      </c>
      <c r="C398" s="12" t="str">
        <f>VLOOKUP(A398, Regions!A:B, 2, FALSE)
</f>
        <v>Latin America &amp; Caribbean</v>
      </c>
      <c r="D398" s="13">
        <f t="shared" si="1"/>
        <v>5</v>
      </c>
      <c r="E398" s="14">
        <f t="shared" si="2"/>
        <v>2017.5</v>
      </c>
      <c r="F398" s="11" t="s">
        <v>761</v>
      </c>
      <c r="G398" s="11">
        <v>66.05599976</v>
      </c>
      <c r="H398" s="11">
        <v>95.74769217</v>
      </c>
      <c r="I398" s="15">
        <f t="shared" si="3"/>
        <v>96</v>
      </c>
      <c r="J398" s="16" t="str">
        <f t="shared" si="4"/>
        <v/>
      </c>
      <c r="K398" s="16" t="str">
        <f t="shared" si="5"/>
        <v/>
      </c>
      <c r="L398" s="16" t="str">
        <f t="shared" si="6"/>
        <v/>
      </c>
      <c r="M398" s="16" t="str">
        <f t="shared" si="7"/>
        <v>ARC&gt;0</v>
      </c>
      <c r="N398" s="13">
        <f t="shared" si="8"/>
        <v>0.4483879</v>
      </c>
      <c r="O398" s="11">
        <v>0.8828013983</v>
      </c>
      <c r="P398" s="11">
        <v>1.013834976</v>
      </c>
      <c r="Q398" s="11">
        <v>2.35567146</v>
      </c>
      <c r="R398" s="11">
        <v>90.57961632</v>
      </c>
      <c r="S398" s="15">
        <f t="shared" si="9"/>
        <v>91</v>
      </c>
      <c r="T398" s="17" t="str">
        <f t="shared" si="10"/>
        <v/>
      </c>
      <c r="U398" s="17" t="str">
        <f t="shared" si="11"/>
        <v/>
      </c>
      <c r="V398" s="17" t="str">
        <f t="shared" si="12"/>
        <v/>
      </c>
      <c r="W398" s="17" t="str">
        <f t="shared" si="13"/>
        <v>ARC&gt;0</v>
      </c>
      <c r="X398" s="13">
        <f t="shared" si="14"/>
        <v>1.198959262</v>
      </c>
      <c r="Y398" s="11">
        <v>1.285032142</v>
      </c>
      <c r="Z398" s="11">
        <v>1.200506574</v>
      </c>
      <c r="AA398" s="11">
        <v>6.934844965</v>
      </c>
      <c r="AB398" s="11">
        <v>98.4033997</v>
      </c>
      <c r="AC398" s="15">
        <f t="shared" si="15"/>
        <v>98</v>
      </c>
      <c r="AD398" s="16" t="str">
        <f t="shared" si="16"/>
        <v/>
      </c>
      <c r="AE398" s="16" t="str">
        <f t="shared" si="17"/>
        <v/>
      </c>
      <c r="AF398" s="16" t="str">
        <f t="shared" si="18"/>
        <v/>
      </c>
      <c r="AG398" s="16" t="str">
        <f t="shared" si="19"/>
        <v>ARC&gt;0</v>
      </c>
      <c r="AH398" s="13">
        <f t="shared" si="20"/>
        <v>0.062090834</v>
      </c>
      <c r="AI398" s="11">
        <v>0.6761083333</v>
      </c>
      <c r="AJ398" s="11">
        <v>0.9179065142</v>
      </c>
      <c r="AK398" s="11" t="s">
        <v>762</v>
      </c>
      <c r="AL398" s="18">
        <f t="shared" si="21"/>
        <v>1.136868428</v>
      </c>
    </row>
    <row r="399" ht="15.75" customHeight="1">
      <c r="A399" s="11" t="s">
        <v>760</v>
      </c>
      <c r="B399" s="11">
        <v>2020.0</v>
      </c>
      <c r="C399" s="12" t="str">
        <f>VLOOKUP(A399, Regions!A:B, 2, FALSE)
</f>
        <v>Latin America &amp; Caribbean</v>
      </c>
      <c r="D399" s="13" t="str">
        <f t="shared" si="1"/>
        <v/>
      </c>
      <c r="E399" s="14" t="str">
        <f t="shared" si="2"/>
        <v/>
      </c>
      <c r="F399" s="11" t="s">
        <v>763</v>
      </c>
      <c r="G399" s="11">
        <v>66.14900208</v>
      </c>
      <c r="H399" s="11">
        <v>97.98963167</v>
      </c>
      <c r="I399" s="15">
        <f t="shared" si="3"/>
        <v>98</v>
      </c>
      <c r="J399" s="16" t="str">
        <f t="shared" si="4"/>
        <v/>
      </c>
      <c r="K399" s="16" t="str">
        <f t="shared" si="5"/>
        <v/>
      </c>
      <c r="L399" s="16" t="str">
        <f t="shared" si="6"/>
        <v/>
      </c>
      <c r="M399" s="16" t="str">
        <f t="shared" si="7"/>
        <v>ARC&gt;0</v>
      </c>
      <c r="N399" s="13" t="str">
        <f t="shared" si="8"/>
        <v/>
      </c>
      <c r="O399" s="11">
        <v>1.067246941</v>
      </c>
      <c r="P399" s="11">
        <v>0.3793365073</v>
      </c>
      <c r="Q399" s="11">
        <v>0.563784884</v>
      </c>
      <c r="R399" s="11">
        <v>96.57441263</v>
      </c>
      <c r="S399" s="15">
        <f t="shared" si="9"/>
        <v>97</v>
      </c>
      <c r="T399" s="17" t="str">
        <f t="shared" si="10"/>
        <v/>
      </c>
      <c r="U399" s="17" t="str">
        <f t="shared" si="11"/>
        <v/>
      </c>
      <c r="V399" s="17" t="str">
        <f t="shared" si="12"/>
        <v/>
      </c>
      <c r="W399" s="17" t="str">
        <f t="shared" si="13"/>
        <v>ARC&gt;0</v>
      </c>
      <c r="X399" s="13" t="str">
        <f t="shared" si="14"/>
        <v/>
      </c>
      <c r="Y399" s="11">
        <v>1.60029586</v>
      </c>
      <c r="Z399" s="11">
        <v>0.1598017947</v>
      </c>
      <c r="AA399" s="11">
        <v>1.66548972</v>
      </c>
      <c r="AB399" s="11">
        <v>98.71385387</v>
      </c>
      <c r="AC399" s="15">
        <f t="shared" si="15"/>
        <v>99</v>
      </c>
      <c r="AD399" s="16" t="str">
        <f t="shared" si="16"/>
        <v/>
      </c>
      <c r="AE399" s="16" t="str">
        <f t="shared" si="17"/>
        <v/>
      </c>
      <c r="AF399" s="16" t="str">
        <f t="shared" si="18"/>
        <v/>
      </c>
      <c r="AG399" s="16" t="str">
        <f t="shared" si="19"/>
        <v>ARC&gt;0</v>
      </c>
      <c r="AH399" s="13" t="str">
        <f t="shared" si="20"/>
        <v/>
      </c>
      <c r="AI399" s="11">
        <v>0.7944652371</v>
      </c>
      <c r="AJ399" s="11">
        <v>0.4916808925</v>
      </c>
      <c r="AK399" s="11" t="s">
        <v>43</v>
      </c>
      <c r="AL399" s="18" t="str">
        <f t="shared" si="21"/>
        <v/>
      </c>
    </row>
    <row r="400" ht="15.75" customHeight="1">
      <c r="A400" s="11" t="s">
        <v>764</v>
      </c>
      <c r="B400" s="11">
        <v>2015.0</v>
      </c>
      <c r="C400" s="12" t="str">
        <f>VLOOKUP(A400, Regions!A:B, 2, FALSE)
</f>
        <v>Europe &amp; Central Asia</v>
      </c>
      <c r="D400" s="13">
        <f t="shared" si="1"/>
        <v>5</v>
      </c>
      <c r="E400" s="14">
        <f t="shared" si="2"/>
        <v>2017.5</v>
      </c>
      <c r="F400" s="11" t="s">
        <v>765</v>
      </c>
      <c r="G400" s="11">
        <v>86.5530014</v>
      </c>
      <c r="H400" s="11">
        <v>99.78123103</v>
      </c>
      <c r="I400" s="15">
        <f t="shared" si="3"/>
        <v>100</v>
      </c>
      <c r="J400" s="16" t="str">
        <f t="shared" si="4"/>
        <v>full access</v>
      </c>
      <c r="K400" s="16" t="str">
        <f t="shared" si="5"/>
        <v/>
      </c>
      <c r="L400" s="16" t="str">
        <f t="shared" si="6"/>
        <v/>
      </c>
      <c r="M400" s="16" t="str">
        <f t="shared" si="7"/>
        <v/>
      </c>
      <c r="N400" s="13">
        <f t="shared" si="8"/>
        <v>0.00912732</v>
      </c>
      <c r="O400" s="11">
        <v>0.0</v>
      </c>
      <c r="P400" s="11">
        <v>0.2187689729</v>
      </c>
      <c r="Q400" s="11">
        <v>0.0</v>
      </c>
      <c r="R400" s="11">
        <v>99.54998653</v>
      </c>
      <c r="S400" s="15">
        <f t="shared" si="9"/>
        <v>100</v>
      </c>
      <c r="T400" s="17" t="str">
        <f t="shared" si="10"/>
        <v>full access</v>
      </c>
      <c r="U400" s="17" t="str">
        <f t="shared" si="11"/>
        <v/>
      </c>
      <c r="V400" s="17" t="str">
        <f t="shared" si="12"/>
        <v/>
      </c>
      <c r="W400" s="17" t="str">
        <f t="shared" si="13"/>
        <v>ARC&gt;0</v>
      </c>
      <c r="X400" s="13">
        <f t="shared" si="14"/>
        <v>0.033877642</v>
      </c>
      <c r="Y400" s="11">
        <v>0.0</v>
      </c>
      <c r="Z400" s="11">
        <v>0.4500134657</v>
      </c>
      <c r="AA400" s="11">
        <v>0.0</v>
      </c>
      <c r="AB400" s="11">
        <v>99.81716039</v>
      </c>
      <c r="AC400" s="15">
        <f t="shared" si="15"/>
        <v>100</v>
      </c>
      <c r="AD400" s="16" t="str">
        <f t="shared" si="16"/>
        <v>full access</v>
      </c>
      <c r="AE400" s="16" t="str">
        <f t="shared" si="17"/>
        <v/>
      </c>
      <c r="AF400" s="16" t="str">
        <f t="shared" si="18"/>
        <v/>
      </c>
      <c r="AG400" s="16" t="str">
        <f t="shared" si="19"/>
        <v>ARC&gt;0</v>
      </c>
      <c r="AH400" s="13">
        <f t="shared" si="20"/>
        <v>0.004879458</v>
      </c>
      <c r="AI400" s="11">
        <v>0.0</v>
      </c>
      <c r="AJ400" s="11">
        <v>0.1828396148</v>
      </c>
      <c r="AK400" s="11" t="s">
        <v>43</v>
      </c>
      <c r="AL400" s="18">
        <f t="shared" si="21"/>
        <v>0.028998184</v>
      </c>
    </row>
    <row r="401" ht="15.75" customHeight="1">
      <c r="A401" s="11" t="s">
        <v>764</v>
      </c>
      <c r="B401" s="11">
        <v>2020.0</v>
      </c>
      <c r="C401" s="12" t="str">
        <f>VLOOKUP(A401, Regions!A:B, 2, FALSE)
</f>
        <v>Europe &amp; Central Asia</v>
      </c>
      <c r="D401" s="13" t="str">
        <f t="shared" si="1"/>
        <v/>
      </c>
      <c r="E401" s="14" t="str">
        <f t="shared" si="2"/>
        <v/>
      </c>
      <c r="F401" s="11" t="s">
        <v>766</v>
      </c>
      <c r="G401" s="11">
        <v>87.97699738</v>
      </c>
      <c r="H401" s="11">
        <v>99.82686763</v>
      </c>
      <c r="I401" s="15">
        <f t="shared" si="3"/>
        <v>100</v>
      </c>
      <c r="J401" s="16" t="str">
        <f t="shared" si="4"/>
        <v/>
      </c>
      <c r="K401" s="16" t="str">
        <f t="shared" si="5"/>
        <v/>
      </c>
      <c r="L401" s="16" t="str">
        <f t="shared" si="6"/>
        <v/>
      </c>
      <c r="M401" s="16" t="str">
        <f t="shared" si="7"/>
        <v>ARC&gt;0</v>
      </c>
      <c r="N401" s="13" t="str">
        <f t="shared" si="8"/>
        <v/>
      </c>
      <c r="O401" s="11">
        <v>0.0</v>
      </c>
      <c r="P401" s="11">
        <v>0.1731323735</v>
      </c>
      <c r="Q401" s="11">
        <v>0.0</v>
      </c>
      <c r="R401" s="11">
        <v>99.71937474</v>
      </c>
      <c r="S401" s="15">
        <f t="shared" si="9"/>
        <v>100</v>
      </c>
      <c r="T401" s="17" t="str">
        <f t="shared" si="10"/>
        <v/>
      </c>
      <c r="U401" s="17" t="str">
        <f t="shared" si="11"/>
        <v/>
      </c>
      <c r="V401" s="17" t="str">
        <f t="shared" si="12"/>
        <v/>
      </c>
      <c r="W401" s="17" t="str">
        <f t="shared" si="13"/>
        <v>ARC&gt;0</v>
      </c>
      <c r="X401" s="13" t="str">
        <f t="shared" si="14"/>
        <v/>
      </c>
      <c r="Y401" s="11">
        <v>0.0</v>
      </c>
      <c r="Z401" s="11">
        <v>0.2806252626</v>
      </c>
      <c r="AA401" s="11">
        <v>0.0</v>
      </c>
      <c r="AB401" s="11">
        <v>99.84155768</v>
      </c>
      <c r="AC401" s="15">
        <f t="shared" si="15"/>
        <v>100</v>
      </c>
      <c r="AD401" s="16" t="str">
        <f t="shared" si="16"/>
        <v/>
      </c>
      <c r="AE401" s="16" t="str">
        <f t="shared" si="17"/>
        <v/>
      </c>
      <c r="AF401" s="16" t="str">
        <f t="shared" si="18"/>
        <v/>
      </c>
      <c r="AG401" s="16" t="str">
        <f t="shared" si="19"/>
        <v>ARC&gt;0</v>
      </c>
      <c r="AH401" s="13" t="str">
        <f t="shared" si="20"/>
        <v/>
      </c>
      <c r="AI401" s="11">
        <v>0.0</v>
      </c>
      <c r="AJ401" s="11">
        <v>0.1584423157</v>
      </c>
      <c r="AK401" s="11" t="s">
        <v>43</v>
      </c>
      <c r="AL401" s="18" t="str">
        <f t="shared" si="21"/>
        <v/>
      </c>
    </row>
    <row r="402" ht="15.75" customHeight="1">
      <c r="A402" s="11" t="s">
        <v>767</v>
      </c>
      <c r="B402" s="11">
        <v>2015.0</v>
      </c>
      <c r="C402" s="12" t="str">
        <f>VLOOKUP(A402, Regions!A:B, 2, FALSE)
</f>
        <v>Europe &amp; Central Asia</v>
      </c>
      <c r="D402" s="13">
        <f t="shared" si="1"/>
        <v>5</v>
      </c>
      <c r="E402" s="14">
        <f t="shared" si="2"/>
        <v>2017.5</v>
      </c>
      <c r="F402" s="11" t="s">
        <v>768</v>
      </c>
      <c r="G402" s="11">
        <v>73.71800232</v>
      </c>
      <c r="H402" s="11">
        <v>100.0</v>
      </c>
      <c r="I402" s="15">
        <f t="shared" si="3"/>
        <v>100</v>
      </c>
      <c r="J402" s="16" t="str">
        <f t="shared" si="4"/>
        <v>full access</v>
      </c>
      <c r="K402" s="16" t="str">
        <f t="shared" si="5"/>
        <v/>
      </c>
      <c r="L402" s="16" t="str">
        <f t="shared" si="6"/>
        <v/>
      </c>
      <c r="M402" s="16" t="str">
        <f t="shared" si="7"/>
        <v/>
      </c>
      <c r="N402" s="13">
        <f t="shared" si="8"/>
        <v>0.0000005600000009</v>
      </c>
      <c r="O402" s="11">
        <v>0.0</v>
      </c>
      <c r="P402" s="11">
        <v>0.0</v>
      </c>
      <c r="Q402" s="11">
        <v>0.0</v>
      </c>
      <c r="R402" s="11">
        <v>100.0</v>
      </c>
      <c r="S402" s="15">
        <f t="shared" si="9"/>
        <v>100</v>
      </c>
      <c r="T402" s="17" t="str">
        <f t="shared" si="10"/>
        <v>full access</v>
      </c>
      <c r="U402" s="17" t="str">
        <f t="shared" si="11"/>
        <v/>
      </c>
      <c r="V402" s="17" t="str">
        <f t="shared" si="12"/>
        <v/>
      </c>
      <c r="W402" s="17" t="str">
        <f t="shared" si="13"/>
        <v>ARC&gt;0</v>
      </c>
      <c r="X402" s="13">
        <f t="shared" si="14"/>
        <v>0</v>
      </c>
      <c r="Y402" s="11">
        <v>0.0</v>
      </c>
      <c r="Z402" s="11">
        <v>0.0</v>
      </c>
      <c r="AA402" s="11">
        <v>0.0</v>
      </c>
      <c r="AB402" s="11">
        <v>100.0</v>
      </c>
      <c r="AC402" s="15">
        <f t="shared" si="15"/>
        <v>100</v>
      </c>
      <c r="AD402" s="16" t="str">
        <f t="shared" si="16"/>
        <v>full access</v>
      </c>
      <c r="AE402" s="16" t="str">
        <f t="shared" si="17"/>
        <v/>
      </c>
      <c r="AF402" s="16" t="str">
        <f t="shared" si="18"/>
        <v/>
      </c>
      <c r="AG402" s="16" t="str">
        <f t="shared" si="19"/>
        <v>ARC&gt;0</v>
      </c>
      <c r="AH402" s="13">
        <f t="shared" si="20"/>
        <v>0</v>
      </c>
      <c r="AI402" s="11">
        <v>0.0</v>
      </c>
      <c r="AJ402" s="11">
        <v>0.0</v>
      </c>
      <c r="AK402" s="11" t="s">
        <v>43</v>
      </c>
      <c r="AL402" s="18">
        <f t="shared" si="21"/>
        <v>0</v>
      </c>
    </row>
    <row r="403" ht="15.75" customHeight="1">
      <c r="A403" s="11" t="s">
        <v>767</v>
      </c>
      <c r="B403" s="11">
        <v>2020.0</v>
      </c>
      <c r="C403" s="12" t="str">
        <f>VLOOKUP(A403, Regions!A:B, 2, FALSE)
</f>
        <v>Europe &amp; Central Asia</v>
      </c>
      <c r="D403" s="13" t="str">
        <f t="shared" si="1"/>
        <v/>
      </c>
      <c r="E403" s="14" t="str">
        <f t="shared" si="2"/>
        <v/>
      </c>
      <c r="F403" s="11" t="s">
        <v>769</v>
      </c>
      <c r="G403" s="11">
        <v>73.91500092</v>
      </c>
      <c r="H403" s="11">
        <v>100.0000028</v>
      </c>
      <c r="I403" s="15">
        <f t="shared" si="3"/>
        <v>100</v>
      </c>
      <c r="J403" s="16" t="str">
        <f t="shared" si="4"/>
        <v/>
      </c>
      <c r="K403" s="16" t="str">
        <f t="shared" si="5"/>
        <v/>
      </c>
      <c r="L403" s="16" t="str">
        <f t="shared" si="6"/>
        <v/>
      </c>
      <c r="M403" s="16" t="str">
        <f t="shared" si="7"/>
        <v>ARC&gt;0</v>
      </c>
      <c r="N403" s="13" t="str">
        <f t="shared" si="8"/>
        <v/>
      </c>
      <c r="O403" s="11">
        <v>0.0</v>
      </c>
      <c r="P403" s="11">
        <v>0.0</v>
      </c>
      <c r="Q403" s="11">
        <v>0.0</v>
      </c>
      <c r="R403" s="11">
        <v>100.0</v>
      </c>
      <c r="S403" s="15">
        <f t="shared" si="9"/>
        <v>100</v>
      </c>
      <c r="T403" s="17" t="str">
        <f t="shared" si="10"/>
        <v/>
      </c>
      <c r="U403" s="17" t="str">
        <f t="shared" si="11"/>
        <v/>
      </c>
      <c r="V403" s="17" t="str">
        <f t="shared" si="12"/>
        <v/>
      </c>
      <c r="W403" s="17" t="str">
        <f t="shared" si="13"/>
        <v>ARC&gt;0</v>
      </c>
      <c r="X403" s="13" t="str">
        <f t="shared" si="14"/>
        <v/>
      </c>
      <c r="Y403" s="11">
        <v>0.0</v>
      </c>
      <c r="Z403" s="11">
        <v>0.0</v>
      </c>
      <c r="AA403" s="11">
        <v>0.0</v>
      </c>
      <c r="AB403" s="11">
        <v>100.0</v>
      </c>
      <c r="AC403" s="15">
        <f t="shared" si="15"/>
        <v>100</v>
      </c>
      <c r="AD403" s="16" t="str">
        <f t="shared" si="16"/>
        <v/>
      </c>
      <c r="AE403" s="16" t="str">
        <f t="shared" si="17"/>
        <v/>
      </c>
      <c r="AF403" s="16" t="str">
        <f t="shared" si="18"/>
        <v/>
      </c>
      <c r="AG403" s="16" t="str">
        <f t="shared" si="19"/>
        <v>ARC&gt;0</v>
      </c>
      <c r="AH403" s="13" t="str">
        <f t="shared" si="20"/>
        <v/>
      </c>
      <c r="AI403" s="11">
        <v>0.0</v>
      </c>
      <c r="AJ403" s="11">
        <v>0.0</v>
      </c>
      <c r="AK403" s="11" t="s">
        <v>43</v>
      </c>
      <c r="AL403" s="18" t="str">
        <f t="shared" si="21"/>
        <v/>
      </c>
    </row>
    <row r="404" ht="15.75" customHeight="1">
      <c r="A404" s="11" t="s">
        <v>770</v>
      </c>
      <c r="B404" s="11">
        <v>2015.0</v>
      </c>
      <c r="C404" s="12" t="str">
        <f>VLOOKUP(A404, Regions!A:B, 2, FALSE)
</f>
        <v>Middle East &amp; North Africa</v>
      </c>
      <c r="D404" s="13">
        <f t="shared" si="1"/>
        <v>5</v>
      </c>
      <c r="E404" s="14">
        <f t="shared" si="2"/>
        <v>2017.5</v>
      </c>
      <c r="F404" s="11" t="s">
        <v>771</v>
      </c>
      <c r="G404" s="11">
        <v>52.16799927</v>
      </c>
      <c r="H404" s="11">
        <v>93.50961148</v>
      </c>
      <c r="I404" s="15">
        <f t="shared" si="3"/>
        <v>94</v>
      </c>
      <c r="J404" s="16" t="str">
        <f t="shared" si="4"/>
        <v/>
      </c>
      <c r="K404" s="16" t="str">
        <f t="shared" si="5"/>
        <v/>
      </c>
      <c r="L404" s="16" t="str">
        <f t="shared" si="6"/>
        <v/>
      </c>
      <c r="M404" s="16" t="str">
        <f t="shared" si="7"/>
        <v>ARC&gt;0</v>
      </c>
      <c r="N404" s="13">
        <f t="shared" si="8"/>
        <v>0.08324914</v>
      </c>
      <c r="O404" s="11">
        <v>5.968083628</v>
      </c>
      <c r="P404" s="11">
        <v>0.5223048883</v>
      </c>
      <c r="Q404" s="11">
        <v>0.0</v>
      </c>
      <c r="R404" s="11">
        <v>91.3857051</v>
      </c>
      <c r="S404" s="15">
        <f t="shared" si="9"/>
        <v>91</v>
      </c>
      <c r="T404" s="17" t="str">
        <f t="shared" si="10"/>
        <v/>
      </c>
      <c r="U404" s="17" t="str">
        <f t="shared" si="11"/>
        <v/>
      </c>
      <c r="V404" s="17" t="str">
        <f t="shared" si="12"/>
        <v/>
      </c>
      <c r="W404" s="17" t="str">
        <f t="shared" si="13"/>
        <v>ARC&gt;0</v>
      </c>
      <c r="X404" s="13">
        <f t="shared" si="14"/>
        <v>0.13940798</v>
      </c>
      <c r="Y404" s="11">
        <v>7.857323656</v>
      </c>
      <c r="Z404" s="11">
        <v>0.7569712439</v>
      </c>
      <c r="AA404" s="11">
        <v>0.0</v>
      </c>
      <c r="AB404" s="11">
        <v>95.45698719</v>
      </c>
      <c r="AC404" s="15">
        <f t="shared" si="15"/>
        <v>95</v>
      </c>
      <c r="AD404" s="16" t="str">
        <f t="shared" si="16"/>
        <v/>
      </c>
      <c r="AE404" s="16" t="str">
        <f t="shared" si="17"/>
        <v/>
      </c>
      <c r="AF404" s="16" t="str">
        <f t="shared" si="18"/>
        <v/>
      </c>
      <c r="AG404" s="16" t="str">
        <f t="shared" si="19"/>
        <v>ARC&gt;0</v>
      </c>
      <c r="AH404" s="13">
        <f t="shared" si="20"/>
        <v>-0.010364566</v>
      </c>
      <c r="AI404" s="11">
        <v>4.235869737</v>
      </c>
      <c r="AJ404" s="11">
        <v>0.3071430695</v>
      </c>
      <c r="AK404" s="11" t="s">
        <v>43</v>
      </c>
      <c r="AL404" s="18">
        <f t="shared" si="21"/>
        <v>0.149772546</v>
      </c>
    </row>
    <row r="405" ht="15.75" customHeight="1">
      <c r="A405" s="11" t="s">
        <v>770</v>
      </c>
      <c r="B405" s="11">
        <v>2020.0</v>
      </c>
      <c r="C405" s="12" t="str">
        <f>VLOOKUP(A405, Regions!A:B, 2, FALSE)
</f>
        <v>Middle East &amp; North Africa</v>
      </c>
      <c r="D405" s="13" t="str">
        <f t="shared" si="1"/>
        <v/>
      </c>
      <c r="E405" s="14" t="str">
        <f t="shared" si="2"/>
        <v/>
      </c>
      <c r="F405" s="11" t="s">
        <v>772</v>
      </c>
      <c r="G405" s="11">
        <v>55.47500229</v>
      </c>
      <c r="H405" s="11">
        <v>93.92585718</v>
      </c>
      <c r="I405" s="15">
        <f t="shared" si="3"/>
        <v>94</v>
      </c>
      <c r="J405" s="16" t="str">
        <f t="shared" si="4"/>
        <v/>
      </c>
      <c r="K405" s="16" t="str">
        <f t="shared" si="5"/>
        <v/>
      </c>
      <c r="L405" s="16" t="str">
        <f t="shared" si="6"/>
        <v/>
      </c>
      <c r="M405" s="16" t="str">
        <f t="shared" si="7"/>
        <v>ARC&gt;0</v>
      </c>
      <c r="N405" s="13" t="str">
        <f t="shared" si="8"/>
        <v/>
      </c>
      <c r="O405" s="11">
        <v>5.873730768</v>
      </c>
      <c r="P405" s="11">
        <v>0.2004120542</v>
      </c>
      <c r="Q405" s="11">
        <v>0.0</v>
      </c>
      <c r="R405" s="11">
        <v>92.082745</v>
      </c>
      <c r="S405" s="15">
        <f t="shared" si="9"/>
        <v>92</v>
      </c>
      <c r="T405" s="17" t="str">
        <f t="shared" si="10"/>
        <v/>
      </c>
      <c r="U405" s="17" t="str">
        <f t="shared" si="11"/>
        <v/>
      </c>
      <c r="V405" s="17" t="str">
        <f t="shared" si="12"/>
        <v/>
      </c>
      <c r="W405" s="17" t="str">
        <f t="shared" si="13"/>
        <v>ARC&gt;0</v>
      </c>
      <c r="X405" s="13" t="str">
        <f t="shared" si="14"/>
        <v/>
      </c>
      <c r="Y405" s="11">
        <v>7.917255</v>
      </c>
      <c r="Z405" s="11">
        <v>0.0</v>
      </c>
      <c r="AA405" s="11">
        <v>0.0</v>
      </c>
      <c r="AB405" s="11">
        <v>95.40516436</v>
      </c>
      <c r="AC405" s="15">
        <f t="shared" si="15"/>
        <v>95</v>
      </c>
      <c r="AD405" s="16" t="str">
        <f t="shared" si="16"/>
        <v/>
      </c>
      <c r="AE405" s="16" t="str">
        <f t="shared" si="17"/>
        <v/>
      </c>
      <c r="AF405" s="16" t="str">
        <f t="shared" si="18"/>
        <v/>
      </c>
      <c r="AG405" s="16" t="str">
        <f t="shared" si="19"/>
        <v>ARC&gt;0</v>
      </c>
      <c r="AH405" s="13" t="str">
        <f t="shared" si="20"/>
        <v/>
      </c>
      <c r="AI405" s="11">
        <v>4.233570117</v>
      </c>
      <c r="AJ405" s="11">
        <v>0.361265525</v>
      </c>
      <c r="AK405" s="11" t="s">
        <v>43</v>
      </c>
      <c r="AL405" s="18" t="str">
        <f t="shared" si="21"/>
        <v/>
      </c>
    </row>
    <row r="406" ht="15.75" customHeight="1">
      <c r="A406" s="11" t="s">
        <v>773</v>
      </c>
      <c r="B406" s="11">
        <v>2015.0</v>
      </c>
      <c r="C406" s="12" t="str">
        <f>VLOOKUP(A406, Regions!A:B, 2, FALSE)
</f>
        <v>Europe &amp; Central Asia</v>
      </c>
      <c r="D406" s="13">
        <f t="shared" si="1"/>
        <v>5</v>
      </c>
      <c r="E406" s="14">
        <f t="shared" si="2"/>
        <v>2017.5</v>
      </c>
      <c r="F406" s="11" t="s">
        <v>774</v>
      </c>
      <c r="G406" s="11">
        <v>26.74200058</v>
      </c>
      <c r="H406" s="11">
        <v>76.23949551</v>
      </c>
      <c r="I406" s="15">
        <f t="shared" si="3"/>
        <v>76</v>
      </c>
      <c r="J406" s="16" t="str">
        <f t="shared" si="4"/>
        <v/>
      </c>
      <c r="K406" s="16" t="str">
        <f t="shared" si="5"/>
        <v/>
      </c>
      <c r="L406" s="16" t="str">
        <f t="shared" si="6"/>
        <v/>
      </c>
      <c r="M406" s="16" t="str">
        <f t="shared" si="7"/>
        <v>ARC&gt;0</v>
      </c>
      <c r="N406" s="13">
        <f t="shared" si="8"/>
        <v>1.122583902</v>
      </c>
      <c r="O406" s="11">
        <v>3.050011091</v>
      </c>
      <c r="P406" s="11">
        <v>3.944733748</v>
      </c>
      <c r="Q406" s="11">
        <v>16.76575965</v>
      </c>
      <c r="R406" s="11">
        <v>69.55218206</v>
      </c>
      <c r="S406" s="15">
        <f t="shared" si="9"/>
        <v>70</v>
      </c>
      <c r="T406" s="17" t="str">
        <f t="shared" si="10"/>
        <v/>
      </c>
      <c r="U406" s="17" t="str">
        <f t="shared" si="11"/>
        <v/>
      </c>
      <c r="V406" s="17" t="str">
        <f t="shared" si="12"/>
        <v/>
      </c>
      <c r="W406" s="17" t="str">
        <f t="shared" si="13"/>
        <v>ARC&gt;0</v>
      </c>
      <c r="X406" s="13">
        <f t="shared" si="14"/>
        <v>1.418283428</v>
      </c>
      <c r="Y406" s="11">
        <v>3.681021887</v>
      </c>
      <c r="Z406" s="11">
        <v>4.857485512</v>
      </c>
      <c r="AA406" s="11">
        <v>21.90931054</v>
      </c>
      <c r="AB406" s="11">
        <v>94.55895539</v>
      </c>
      <c r="AC406" s="15">
        <f t="shared" si="15"/>
        <v>95</v>
      </c>
      <c r="AD406" s="16" t="str">
        <f t="shared" si="16"/>
        <v/>
      </c>
      <c r="AE406" s="16" t="str">
        <f t="shared" si="17"/>
        <v/>
      </c>
      <c r="AF406" s="16" t="str">
        <f t="shared" si="18"/>
        <v/>
      </c>
      <c r="AG406" s="16" t="str">
        <f t="shared" si="19"/>
        <v>ARC&gt;0</v>
      </c>
      <c r="AH406" s="13">
        <f t="shared" si="20"/>
        <v>0.204333694</v>
      </c>
      <c r="AI406" s="11">
        <v>1.321396987</v>
      </c>
      <c r="AJ406" s="11">
        <v>1.444318955</v>
      </c>
      <c r="AK406" s="11" t="s">
        <v>775</v>
      </c>
      <c r="AL406" s="18">
        <f t="shared" si="21"/>
        <v>1.213949734</v>
      </c>
    </row>
    <row r="407" ht="15.75" customHeight="1">
      <c r="A407" s="11" t="s">
        <v>773</v>
      </c>
      <c r="B407" s="11">
        <v>2020.0</v>
      </c>
      <c r="C407" s="12" t="str">
        <f>VLOOKUP(A407, Regions!A:B, 2, FALSE)
</f>
        <v>Europe &amp; Central Asia</v>
      </c>
      <c r="D407" s="13" t="str">
        <f t="shared" si="1"/>
        <v/>
      </c>
      <c r="E407" s="14" t="str">
        <f t="shared" si="2"/>
        <v/>
      </c>
      <c r="F407" s="11" t="s">
        <v>776</v>
      </c>
      <c r="G407" s="11">
        <v>27.50599861</v>
      </c>
      <c r="H407" s="11">
        <v>81.85241502</v>
      </c>
      <c r="I407" s="15">
        <f t="shared" si="3"/>
        <v>82</v>
      </c>
      <c r="J407" s="16" t="str">
        <f t="shared" si="4"/>
        <v/>
      </c>
      <c r="K407" s="16" t="str">
        <f t="shared" si="5"/>
        <v/>
      </c>
      <c r="L407" s="16" t="str">
        <f t="shared" si="6"/>
        <v/>
      </c>
      <c r="M407" s="16" t="str">
        <f t="shared" si="7"/>
        <v>ARC&gt;0</v>
      </c>
      <c r="N407" s="13" t="str">
        <f t="shared" si="8"/>
        <v/>
      </c>
      <c r="O407" s="11">
        <v>2.568363935</v>
      </c>
      <c r="P407" s="11">
        <v>3.421857005</v>
      </c>
      <c r="Q407" s="11">
        <v>12.15736404</v>
      </c>
      <c r="R407" s="11">
        <v>76.6435992</v>
      </c>
      <c r="S407" s="15">
        <f t="shared" si="9"/>
        <v>77</v>
      </c>
      <c r="T407" s="17" t="str">
        <f t="shared" si="10"/>
        <v/>
      </c>
      <c r="U407" s="17" t="str">
        <f t="shared" si="11"/>
        <v/>
      </c>
      <c r="V407" s="17" t="str">
        <f t="shared" si="12"/>
        <v/>
      </c>
      <c r="W407" s="17" t="str">
        <f t="shared" si="13"/>
        <v>ARC&gt;0</v>
      </c>
      <c r="X407" s="13" t="str">
        <f t="shared" si="14"/>
        <v/>
      </c>
      <c r="Y407" s="11">
        <v>3.207143928</v>
      </c>
      <c r="Z407" s="11">
        <v>4.140706948</v>
      </c>
      <c r="AA407" s="11">
        <v>16.00854992</v>
      </c>
      <c r="AB407" s="11">
        <v>95.58062386</v>
      </c>
      <c r="AC407" s="15">
        <f t="shared" si="15"/>
        <v>96</v>
      </c>
      <c r="AD407" s="16" t="str">
        <f t="shared" si="16"/>
        <v/>
      </c>
      <c r="AE407" s="16" t="str">
        <f t="shared" si="17"/>
        <v/>
      </c>
      <c r="AF407" s="16" t="str">
        <f t="shared" si="18"/>
        <v/>
      </c>
      <c r="AG407" s="16" t="str">
        <f t="shared" si="19"/>
        <v>ARC&gt;0</v>
      </c>
      <c r="AH407" s="13" t="str">
        <f t="shared" si="20"/>
        <v/>
      </c>
      <c r="AI407" s="11">
        <v>0.8848144763</v>
      </c>
      <c r="AJ407" s="11">
        <v>1.527268323</v>
      </c>
      <c r="AK407" s="11" t="s">
        <v>777</v>
      </c>
      <c r="AL407" s="18" t="str">
        <f t="shared" si="21"/>
        <v/>
      </c>
    </row>
    <row r="408" ht="15.75" customHeight="1">
      <c r="A408" s="11" t="s">
        <v>778</v>
      </c>
      <c r="B408" s="11">
        <v>2015.0</v>
      </c>
      <c r="C408" s="12" t="str">
        <f>VLOOKUP(A408, Regions!A:B, 2, FALSE)
</f>
        <v>East Asia &amp; Pacific</v>
      </c>
      <c r="D408" s="13">
        <f t="shared" si="1"/>
        <v>5</v>
      </c>
      <c r="E408" s="14">
        <f t="shared" si="2"/>
        <v>2017.5</v>
      </c>
      <c r="F408" s="11" t="s">
        <v>779</v>
      </c>
      <c r="G408" s="11">
        <v>47.69400406</v>
      </c>
      <c r="H408" s="11">
        <v>99.25917058</v>
      </c>
      <c r="I408" s="15">
        <f t="shared" si="3"/>
        <v>99</v>
      </c>
      <c r="J408" s="16" t="str">
        <f t="shared" si="4"/>
        <v/>
      </c>
      <c r="K408" s="16" t="str">
        <f t="shared" si="5"/>
        <v/>
      </c>
      <c r="L408" s="16" t="str">
        <f t="shared" si="6"/>
        <v/>
      </c>
      <c r="M408" s="16" t="str">
        <f t="shared" si="7"/>
        <v>ARC&gt;0</v>
      </c>
      <c r="N408" s="13">
        <f t="shared" si="8"/>
        <v>0.148165884</v>
      </c>
      <c r="O408" s="11">
        <v>0.2176525852</v>
      </c>
      <c r="P408" s="11">
        <v>0.1822513237</v>
      </c>
      <c r="Q408" s="11">
        <v>0.3409255143</v>
      </c>
      <c r="R408" s="11">
        <v>98.87951671</v>
      </c>
      <c r="S408" s="15">
        <f t="shared" si="9"/>
        <v>99</v>
      </c>
      <c r="T408" s="17" t="str">
        <f t="shared" si="10"/>
        <v/>
      </c>
      <c r="U408" s="17" t="str">
        <f t="shared" si="11"/>
        <v/>
      </c>
      <c r="V408" s="17" t="str">
        <f t="shared" si="12"/>
        <v/>
      </c>
      <c r="W408" s="17" t="str">
        <f t="shared" si="13"/>
        <v>ARC&gt;0</v>
      </c>
      <c r="X408" s="13">
        <f t="shared" si="14"/>
        <v>0.224096658</v>
      </c>
      <c r="Y408" s="11">
        <v>0.2456716052</v>
      </c>
      <c r="Z408" s="11">
        <v>0.2230211905</v>
      </c>
      <c r="AA408" s="11">
        <v>0.65179049</v>
      </c>
      <c r="AB408" s="11">
        <v>99.67553684</v>
      </c>
      <c r="AC408" s="15">
        <f t="shared" si="15"/>
        <v>100</v>
      </c>
      <c r="AD408" s="16" t="str">
        <f t="shared" si="16"/>
        <v>full access</v>
      </c>
      <c r="AE408" s="16" t="str">
        <f t="shared" si="17"/>
        <v/>
      </c>
      <c r="AF408" s="16" t="str">
        <f t="shared" si="18"/>
        <v/>
      </c>
      <c r="AG408" s="16" t="str">
        <f t="shared" si="19"/>
        <v>ARC&gt;0</v>
      </c>
      <c r="AH408" s="13">
        <f t="shared" si="20"/>
        <v>0.064892632</v>
      </c>
      <c r="AI408" s="11">
        <v>0.1869241354</v>
      </c>
      <c r="AJ408" s="11">
        <v>0.1375390245</v>
      </c>
      <c r="AK408" s="11" t="s">
        <v>43</v>
      </c>
      <c r="AL408" s="18">
        <f t="shared" si="21"/>
        <v>0.159204026</v>
      </c>
    </row>
    <row r="409" ht="15.75" customHeight="1">
      <c r="A409" s="11" t="s">
        <v>778</v>
      </c>
      <c r="B409" s="11">
        <v>2020.0</v>
      </c>
      <c r="C409" s="12" t="str">
        <f>VLOOKUP(A409, Regions!A:B, 2, FALSE)
</f>
        <v>East Asia &amp; Pacific</v>
      </c>
      <c r="D409" s="13" t="str">
        <f t="shared" si="1"/>
        <v/>
      </c>
      <c r="E409" s="14" t="str">
        <f t="shared" si="2"/>
        <v/>
      </c>
      <c r="F409" s="11" t="s">
        <v>780</v>
      </c>
      <c r="G409" s="11">
        <v>51.43000031</v>
      </c>
      <c r="H409" s="11">
        <v>100.0</v>
      </c>
      <c r="I409" s="15">
        <f t="shared" si="3"/>
        <v>100</v>
      </c>
      <c r="J409" s="16" t="str">
        <f t="shared" si="4"/>
        <v/>
      </c>
      <c r="K409" s="16" t="str">
        <f t="shared" si="5"/>
        <v/>
      </c>
      <c r="L409" s="16" t="str">
        <f t="shared" si="6"/>
        <v/>
      </c>
      <c r="M409" s="16" t="str">
        <f t="shared" si="7"/>
        <v>ARC&gt;0</v>
      </c>
      <c r="N409" s="13" t="str">
        <f t="shared" si="8"/>
        <v/>
      </c>
      <c r="O409" s="11">
        <v>0.0</v>
      </c>
      <c r="P409" s="11">
        <v>0.0</v>
      </c>
      <c r="Q409" s="11">
        <v>0.0</v>
      </c>
      <c r="R409" s="11">
        <v>100.0</v>
      </c>
      <c r="S409" s="15">
        <f t="shared" si="9"/>
        <v>100</v>
      </c>
      <c r="T409" s="17" t="str">
        <f t="shared" si="10"/>
        <v/>
      </c>
      <c r="U409" s="17" t="str">
        <f t="shared" si="11"/>
        <v/>
      </c>
      <c r="V409" s="17" t="str">
        <f t="shared" si="12"/>
        <v/>
      </c>
      <c r="W409" s="17" t="str">
        <f t="shared" si="13"/>
        <v>ARC&gt;0</v>
      </c>
      <c r="X409" s="13" t="str">
        <f t="shared" si="14"/>
        <v/>
      </c>
      <c r="Y409" s="11">
        <v>0.0</v>
      </c>
      <c r="Z409" s="11">
        <v>0.0</v>
      </c>
      <c r="AA409" s="11">
        <v>0.0</v>
      </c>
      <c r="AB409" s="11">
        <v>100.0</v>
      </c>
      <c r="AC409" s="15">
        <f t="shared" si="15"/>
        <v>100</v>
      </c>
      <c r="AD409" s="16" t="str">
        <f t="shared" si="16"/>
        <v/>
      </c>
      <c r="AE409" s="16" t="str">
        <f t="shared" si="17"/>
        <v/>
      </c>
      <c r="AF409" s="16" t="str">
        <f t="shared" si="18"/>
        <v/>
      </c>
      <c r="AG409" s="16" t="str">
        <f t="shared" si="19"/>
        <v>ARC&gt;0</v>
      </c>
      <c r="AH409" s="13" t="str">
        <f t="shared" si="20"/>
        <v/>
      </c>
      <c r="AI409" s="11">
        <v>0.0</v>
      </c>
      <c r="AJ409" s="11">
        <v>0.0</v>
      </c>
      <c r="AK409" s="11" t="s">
        <v>43</v>
      </c>
      <c r="AL409" s="18" t="str">
        <f t="shared" si="21"/>
        <v/>
      </c>
    </row>
    <row r="410" ht="15.75" customHeight="1">
      <c r="A410" s="11" t="s">
        <v>781</v>
      </c>
      <c r="B410" s="11">
        <v>2015.0</v>
      </c>
      <c r="C410" s="12" t="str">
        <f>VLOOKUP(A410, Regions!A:B, 2, FALSE)
</f>
        <v>East Asia &amp; Pacific</v>
      </c>
      <c r="D410" s="13">
        <f t="shared" si="1"/>
        <v>5</v>
      </c>
      <c r="E410" s="14">
        <f t="shared" si="2"/>
        <v>2017.5</v>
      </c>
      <c r="F410" s="11" t="s">
        <v>782</v>
      </c>
      <c r="G410" s="11">
        <v>29.48999977</v>
      </c>
      <c r="H410" s="11">
        <v>75.25010371</v>
      </c>
      <c r="I410" s="15">
        <f t="shared" si="3"/>
        <v>75</v>
      </c>
      <c r="J410" s="16" t="str">
        <f t="shared" si="4"/>
        <v/>
      </c>
      <c r="K410" s="16" t="str">
        <f t="shared" si="5"/>
        <v/>
      </c>
      <c r="L410" s="16" t="str">
        <f t="shared" si="6"/>
        <v/>
      </c>
      <c r="M410" s="16" t="str">
        <f t="shared" si="7"/>
        <v>ARC&gt;0</v>
      </c>
      <c r="N410" s="13">
        <f t="shared" si="8"/>
        <v>2.049099498</v>
      </c>
      <c r="O410" s="11">
        <v>3.486316247</v>
      </c>
      <c r="P410" s="11">
        <v>16.46074672</v>
      </c>
      <c r="Q410" s="11">
        <v>4.802833323</v>
      </c>
      <c r="R410" s="11">
        <v>68.95938975</v>
      </c>
      <c r="S410" s="15">
        <f t="shared" si="9"/>
        <v>69</v>
      </c>
      <c r="T410" s="17" t="str">
        <f t="shared" si="10"/>
        <v/>
      </c>
      <c r="U410" s="17" t="str">
        <f t="shared" si="11"/>
        <v/>
      </c>
      <c r="V410" s="17" t="str">
        <f t="shared" si="12"/>
        <v/>
      </c>
      <c r="W410" s="17" t="str">
        <f t="shared" si="13"/>
        <v>ARC&gt;0</v>
      </c>
      <c r="X410" s="13">
        <f t="shared" si="14"/>
        <v>2.305681174</v>
      </c>
      <c r="Y410" s="11">
        <v>4.20850771</v>
      </c>
      <c r="Z410" s="11">
        <v>20.19524109</v>
      </c>
      <c r="AA410" s="11">
        <v>6.63686145</v>
      </c>
      <c r="AB410" s="11">
        <v>90.29108123</v>
      </c>
      <c r="AC410" s="15">
        <f t="shared" si="15"/>
        <v>90</v>
      </c>
      <c r="AD410" s="16" t="str">
        <f t="shared" si="16"/>
        <v/>
      </c>
      <c r="AE410" s="16" t="str">
        <f t="shared" si="17"/>
        <v/>
      </c>
      <c r="AF410" s="16" t="str">
        <f t="shared" si="18"/>
        <v/>
      </c>
      <c r="AG410" s="16" t="str">
        <f t="shared" si="19"/>
        <v>ARC&gt;0</v>
      </c>
      <c r="AH410" s="13">
        <f t="shared" si="20"/>
        <v>1.237175338</v>
      </c>
      <c r="AI410" s="11">
        <v>1.759571234</v>
      </c>
      <c r="AJ410" s="11">
        <v>7.5316383</v>
      </c>
      <c r="AK410" s="11" t="s">
        <v>783</v>
      </c>
      <c r="AL410" s="18">
        <f t="shared" si="21"/>
        <v>1.068505836</v>
      </c>
    </row>
    <row r="411" ht="15.75" customHeight="1">
      <c r="A411" s="11" t="s">
        <v>781</v>
      </c>
      <c r="B411" s="11">
        <v>2020.0</v>
      </c>
      <c r="C411" s="12" t="str">
        <f>VLOOKUP(A411, Regions!A:B, 2, FALSE)
</f>
        <v>East Asia &amp; Pacific</v>
      </c>
      <c r="D411" s="13" t="str">
        <f t="shared" si="1"/>
        <v/>
      </c>
      <c r="E411" s="14" t="str">
        <f t="shared" si="2"/>
        <v/>
      </c>
      <c r="F411" s="11" t="s">
        <v>784</v>
      </c>
      <c r="G411" s="11">
        <v>31.31999969</v>
      </c>
      <c r="H411" s="11">
        <v>85.4956012</v>
      </c>
      <c r="I411" s="15">
        <f t="shared" si="3"/>
        <v>85</v>
      </c>
      <c r="J411" s="16" t="str">
        <f t="shared" si="4"/>
        <v/>
      </c>
      <c r="K411" s="16" t="str">
        <f t="shared" si="5"/>
        <v/>
      </c>
      <c r="L411" s="16" t="str">
        <f t="shared" si="6"/>
        <v/>
      </c>
      <c r="M411" s="16" t="str">
        <f t="shared" si="7"/>
        <v>ARC&gt;0</v>
      </c>
      <c r="N411" s="13" t="str">
        <f t="shared" si="8"/>
        <v/>
      </c>
      <c r="O411" s="11">
        <v>1.88586597</v>
      </c>
      <c r="P411" s="11">
        <v>8.360029397</v>
      </c>
      <c r="Q411" s="11">
        <v>4.258503433</v>
      </c>
      <c r="R411" s="11">
        <v>80.48779562</v>
      </c>
      <c r="S411" s="15">
        <f t="shared" si="9"/>
        <v>80</v>
      </c>
      <c r="T411" s="17" t="str">
        <f t="shared" si="10"/>
        <v/>
      </c>
      <c r="U411" s="17" t="str">
        <f t="shared" si="11"/>
        <v/>
      </c>
      <c r="V411" s="17" t="str">
        <f t="shared" si="12"/>
        <v/>
      </c>
      <c r="W411" s="17" t="str">
        <f t="shared" si="13"/>
        <v>ARC&gt;0</v>
      </c>
      <c r="X411" s="13" t="str">
        <f t="shared" si="14"/>
        <v/>
      </c>
      <c r="Y411" s="11">
        <v>2.049364675</v>
      </c>
      <c r="Z411" s="11">
        <v>11.26233968</v>
      </c>
      <c r="AA411" s="11">
        <v>6.200500018</v>
      </c>
      <c r="AB411" s="11">
        <v>96.47695792</v>
      </c>
      <c r="AC411" s="15">
        <f t="shared" si="15"/>
        <v>96</v>
      </c>
      <c r="AD411" s="16" t="str">
        <f t="shared" si="16"/>
        <v/>
      </c>
      <c r="AE411" s="16" t="str">
        <f t="shared" si="17"/>
        <v/>
      </c>
      <c r="AF411" s="16" t="str">
        <f t="shared" si="18"/>
        <v/>
      </c>
      <c r="AG411" s="16" t="str">
        <f t="shared" si="19"/>
        <v>ARC&gt;0</v>
      </c>
      <c r="AH411" s="13" t="str">
        <f t="shared" si="20"/>
        <v/>
      </c>
      <c r="AI411" s="11">
        <v>1.527338152</v>
      </c>
      <c r="AJ411" s="11">
        <v>1.995703929</v>
      </c>
      <c r="AK411" s="11" t="s">
        <v>43</v>
      </c>
      <c r="AL411" s="18" t="str">
        <f t="shared" si="21"/>
        <v/>
      </c>
    </row>
    <row r="412" ht="15.75" customHeight="1">
      <c r="A412" s="11" t="s">
        <v>785</v>
      </c>
      <c r="B412" s="11">
        <v>2015.0</v>
      </c>
      <c r="C412" s="12" t="str">
        <f>VLOOKUP(A412, Regions!A:B, 2, FALSE)
</f>
        <v>Sub-Saharan Africa</v>
      </c>
      <c r="D412" s="13">
        <f t="shared" si="1"/>
        <v>5</v>
      </c>
      <c r="E412" s="14">
        <f t="shared" si="2"/>
        <v>2017.5</v>
      </c>
      <c r="F412" s="11" t="s">
        <v>786</v>
      </c>
      <c r="G412" s="11">
        <v>40.09999847</v>
      </c>
      <c r="H412" s="11">
        <v>63.63712635</v>
      </c>
      <c r="I412" s="15">
        <f t="shared" si="3"/>
        <v>64</v>
      </c>
      <c r="J412" s="16" t="str">
        <f t="shared" si="4"/>
        <v/>
      </c>
      <c r="K412" s="16" t="str">
        <f t="shared" si="5"/>
        <v/>
      </c>
      <c r="L412" s="16" t="str">
        <f t="shared" si="6"/>
        <v/>
      </c>
      <c r="M412" s="16" t="str">
        <f t="shared" si="7"/>
        <v>ARC&gt;0</v>
      </c>
      <c r="N412" s="13">
        <f t="shared" si="8"/>
        <v>0.989318748</v>
      </c>
      <c r="O412" s="11">
        <v>5.665767965</v>
      </c>
      <c r="P412" s="11">
        <v>17.17891539</v>
      </c>
      <c r="Q412" s="11">
        <v>13.51819029</v>
      </c>
      <c r="R412" s="11">
        <v>47.24218328</v>
      </c>
      <c r="S412" s="15">
        <f t="shared" si="9"/>
        <v>47</v>
      </c>
      <c r="T412" s="17" t="str">
        <f t="shared" si="10"/>
        <v/>
      </c>
      <c r="U412" s="17" t="str">
        <f t="shared" si="11"/>
        <v/>
      </c>
      <c r="V412" s="17" t="str">
        <f t="shared" si="12"/>
        <v/>
      </c>
      <c r="W412" s="17" t="str">
        <f t="shared" si="13"/>
        <v>ARC&gt;0</v>
      </c>
      <c r="X412" s="13">
        <f t="shared" si="14"/>
        <v>0.975073894</v>
      </c>
      <c r="Y412" s="11">
        <v>7.334652284</v>
      </c>
      <c r="Z412" s="11">
        <v>23.47003618</v>
      </c>
      <c r="AA412" s="11">
        <v>21.95312825</v>
      </c>
      <c r="AB412" s="11">
        <v>88.1273297</v>
      </c>
      <c r="AC412" s="15">
        <f t="shared" si="15"/>
        <v>88</v>
      </c>
      <c r="AD412" s="16" t="str">
        <f t="shared" si="16"/>
        <v/>
      </c>
      <c r="AE412" s="16" t="str">
        <f t="shared" si="17"/>
        <v/>
      </c>
      <c r="AF412" s="16" t="str">
        <f t="shared" si="18"/>
        <v/>
      </c>
      <c r="AG412" s="16" t="str">
        <f t="shared" si="19"/>
        <v>ARC&gt;0</v>
      </c>
      <c r="AH412" s="13">
        <f t="shared" si="20"/>
        <v>0.492516062</v>
      </c>
      <c r="AI412" s="11">
        <v>3.172845838</v>
      </c>
      <c r="AJ412" s="11">
        <v>7.781455041</v>
      </c>
      <c r="AK412" s="11" t="s">
        <v>787</v>
      </c>
      <c r="AL412" s="18">
        <f t="shared" si="21"/>
        <v>0.482557832</v>
      </c>
    </row>
    <row r="413" ht="15.75" customHeight="1">
      <c r="A413" s="11" t="s">
        <v>785</v>
      </c>
      <c r="B413" s="11">
        <v>2020.0</v>
      </c>
      <c r="C413" s="12" t="str">
        <f>VLOOKUP(A413, Regions!A:B, 2, FALSE)
</f>
        <v>Sub-Saharan Africa</v>
      </c>
      <c r="D413" s="13" t="str">
        <f t="shared" si="1"/>
        <v/>
      </c>
      <c r="E413" s="14" t="str">
        <f t="shared" si="2"/>
        <v/>
      </c>
      <c r="F413" s="11" t="s">
        <v>788</v>
      </c>
      <c r="G413" s="11">
        <v>42.79999924</v>
      </c>
      <c r="H413" s="11">
        <v>68.58372009</v>
      </c>
      <c r="I413" s="15">
        <f t="shared" si="3"/>
        <v>69</v>
      </c>
      <c r="J413" s="16" t="str">
        <f t="shared" si="4"/>
        <v/>
      </c>
      <c r="K413" s="16" t="str">
        <f t="shared" si="5"/>
        <v/>
      </c>
      <c r="L413" s="16" t="str">
        <f t="shared" si="6"/>
        <v/>
      </c>
      <c r="M413" s="16" t="str">
        <f t="shared" si="7"/>
        <v>ARC&gt;0</v>
      </c>
      <c r="N413" s="13" t="str">
        <f t="shared" si="8"/>
        <v/>
      </c>
      <c r="O413" s="11">
        <v>6.065434765</v>
      </c>
      <c r="P413" s="11">
        <v>14.16432245</v>
      </c>
      <c r="Q413" s="11">
        <v>11.18652269</v>
      </c>
      <c r="R413" s="11">
        <v>52.11755275</v>
      </c>
      <c r="S413" s="15">
        <f t="shared" si="9"/>
        <v>52</v>
      </c>
      <c r="T413" s="17" t="str">
        <f t="shared" si="10"/>
        <v/>
      </c>
      <c r="U413" s="17" t="str">
        <f t="shared" si="11"/>
        <v/>
      </c>
      <c r="V413" s="17" t="str">
        <f t="shared" si="12"/>
        <v/>
      </c>
      <c r="W413" s="17" t="str">
        <f t="shared" si="13"/>
        <v>ARC&gt;0</v>
      </c>
      <c r="X413" s="13" t="str">
        <f t="shared" si="14"/>
        <v/>
      </c>
      <c r="Y413" s="11">
        <v>8.187542019</v>
      </c>
      <c r="Z413" s="11">
        <v>20.7910842</v>
      </c>
      <c r="AA413" s="11">
        <v>18.90382103</v>
      </c>
      <c r="AB413" s="11">
        <v>90.58991001</v>
      </c>
      <c r="AC413" s="15">
        <f t="shared" si="15"/>
        <v>91</v>
      </c>
      <c r="AD413" s="16" t="str">
        <f t="shared" si="16"/>
        <v/>
      </c>
      <c r="AE413" s="16" t="str">
        <f t="shared" si="17"/>
        <v/>
      </c>
      <c r="AF413" s="16" t="str">
        <f t="shared" si="18"/>
        <v/>
      </c>
      <c r="AG413" s="16" t="str">
        <f t="shared" si="19"/>
        <v>ARC&gt;0</v>
      </c>
      <c r="AH413" s="13" t="str">
        <f t="shared" si="20"/>
        <v/>
      </c>
      <c r="AI413" s="11">
        <v>3.229348056</v>
      </c>
      <c r="AJ413" s="11">
        <v>5.307990528</v>
      </c>
      <c r="AK413" s="11" t="s">
        <v>789</v>
      </c>
      <c r="AL413" s="18" t="str">
        <f t="shared" si="21"/>
        <v/>
      </c>
    </row>
    <row r="414" ht="15.75" customHeight="1">
      <c r="A414" s="11" t="s">
        <v>790</v>
      </c>
      <c r="B414" s="11">
        <v>2015.0</v>
      </c>
      <c r="C414" s="12" t="str">
        <f>VLOOKUP(A414, Regions!A:B, 2, FALSE)
</f>
        <v>East Asia &amp; Pacific</v>
      </c>
      <c r="D414" s="13">
        <f t="shared" si="1"/>
        <v>5</v>
      </c>
      <c r="E414" s="14">
        <f t="shared" si="2"/>
        <v>2017.5</v>
      </c>
      <c r="F414" s="11" t="s">
        <v>791</v>
      </c>
      <c r="G414" s="11">
        <v>0.0</v>
      </c>
      <c r="H414" s="11">
        <v>99.457396</v>
      </c>
      <c r="I414" s="15">
        <f t="shared" si="3"/>
        <v>99</v>
      </c>
      <c r="J414" s="16" t="str">
        <f t="shared" si="4"/>
        <v/>
      </c>
      <c r="K414" s="16" t="str">
        <f t="shared" si="5"/>
        <v/>
      </c>
      <c r="L414" s="16" t="str">
        <f t="shared" si="6"/>
        <v/>
      </c>
      <c r="M414" s="16" t="str">
        <f t="shared" si="7"/>
        <v>ARC&gt;0</v>
      </c>
      <c r="N414" s="13">
        <f t="shared" si="8"/>
        <v>0.05005613</v>
      </c>
      <c r="O414" s="11">
        <v>0.0</v>
      </c>
      <c r="P414" s="11">
        <v>0.542604</v>
      </c>
      <c r="Q414" s="11">
        <v>0.0</v>
      </c>
      <c r="R414" s="11">
        <v>99.457396</v>
      </c>
      <c r="S414" s="15">
        <f t="shared" si="9"/>
        <v>99</v>
      </c>
      <c r="T414" s="17" t="str">
        <f t="shared" si="10"/>
        <v/>
      </c>
      <c r="U414" s="17" t="str">
        <f t="shared" si="11"/>
        <v/>
      </c>
      <c r="V414" s="17" t="str">
        <f t="shared" si="12"/>
        <v/>
      </c>
      <c r="W414" s="17" t="str">
        <f t="shared" si="13"/>
        <v>ARC&gt;0</v>
      </c>
      <c r="X414" s="13">
        <f t="shared" si="14"/>
        <v>0.05005613</v>
      </c>
      <c r="Y414" s="11">
        <v>0.0</v>
      </c>
      <c r="Z414" s="11">
        <v>0.542604</v>
      </c>
      <c r="AA414" s="11">
        <v>0.0</v>
      </c>
      <c r="AC414" s="15">
        <f t="shared" si="15"/>
        <v>0</v>
      </c>
      <c r="AD414" s="16" t="str">
        <f t="shared" si="16"/>
        <v/>
      </c>
      <c r="AE414" s="16" t="str">
        <f t="shared" si="17"/>
        <v>ARC=0</v>
      </c>
      <c r="AF414" s="16" t="str">
        <f t="shared" si="18"/>
        <v/>
      </c>
      <c r="AG414" s="16" t="str">
        <f t="shared" si="19"/>
        <v/>
      </c>
      <c r="AH414" s="13">
        <f t="shared" si="20"/>
        <v>0</v>
      </c>
      <c r="AL414" s="18">
        <f t="shared" si="21"/>
        <v>0.05005613</v>
      </c>
    </row>
    <row r="415" ht="15.75" customHeight="1">
      <c r="A415" s="11" t="s">
        <v>790</v>
      </c>
      <c r="B415" s="11">
        <v>2020.0</v>
      </c>
      <c r="C415" s="12" t="str">
        <f>VLOOKUP(A415, Regions!A:B, 2, FALSE)
</f>
        <v>East Asia &amp; Pacific</v>
      </c>
      <c r="D415" s="13" t="str">
        <f t="shared" si="1"/>
        <v/>
      </c>
      <c r="E415" s="14" t="str">
        <f t="shared" si="2"/>
        <v/>
      </c>
      <c r="F415" s="11" t="s">
        <v>792</v>
      </c>
      <c r="G415" s="11">
        <v>0.0</v>
      </c>
      <c r="H415" s="11">
        <v>99.70767665</v>
      </c>
      <c r="I415" s="15">
        <f t="shared" si="3"/>
        <v>100</v>
      </c>
      <c r="J415" s="16" t="str">
        <f t="shared" si="4"/>
        <v/>
      </c>
      <c r="K415" s="16" t="str">
        <f t="shared" si="5"/>
        <v/>
      </c>
      <c r="L415" s="16" t="str">
        <f t="shared" si="6"/>
        <v/>
      </c>
      <c r="M415" s="16" t="str">
        <f t="shared" si="7"/>
        <v>ARC&gt;0</v>
      </c>
      <c r="N415" s="13" t="str">
        <f t="shared" si="8"/>
        <v/>
      </c>
      <c r="O415" s="11">
        <v>0.0</v>
      </c>
      <c r="P415" s="11">
        <v>0.2923233459</v>
      </c>
      <c r="Q415" s="11">
        <v>0.0</v>
      </c>
      <c r="R415" s="11">
        <v>99.70767665</v>
      </c>
      <c r="S415" s="15">
        <f t="shared" si="9"/>
        <v>100</v>
      </c>
      <c r="T415" s="17" t="str">
        <f t="shared" si="10"/>
        <v/>
      </c>
      <c r="U415" s="17" t="str">
        <f t="shared" si="11"/>
        <v/>
      </c>
      <c r="V415" s="17" t="str">
        <f t="shared" si="12"/>
        <v/>
      </c>
      <c r="W415" s="17" t="str">
        <f t="shared" si="13"/>
        <v>ARC&gt;0</v>
      </c>
      <c r="X415" s="13" t="str">
        <f t="shared" si="14"/>
        <v/>
      </c>
      <c r="Y415" s="11">
        <v>0.0</v>
      </c>
      <c r="Z415" s="11">
        <v>0.2923233459</v>
      </c>
      <c r="AA415" s="11">
        <v>0.0</v>
      </c>
      <c r="AC415" s="15">
        <f t="shared" si="15"/>
        <v>0</v>
      </c>
      <c r="AD415" s="16" t="str">
        <f t="shared" si="16"/>
        <v/>
      </c>
      <c r="AE415" s="16" t="str">
        <f t="shared" si="17"/>
        <v>ARC=0</v>
      </c>
      <c r="AF415" s="16" t="str">
        <f t="shared" si="18"/>
        <v/>
      </c>
      <c r="AG415" s="16" t="str">
        <f t="shared" si="19"/>
        <v/>
      </c>
      <c r="AH415" s="13" t="str">
        <f t="shared" si="20"/>
        <v/>
      </c>
      <c r="AL415" s="18" t="str">
        <f t="shared" si="21"/>
        <v/>
      </c>
    </row>
    <row r="416" ht="15.75" customHeight="1">
      <c r="A416" s="11" t="s">
        <v>793</v>
      </c>
      <c r="B416" s="11">
        <v>2015.0</v>
      </c>
      <c r="C416" s="12" t="str">
        <f>VLOOKUP(A416, Regions!A:B, 2, FALSE)
</f>
        <v>East Asia &amp; Pacific</v>
      </c>
      <c r="D416" s="13">
        <f t="shared" si="1"/>
        <v>5</v>
      </c>
      <c r="E416" s="14">
        <f t="shared" si="2"/>
        <v>2017.5</v>
      </c>
      <c r="F416" s="11" t="s">
        <v>794</v>
      </c>
      <c r="G416" s="11">
        <v>23.27499962</v>
      </c>
      <c r="H416" s="11">
        <v>98.54970535</v>
      </c>
      <c r="I416" s="15">
        <f t="shared" si="3"/>
        <v>99</v>
      </c>
      <c r="J416" s="16" t="str">
        <f t="shared" si="4"/>
        <v/>
      </c>
      <c r="K416" s="16" t="str">
        <f t="shared" si="5"/>
        <v/>
      </c>
      <c r="L416" s="16" t="str">
        <f t="shared" si="6"/>
        <v/>
      </c>
      <c r="M416" s="16" t="str">
        <f t="shared" si="7"/>
        <v>ARC&gt;0</v>
      </c>
      <c r="N416" s="13">
        <f t="shared" si="8"/>
        <v>0.036275096</v>
      </c>
      <c r="O416" s="11">
        <v>0.8789821223</v>
      </c>
      <c r="P416" s="11">
        <v>0.5713125286</v>
      </c>
      <c r="Q416" s="11">
        <v>0.0</v>
      </c>
      <c r="R416" s="11">
        <v>98.39304823</v>
      </c>
      <c r="S416" s="15">
        <f t="shared" si="9"/>
        <v>98</v>
      </c>
      <c r="T416" s="17" t="str">
        <f t="shared" si="10"/>
        <v/>
      </c>
      <c r="U416" s="17" t="str">
        <f t="shared" si="11"/>
        <v/>
      </c>
      <c r="V416" s="17" t="str">
        <f t="shared" si="12"/>
        <v/>
      </c>
      <c r="W416" s="17" t="str">
        <f t="shared" si="13"/>
        <v>ARC&gt;0</v>
      </c>
      <c r="X416" s="13">
        <f t="shared" si="14"/>
        <v>0.015006062</v>
      </c>
      <c r="Y416" s="11">
        <v>1.102319124</v>
      </c>
      <c r="Z416" s="11">
        <v>0.5046326475</v>
      </c>
      <c r="AA416" s="11">
        <v>0.0</v>
      </c>
      <c r="AB416" s="11">
        <v>99.06611056</v>
      </c>
      <c r="AC416" s="15">
        <f t="shared" si="15"/>
        <v>99</v>
      </c>
      <c r="AD416" s="16" t="str">
        <f t="shared" si="16"/>
        <v/>
      </c>
      <c r="AE416" s="16" t="str">
        <f t="shared" si="17"/>
        <v/>
      </c>
      <c r="AF416" s="16" t="str">
        <f t="shared" si="18"/>
        <v/>
      </c>
      <c r="AG416" s="16" t="str">
        <f t="shared" si="19"/>
        <v>ARC&gt;0</v>
      </c>
      <c r="AH416" s="13">
        <f t="shared" si="20"/>
        <v>0.108109526</v>
      </c>
      <c r="AI416" s="11">
        <v>0.142761567</v>
      </c>
      <c r="AJ416" s="11">
        <v>0.7911278728</v>
      </c>
      <c r="AK416" s="11" t="s">
        <v>43</v>
      </c>
      <c r="AL416" s="18">
        <f t="shared" si="21"/>
        <v>-0.093103464</v>
      </c>
    </row>
    <row r="417" ht="15.75" customHeight="1">
      <c r="A417" s="11" t="s">
        <v>793</v>
      </c>
      <c r="B417" s="11">
        <v>2020.0</v>
      </c>
      <c r="C417" s="12" t="str">
        <f>VLOOKUP(A417, Regions!A:B, 2, FALSE)
</f>
        <v>East Asia &amp; Pacific</v>
      </c>
      <c r="D417" s="13" t="str">
        <f t="shared" si="1"/>
        <v/>
      </c>
      <c r="E417" s="14" t="str">
        <f t="shared" si="2"/>
        <v/>
      </c>
      <c r="F417" s="11" t="s">
        <v>795</v>
      </c>
      <c r="G417" s="11">
        <v>23.09899902</v>
      </c>
      <c r="H417" s="11">
        <v>98.73108083</v>
      </c>
      <c r="I417" s="15">
        <f t="shared" si="3"/>
        <v>99</v>
      </c>
      <c r="J417" s="16" t="str">
        <f t="shared" si="4"/>
        <v/>
      </c>
      <c r="K417" s="16" t="str">
        <f t="shared" si="5"/>
        <v/>
      </c>
      <c r="L417" s="16" t="str">
        <f t="shared" si="6"/>
        <v/>
      </c>
      <c r="M417" s="16" t="str">
        <f t="shared" si="7"/>
        <v>ARC&gt;0</v>
      </c>
      <c r="N417" s="13" t="str">
        <f t="shared" si="8"/>
        <v/>
      </c>
      <c r="O417" s="11">
        <v>0.8814972962</v>
      </c>
      <c r="P417" s="11">
        <v>0.3874218777</v>
      </c>
      <c r="Q417" s="11">
        <v>0.0</v>
      </c>
      <c r="R417" s="11">
        <v>98.46807854</v>
      </c>
      <c r="S417" s="15">
        <f t="shared" si="9"/>
        <v>98</v>
      </c>
      <c r="T417" s="17" t="str">
        <f t="shared" si="10"/>
        <v/>
      </c>
      <c r="U417" s="17" t="str">
        <f t="shared" si="11"/>
        <v/>
      </c>
      <c r="V417" s="17" t="str">
        <f t="shared" si="12"/>
        <v/>
      </c>
      <c r="W417" s="17" t="str">
        <f t="shared" si="13"/>
        <v>ARC&gt;0</v>
      </c>
      <c r="X417" s="13" t="str">
        <f t="shared" si="14"/>
        <v/>
      </c>
      <c r="Y417" s="11">
        <v>1.103159706</v>
      </c>
      <c r="Z417" s="11">
        <v>0.4287617551</v>
      </c>
      <c r="AA417" s="11">
        <v>0.0</v>
      </c>
      <c r="AB417" s="11">
        <v>99.60665819</v>
      </c>
      <c r="AC417" s="15">
        <f t="shared" si="15"/>
        <v>100</v>
      </c>
      <c r="AD417" s="16" t="str">
        <f t="shared" si="16"/>
        <v/>
      </c>
      <c r="AE417" s="16" t="str">
        <f t="shared" si="17"/>
        <v/>
      </c>
      <c r="AF417" s="16" t="str">
        <f t="shared" si="18"/>
        <v/>
      </c>
      <c r="AG417" s="16" t="str">
        <f t="shared" si="19"/>
        <v>ARC&gt;0</v>
      </c>
      <c r="AH417" s="13" t="str">
        <f t="shared" si="20"/>
        <v/>
      </c>
      <c r="AI417" s="11">
        <v>0.143540536</v>
      </c>
      <c r="AJ417" s="11">
        <v>0.2498012758</v>
      </c>
      <c r="AK417" s="11" t="s">
        <v>43</v>
      </c>
      <c r="AL417" s="18" t="str">
        <f t="shared" si="21"/>
        <v/>
      </c>
    </row>
    <row r="418" ht="15.75" customHeight="1">
      <c r="A418" s="11" t="s">
        <v>796</v>
      </c>
      <c r="B418" s="11">
        <v>2015.0</v>
      </c>
      <c r="C418" s="12" t="str">
        <f>VLOOKUP(A418, Regions!A:B, 2, FALSE)
</f>
        <v>Latin America &amp; Caribbean</v>
      </c>
      <c r="D418" s="13">
        <f t="shared" si="1"/>
        <v>5</v>
      </c>
      <c r="E418" s="14">
        <f t="shared" si="2"/>
        <v>2017.5</v>
      </c>
      <c r="F418" s="11" t="s">
        <v>797</v>
      </c>
      <c r="G418" s="11">
        <v>53.31900024</v>
      </c>
      <c r="H418" s="11">
        <v>98.13617765</v>
      </c>
      <c r="I418" s="15">
        <f t="shared" si="3"/>
        <v>98</v>
      </c>
      <c r="J418" s="16" t="str">
        <f t="shared" si="4"/>
        <v/>
      </c>
      <c r="K418" s="16" t="str">
        <f t="shared" si="5"/>
        <v/>
      </c>
      <c r="L418" s="16" t="str">
        <f t="shared" si="6"/>
        <v/>
      </c>
      <c r="M418" s="16" t="str">
        <f t="shared" si="7"/>
        <v>ARC&gt;0</v>
      </c>
      <c r="N418" s="13">
        <f t="shared" si="8"/>
        <v>0.147798624</v>
      </c>
      <c r="O418" s="11">
        <v>1.116422256</v>
      </c>
      <c r="P418" s="11">
        <v>0.5692819234</v>
      </c>
      <c r="Q418" s="11">
        <v>0.1781181726</v>
      </c>
      <c r="S418" s="15">
        <f t="shared" si="9"/>
        <v>0</v>
      </c>
      <c r="T418" s="17" t="str">
        <f t="shared" si="10"/>
        <v/>
      </c>
      <c r="U418" s="17" t="str">
        <f t="shared" si="11"/>
        <v>ARC=0</v>
      </c>
      <c r="V418" s="17" t="str">
        <f t="shared" si="12"/>
        <v/>
      </c>
      <c r="W418" s="17" t="str">
        <f t="shared" si="13"/>
        <v/>
      </c>
      <c r="X418" s="13">
        <f t="shared" si="14"/>
        <v>0</v>
      </c>
      <c r="AC418" s="15">
        <f t="shared" si="15"/>
        <v>0</v>
      </c>
      <c r="AD418" s="16" t="str">
        <f t="shared" si="16"/>
        <v/>
      </c>
      <c r="AE418" s="16" t="str">
        <f t="shared" si="17"/>
        <v>ARC=0</v>
      </c>
      <c r="AF418" s="16" t="str">
        <f t="shared" si="18"/>
        <v/>
      </c>
      <c r="AG418" s="16" t="str">
        <f t="shared" si="19"/>
        <v/>
      </c>
      <c r="AH418" s="13">
        <f t="shared" si="20"/>
        <v>0</v>
      </c>
      <c r="AL418" s="18">
        <f t="shared" si="21"/>
        <v>0</v>
      </c>
    </row>
    <row r="419" ht="15.75" customHeight="1">
      <c r="A419" s="11" t="s">
        <v>796</v>
      </c>
      <c r="B419" s="11">
        <v>2020.0</v>
      </c>
      <c r="C419" s="12" t="str">
        <f>VLOOKUP(A419, Regions!A:B, 2, FALSE)
</f>
        <v>Latin America &amp; Caribbean</v>
      </c>
      <c r="D419" s="13" t="str">
        <f t="shared" si="1"/>
        <v/>
      </c>
      <c r="E419" s="14" t="str">
        <f t="shared" si="2"/>
        <v/>
      </c>
      <c r="F419" s="11" t="s">
        <v>798</v>
      </c>
      <c r="G419" s="11">
        <v>53.2140007</v>
      </c>
      <c r="H419" s="11">
        <v>98.87517077</v>
      </c>
      <c r="I419" s="15">
        <f t="shared" si="3"/>
        <v>99</v>
      </c>
      <c r="J419" s="16" t="str">
        <f t="shared" si="4"/>
        <v/>
      </c>
      <c r="K419" s="16" t="str">
        <f t="shared" si="5"/>
        <v/>
      </c>
      <c r="L419" s="16" t="str">
        <f t="shared" si="6"/>
        <v/>
      </c>
      <c r="M419" s="16" t="str">
        <f t="shared" si="7"/>
        <v>ARC&gt;0</v>
      </c>
      <c r="N419" s="13" t="str">
        <f t="shared" si="8"/>
        <v/>
      </c>
      <c r="O419" s="11">
        <v>1.124829231</v>
      </c>
      <c r="P419" s="11">
        <v>0.0</v>
      </c>
      <c r="Q419" s="11">
        <v>0.0</v>
      </c>
      <c r="S419" s="15">
        <f t="shared" si="9"/>
        <v>0</v>
      </c>
      <c r="T419" s="17" t="str">
        <f t="shared" si="10"/>
        <v/>
      </c>
      <c r="U419" s="17" t="str">
        <f t="shared" si="11"/>
        <v>ARC=0</v>
      </c>
      <c r="V419" s="17" t="str">
        <f t="shared" si="12"/>
        <v/>
      </c>
      <c r="W419" s="17" t="str">
        <f t="shared" si="13"/>
        <v/>
      </c>
      <c r="X419" s="13" t="str">
        <f t="shared" si="14"/>
        <v/>
      </c>
      <c r="AC419" s="15">
        <f t="shared" si="15"/>
        <v>0</v>
      </c>
      <c r="AD419" s="16" t="str">
        <f t="shared" si="16"/>
        <v/>
      </c>
      <c r="AE419" s="16" t="str">
        <f t="shared" si="17"/>
        <v>ARC=0</v>
      </c>
      <c r="AF419" s="16" t="str">
        <f t="shared" si="18"/>
        <v/>
      </c>
      <c r="AG419" s="16" t="str">
        <f t="shared" si="19"/>
        <v/>
      </c>
      <c r="AH419" s="13" t="str">
        <f t="shared" si="20"/>
        <v/>
      </c>
      <c r="AL419" s="18" t="str">
        <f t="shared" si="21"/>
        <v/>
      </c>
    </row>
    <row r="420" ht="15.75" customHeight="1">
      <c r="A420" s="11" t="s">
        <v>799</v>
      </c>
      <c r="B420" s="11">
        <v>2015.0</v>
      </c>
      <c r="C420" s="12" t="str">
        <f>VLOOKUP(A420, Regions!A:B, 2, FALSE)
</f>
        <v>Sub-Saharan Africa</v>
      </c>
      <c r="D420" s="13">
        <f t="shared" si="1"/>
        <v>5</v>
      </c>
      <c r="E420" s="14">
        <f t="shared" si="2"/>
        <v>2017.5</v>
      </c>
      <c r="F420" s="11" t="s">
        <v>800</v>
      </c>
      <c r="G420" s="11">
        <v>68.05599976</v>
      </c>
      <c r="H420" s="11">
        <v>94.8454551</v>
      </c>
      <c r="I420" s="15">
        <f t="shared" si="3"/>
        <v>95</v>
      </c>
      <c r="J420" s="16" t="str">
        <f t="shared" si="4"/>
        <v/>
      </c>
      <c r="K420" s="16" t="str">
        <f t="shared" si="5"/>
        <v/>
      </c>
      <c r="L420" s="16" t="str">
        <f t="shared" si="6"/>
        <v/>
      </c>
      <c r="M420" s="16" t="str">
        <f t="shared" si="7"/>
        <v>ARC&gt;0</v>
      </c>
      <c r="N420" s="13">
        <f t="shared" si="8"/>
        <v>0.539570778</v>
      </c>
      <c r="O420" s="11">
        <v>2.900100393</v>
      </c>
      <c r="P420" s="11">
        <v>2.179103077</v>
      </c>
      <c r="Q420" s="11">
        <v>0.07534142511</v>
      </c>
      <c r="R420" s="11">
        <v>85.59067297</v>
      </c>
      <c r="S420" s="15">
        <f t="shared" si="9"/>
        <v>86</v>
      </c>
      <c r="T420" s="17" t="str">
        <f t="shared" si="10"/>
        <v/>
      </c>
      <c r="U420" s="17" t="str">
        <f t="shared" si="11"/>
        <v/>
      </c>
      <c r="V420" s="17" t="str">
        <f t="shared" si="12"/>
        <v/>
      </c>
      <c r="W420" s="17" t="str">
        <f t="shared" si="13"/>
        <v>ARC&gt;0</v>
      </c>
      <c r="X420" s="13">
        <f t="shared" si="14"/>
        <v>1.669111792</v>
      </c>
      <c r="Y420" s="11">
        <v>7.6364837</v>
      </c>
      <c r="Z420" s="11">
        <v>6.53698864</v>
      </c>
      <c r="AA420" s="11">
        <v>0.2358546907</v>
      </c>
      <c r="AB420" s="11">
        <v>99.18944794</v>
      </c>
      <c r="AC420" s="15">
        <f t="shared" si="15"/>
        <v>99</v>
      </c>
      <c r="AD420" s="16" t="str">
        <f t="shared" si="16"/>
        <v/>
      </c>
      <c r="AE420" s="16" t="str">
        <f t="shared" si="17"/>
        <v/>
      </c>
      <c r="AF420" s="16" t="str">
        <f t="shared" si="18"/>
        <v/>
      </c>
      <c r="AG420" s="16" t="str">
        <f t="shared" si="19"/>
        <v>ARC&gt;0</v>
      </c>
      <c r="AH420" s="13">
        <f t="shared" si="20"/>
        <v>-0.013650062</v>
      </c>
      <c r="AI420" s="11">
        <v>0.6769453984</v>
      </c>
      <c r="AJ420" s="11">
        <v>0.1336066664</v>
      </c>
      <c r="AK420" s="11" t="s">
        <v>43</v>
      </c>
      <c r="AL420" s="18">
        <f t="shared" si="21"/>
        <v>1.682761854</v>
      </c>
    </row>
    <row r="421" ht="15.75" customHeight="1">
      <c r="A421" s="11" t="s">
        <v>799</v>
      </c>
      <c r="B421" s="11">
        <v>2020.0</v>
      </c>
      <c r="C421" s="12" t="str">
        <f>VLOOKUP(A421, Regions!A:B, 2, FALSE)
</f>
        <v>Sub-Saharan Africa</v>
      </c>
      <c r="D421" s="13" t="str">
        <f t="shared" si="1"/>
        <v/>
      </c>
      <c r="E421" s="14" t="str">
        <f t="shared" si="2"/>
        <v/>
      </c>
      <c r="F421" s="11" t="s">
        <v>801</v>
      </c>
      <c r="G421" s="11">
        <v>69.56800079</v>
      </c>
      <c r="H421" s="11">
        <v>97.54330899</v>
      </c>
      <c r="I421" s="15">
        <f t="shared" si="3"/>
        <v>98</v>
      </c>
      <c r="J421" s="16" t="str">
        <f t="shared" si="4"/>
        <v/>
      </c>
      <c r="K421" s="16" t="str">
        <f t="shared" si="5"/>
        <v/>
      </c>
      <c r="L421" s="16" t="str">
        <f t="shared" si="6"/>
        <v/>
      </c>
      <c r="M421" s="16" t="str">
        <f t="shared" si="7"/>
        <v>ARC&gt;0</v>
      </c>
      <c r="N421" s="13" t="str">
        <f t="shared" si="8"/>
        <v/>
      </c>
      <c r="O421" s="11">
        <v>1.63135067</v>
      </c>
      <c r="P421" s="11">
        <v>0.8253403378</v>
      </c>
      <c r="Q421" s="11">
        <v>0.0</v>
      </c>
      <c r="R421" s="11">
        <v>93.93623193</v>
      </c>
      <c r="S421" s="15">
        <f t="shared" si="9"/>
        <v>94</v>
      </c>
      <c r="T421" s="17" t="str">
        <f t="shared" si="10"/>
        <v/>
      </c>
      <c r="U421" s="17" t="str">
        <f t="shared" si="11"/>
        <v/>
      </c>
      <c r="V421" s="17" t="str">
        <f t="shared" si="12"/>
        <v/>
      </c>
      <c r="W421" s="17" t="str">
        <f t="shared" si="13"/>
        <v>ARC&gt;0</v>
      </c>
      <c r="X421" s="13" t="str">
        <f t="shared" si="14"/>
        <v/>
      </c>
      <c r="Y421" s="11">
        <v>3.351687357</v>
      </c>
      <c r="Z421" s="11">
        <v>2.71208071</v>
      </c>
      <c r="AA421" s="11">
        <v>0.0</v>
      </c>
      <c r="AB421" s="11">
        <v>99.12119763</v>
      </c>
      <c r="AC421" s="15">
        <f t="shared" si="15"/>
        <v>99</v>
      </c>
      <c r="AD421" s="16" t="str">
        <f t="shared" si="16"/>
        <v/>
      </c>
      <c r="AE421" s="16" t="str">
        <f t="shared" si="17"/>
        <v/>
      </c>
      <c r="AF421" s="16" t="str">
        <f t="shared" si="18"/>
        <v/>
      </c>
      <c r="AG421" s="16" t="str">
        <f t="shared" si="19"/>
        <v>ARC&gt;0</v>
      </c>
      <c r="AH421" s="13" t="str">
        <f t="shared" si="20"/>
        <v/>
      </c>
      <c r="AI421" s="11">
        <v>0.8788023684</v>
      </c>
      <c r="AJ421" s="11">
        <v>0.0</v>
      </c>
      <c r="AK421" s="11" t="s">
        <v>43</v>
      </c>
      <c r="AL421" s="18" t="str">
        <f t="shared" si="21"/>
        <v/>
      </c>
    </row>
    <row r="422" ht="15.75" customHeight="1">
      <c r="A422" s="11" t="s">
        <v>802</v>
      </c>
      <c r="B422" s="11">
        <v>2015.0</v>
      </c>
      <c r="C422" s="12" t="str">
        <f>VLOOKUP(A422, Regions!A:B, 2, FALSE)
</f>
        <v>Europe &amp; Central Asia</v>
      </c>
      <c r="D422" s="13">
        <f t="shared" si="1"/>
        <v>5</v>
      </c>
      <c r="E422" s="14">
        <f t="shared" si="2"/>
        <v>2017.5</v>
      </c>
      <c r="F422" s="11" t="s">
        <v>803</v>
      </c>
      <c r="G422" s="11">
        <v>73.61100006</v>
      </c>
      <c r="H422" s="11">
        <v>96.25615912</v>
      </c>
      <c r="I422" s="15">
        <f t="shared" si="3"/>
        <v>96</v>
      </c>
      <c r="J422" s="16" t="str">
        <f t="shared" si="4"/>
        <v/>
      </c>
      <c r="K422" s="16" t="str">
        <f t="shared" si="5"/>
        <v/>
      </c>
      <c r="L422" s="16" t="str">
        <f t="shared" si="6"/>
        <v/>
      </c>
      <c r="M422" s="16" t="str">
        <f t="shared" si="7"/>
        <v>ARC&gt;0</v>
      </c>
      <c r="N422" s="13">
        <f t="shared" si="8"/>
        <v>0.151622008</v>
      </c>
      <c r="O422" s="11">
        <v>2.026747602</v>
      </c>
      <c r="P422" s="11">
        <v>1.518870713</v>
      </c>
      <c r="Q422" s="11">
        <v>0.1982225671</v>
      </c>
      <c r="R422" s="11">
        <v>94.20388299</v>
      </c>
      <c r="S422" s="15">
        <f t="shared" si="9"/>
        <v>94</v>
      </c>
      <c r="T422" s="17" t="str">
        <f t="shared" si="10"/>
        <v/>
      </c>
      <c r="U422" s="17" t="str">
        <f t="shared" si="11"/>
        <v/>
      </c>
      <c r="V422" s="17" t="str">
        <f t="shared" si="12"/>
        <v/>
      </c>
      <c r="W422" s="17" t="str">
        <f t="shared" si="13"/>
        <v>ARC&gt;0</v>
      </c>
      <c r="X422" s="13">
        <f t="shared" si="14"/>
        <v>0.364257356</v>
      </c>
      <c r="Y422" s="11">
        <v>2.633656944</v>
      </c>
      <c r="Z422" s="11">
        <v>2.740460064</v>
      </c>
      <c r="AA422" s="11">
        <v>0.422</v>
      </c>
      <c r="AB422" s="11">
        <v>96.99188504</v>
      </c>
      <c r="AC422" s="15">
        <f t="shared" si="15"/>
        <v>97</v>
      </c>
      <c r="AD422" s="16" t="str">
        <f t="shared" si="16"/>
        <v/>
      </c>
      <c r="AE422" s="16" t="str">
        <f t="shared" si="17"/>
        <v/>
      </c>
      <c r="AF422" s="16" t="str">
        <f t="shared" si="18"/>
        <v/>
      </c>
      <c r="AG422" s="16" t="str">
        <f t="shared" si="19"/>
        <v>ARC&gt;0</v>
      </c>
      <c r="AH422" s="13">
        <f t="shared" si="20"/>
        <v>0.066586558</v>
      </c>
      <c r="AI422" s="11">
        <v>1.809175058</v>
      </c>
      <c r="AJ422" s="11">
        <v>1.080939898</v>
      </c>
      <c r="AK422" s="11" t="s">
        <v>804</v>
      </c>
      <c r="AL422" s="18">
        <f t="shared" si="21"/>
        <v>0.297670798</v>
      </c>
    </row>
    <row r="423" ht="15.75" customHeight="1">
      <c r="A423" s="11" t="s">
        <v>802</v>
      </c>
      <c r="B423" s="11">
        <v>2020.0</v>
      </c>
      <c r="C423" s="12" t="str">
        <f>VLOOKUP(A423, Regions!A:B, 2, FALSE)
</f>
        <v>Europe &amp; Central Asia</v>
      </c>
      <c r="D423" s="13" t="str">
        <f t="shared" si="1"/>
        <v/>
      </c>
      <c r="E423" s="14" t="str">
        <f t="shared" si="2"/>
        <v/>
      </c>
      <c r="F423" s="11" t="s">
        <v>805</v>
      </c>
      <c r="G423" s="11">
        <v>76.10500336</v>
      </c>
      <c r="H423" s="11">
        <v>97.01426916</v>
      </c>
      <c r="I423" s="15">
        <f t="shared" si="3"/>
        <v>97</v>
      </c>
      <c r="J423" s="16" t="str">
        <f t="shared" si="4"/>
        <v/>
      </c>
      <c r="K423" s="16" t="str">
        <f t="shared" si="5"/>
        <v/>
      </c>
      <c r="L423" s="16" t="str">
        <f t="shared" si="6"/>
        <v/>
      </c>
      <c r="M423" s="16" t="str">
        <f t="shared" si="7"/>
        <v>ARC&gt;0</v>
      </c>
      <c r="N423" s="13" t="str">
        <f t="shared" si="8"/>
        <v/>
      </c>
      <c r="O423" s="11">
        <v>2.023078075</v>
      </c>
      <c r="P423" s="11">
        <v>0.7376749545</v>
      </c>
      <c r="Q423" s="11">
        <v>0.2249778093</v>
      </c>
      <c r="R423" s="11">
        <v>96.02516977</v>
      </c>
      <c r="S423" s="15">
        <f t="shared" si="9"/>
        <v>96</v>
      </c>
      <c r="T423" s="17" t="str">
        <f t="shared" si="10"/>
        <v/>
      </c>
      <c r="U423" s="17" t="str">
        <f t="shared" si="11"/>
        <v/>
      </c>
      <c r="V423" s="17" t="str">
        <f t="shared" si="12"/>
        <v/>
      </c>
      <c r="W423" s="17" t="str">
        <f t="shared" si="13"/>
        <v>ARC&gt;0</v>
      </c>
      <c r="X423" s="13" t="str">
        <f t="shared" si="14"/>
        <v/>
      </c>
      <c r="Y423" s="11">
        <v>2.684574639</v>
      </c>
      <c r="Z423" s="11">
        <v>0.7882555911</v>
      </c>
      <c r="AA423" s="11">
        <v>0.502</v>
      </c>
      <c r="AB423" s="11">
        <v>97.32481783</v>
      </c>
      <c r="AC423" s="15">
        <f t="shared" si="15"/>
        <v>97</v>
      </c>
      <c r="AD423" s="16" t="str">
        <f t="shared" si="16"/>
        <v/>
      </c>
      <c r="AE423" s="16" t="str">
        <f t="shared" si="17"/>
        <v/>
      </c>
      <c r="AF423" s="16" t="str">
        <f t="shared" si="18"/>
        <v/>
      </c>
      <c r="AG423" s="16" t="str">
        <f t="shared" si="19"/>
        <v>ARC&gt;0</v>
      </c>
      <c r="AH423" s="13" t="str">
        <f t="shared" si="20"/>
        <v/>
      </c>
      <c r="AI423" s="11">
        <v>1.815385203</v>
      </c>
      <c r="AJ423" s="11">
        <v>0.7217969634</v>
      </c>
      <c r="AK423" s="11" t="s">
        <v>806</v>
      </c>
      <c r="AL423" s="18" t="str">
        <f t="shared" si="21"/>
        <v/>
      </c>
    </row>
    <row r="424" ht="15.75" customHeight="1">
      <c r="A424" s="11" t="s">
        <v>807</v>
      </c>
      <c r="B424" s="11">
        <v>2015.0</v>
      </c>
      <c r="C424" s="12" t="str">
        <f>VLOOKUP(A424, Regions!A:B, 2, FALSE)
</f>
        <v>Europe &amp; Central Asia</v>
      </c>
      <c r="D424" s="13">
        <f t="shared" si="1"/>
        <v>5</v>
      </c>
      <c r="E424" s="14">
        <f t="shared" si="2"/>
        <v>2017.5</v>
      </c>
      <c r="F424" s="11" t="s">
        <v>808</v>
      </c>
      <c r="G424" s="11">
        <v>50.31700134</v>
      </c>
      <c r="H424" s="11">
        <v>97.65894431</v>
      </c>
      <c r="I424" s="15">
        <f t="shared" si="3"/>
        <v>98</v>
      </c>
      <c r="J424" s="16" t="str">
        <f t="shared" si="4"/>
        <v/>
      </c>
      <c r="K424" s="16" t="str">
        <f t="shared" si="5"/>
        <v/>
      </c>
      <c r="L424" s="16" t="str">
        <f t="shared" si="6"/>
        <v/>
      </c>
      <c r="M424" s="16" t="str">
        <f t="shared" si="7"/>
        <v>ARC&gt;0</v>
      </c>
      <c r="N424" s="13">
        <f t="shared" si="8"/>
        <v>0.468211138</v>
      </c>
      <c r="O424" s="11">
        <v>0.9479150547</v>
      </c>
      <c r="P424" s="11">
        <v>0.247750032</v>
      </c>
      <c r="Q424" s="11">
        <v>1.145390606</v>
      </c>
      <c r="R424" s="11">
        <v>96.21978316</v>
      </c>
      <c r="S424" s="15">
        <f t="shared" si="9"/>
        <v>96</v>
      </c>
      <c r="T424" s="17" t="str">
        <f t="shared" si="10"/>
        <v/>
      </c>
      <c r="U424" s="17" t="str">
        <f t="shared" si="11"/>
        <v/>
      </c>
      <c r="V424" s="17" t="str">
        <f t="shared" si="12"/>
        <v/>
      </c>
      <c r="W424" s="17" t="str">
        <f t="shared" si="13"/>
        <v>ARC&gt;0</v>
      </c>
      <c r="X424" s="13">
        <f t="shared" si="14"/>
        <v>0.756043368</v>
      </c>
      <c r="Y424" s="11">
        <v>1.000954429</v>
      </c>
      <c r="Z424" s="11">
        <v>0.473864865</v>
      </c>
      <c r="AA424" s="11">
        <v>2.305397551</v>
      </c>
      <c r="AB424" s="11">
        <v>99.07997172</v>
      </c>
      <c r="AC424" s="15">
        <f t="shared" si="15"/>
        <v>99</v>
      </c>
      <c r="AD424" s="16" t="str">
        <f t="shared" si="16"/>
        <v/>
      </c>
      <c r="AE424" s="16" t="str">
        <f t="shared" si="17"/>
        <v/>
      </c>
      <c r="AF424" s="16" t="str">
        <f t="shared" si="18"/>
        <v/>
      </c>
      <c r="AG424" s="16" t="str">
        <f t="shared" si="19"/>
        <v>ARC&gt;0</v>
      </c>
      <c r="AH424" s="13">
        <f t="shared" si="20"/>
        <v>0.184005656</v>
      </c>
      <c r="AI424" s="11">
        <v>0.895543988</v>
      </c>
      <c r="AJ424" s="11">
        <v>0.0244842949</v>
      </c>
      <c r="AK424" s="11" t="s">
        <v>43</v>
      </c>
      <c r="AL424" s="18">
        <f t="shared" si="21"/>
        <v>0.572037712</v>
      </c>
    </row>
    <row r="425" ht="15.75" customHeight="1">
      <c r="A425" s="11" t="s">
        <v>807</v>
      </c>
      <c r="B425" s="11">
        <v>2020.0</v>
      </c>
      <c r="C425" s="12" t="str">
        <f>VLOOKUP(A425, Regions!A:B, 2, FALSE)
</f>
        <v>Europe &amp; Central Asia</v>
      </c>
      <c r="D425" s="13" t="str">
        <f t="shared" si="1"/>
        <v/>
      </c>
      <c r="E425" s="14" t="str">
        <f t="shared" si="2"/>
        <v/>
      </c>
      <c r="F425" s="11" t="s">
        <v>809</v>
      </c>
      <c r="G425" s="11">
        <v>52.51600266</v>
      </c>
      <c r="H425" s="11">
        <v>100.0</v>
      </c>
      <c r="I425" s="15">
        <f t="shared" si="3"/>
        <v>100</v>
      </c>
      <c r="J425" s="16" t="str">
        <f t="shared" si="4"/>
        <v/>
      </c>
      <c r="K425" s="16" t="str">
        <f t="shared" si="5"/>
        <v/>
      </c>
      <c r="L425" s="16" t="str">
        <f t="shared" si="6"/>
        <v/>
      </c>
      <c r="M425" s="16" t="str">
        <f t="shared" si="7"/>
        <v>ARC&gt;0</v>
      </c>
      <c r="N425" s="13" t="str">
        <f t="shared" si="8"/>
        <v/>
      </c>
      <c r="O425" s="11">
        <v>0.0</v>
      </c>
      <c r="P425" s="11">
        <v>0.0</v>
      </c>
      <c r="Q425" s="11">
        <v>0.0</v>
      </c>
      <c r="R425" s="11">
        <v>100.0</v>
      </c>
      <c r="S425" s="15">
        <f t="shared" si="9"/>
        <v>100</v>
      </c>
      <c r="T425" s="17" t="str">
        <f t="shared" si="10"/>
        <v/>
      </c>
      <c r="U425" s="17" t="str">
        <f t="shared" si="11"/>
        <v/>
      </c>
      <c r="V425" s="17" t="str">
        <f t="shared" si="12"/>
        <v/>
      </c>
      <c r="W425" s="17" t="str">
        <f t="shared" si="13"/>
        <v>ARC&gt;0</v>
      </c>
      <c r="X425" s="13" t="str">
        <f t="shared" si="14"/>
        <v/>
      </c>
      <c r="Y425" s="11">
        <v>0.0</v>
      </c>
      <c r="Z425" s="11">
        <v>0.0</v>
      </c>
      <c r="AA425" s="11">
        <v>0.0</v>
      </c>
      <c r="AB425" s="11">
        <v>100.0</v>
      </c>
      <c r="AC425" s="15">
        <f t="shared" si="15"/>
        <v>100</v>
      </c>
      <c r="AD425" s="16" t="str">
        <f t="shared" si="16"/>
        <v/>
      </c>
      <c r="AE425" s="16" t="str">
        <f t="shared" si="17"/>
        <v/>
      </c>
      <c r="AF425" s="16" t="str">
        <f t="shared" si="18"/>
        <v/>
      </c>
      <c r="AG425" s="16" t="str">
        <f t="shared" si="19"/>
        <v>ARC&gt;0</v>
      </c>
      <c r="AH425" s="13" t="str">
        <f t="shared" si="20"/>
        <v/>
      </c>
      <c r="AI425" s="11">
        <v>0.0</v>
      </c>
      <c r="AJ425" s="11">
        <v>0.0</v>
      </c>
      <c r="AK425" s="11" t="s">
        <v>43</v>
      </c>
      <c r="AL425" s="18" t="str">
        <f t="shared" si="21"/>
        <v/>
      </c>
    </row>
    <row r="426" ht="15.75" customHeight="1">
      <c r="A426" s="11" t="s">
        <v>810</v>
      </c>
      <c r="B426" s="11">
        <v>2015.0</v>
      </c>
      <c r="C426" s="12" t="str">
        <f>VLOOKUP(A426, Regions!A:B, 2, FALSE)
</f>
        <v>Latin America &amp; Caribbean</v>
      </c>
      <c r="D426" s="13">
        <f t="shared" si="1"/>
        <v>3</v>
      </c>
      <c r="E426" s="14">
        <f t="shared" si="2"/>
        <v>2016.5</v>
      </c>
      <c r="F426" s="11" t="s">
        <v>811</v>
      </c>
      <c r="G426" s="11">
        <v>92.19499207</v>
      </c>
      <c r="H426" s="11">
        <v>94.31818182</v>
      </c>
      <c r="I426" s="15">
        <f t="shared" si="3"/>
        <v>94</v>
      </c>
      <c r="J426" s="16" t="str">
        <f t="shared" si="4"/>
        <v/>
      </c>
      <c r="K426" s="16" t="str">
        <f t="shared" si="5"/>
        <v/>
      </c>
      <c r="L426" s="16" t="str">
        <f t="shared" si="6"/>
        <v/>
      </c>
      <c r="M426" s="16" t="str">
        <f t="shared" si="7"/>
        <v>ARC&gt;0</v>
      </c>
      <c r="N426" s="13">
        <f t="shared" si="8"/>
        <v>0</v>
      </c>
      <c r="O426" s="11">
        <v>0.0</v>
      </c>
      <c r="P426" s="11">
        <v>5.681818182</v>
      </c>
      <c r="Q426" s="11">
        <v>0.0</v>
      </c>
      <c r="S426" s="15">
        <f t="shared" si="9"/>
        <v>0</v>
      </c>
      <c r="T426" s="17" t="str">
        <f t="shared" si="10"/>
        <v/>
      </c>
      <c r="U426" s="17" t="str">
        <f t="shared" si="11"/>
        <v>ARC=0</v>
      </c>
      <c r="V426" s="17" t="str">
        <f t="shared" si="12"/>
        <v/>
      </c>
      <c r="W426" s="17" t="str">
        <f t="shared" si="13"/>
        <v/>
      </c>
      <c r="X426" s="13">
        <f t="shared" si="14"/>
        <v>0</v>
      </c>
      <c r="AC426" s="15">
        <f t="shared" si="15"/>
        <v>0</v>
      </c>
      <c r="AD426" s="16" t="str">
        <f t="shared" si="16"/>
        <v/>
      </c>
      <c r="AE426" s="16" t="str">
        <f t="shared" si="17"/>
        <v>ARC=0</v>
      </c>
      <c r="AF426" s="16" t="str">
        <f t="shared" si="18"/>
        <v/>
      </c>
      <c r="AG426" s="16" t="str">
        <f t="shared" si="19"/>
        <v/>
      </c>
      <c r="AH426" s="13">
        <f t="shared" si="20"/>
        <v>0</v>
      </c>
      <c r="AL426" s="18">
        <f t="shared" si="21"/>
        <v>0</v>
      </c>
    </row>
    <row r="427" ht="15.75" customHeight="1">
      <c r="A427" s="11" t="s">
        <v>810</v>
      </c>
      <c r="B427" s="11">
        <v>2018.0</v>
      </c>
      <c r="C427" s="12" t="str">
        <f>VLOOKUP(A427, Regions!A:B, 2, FALSE)
</f>
        <v>Latin America &amp; Caribbean</v>
      </c>
      <c r="D427" s="13" t="str">
        <f t="shared" si="1"/>
        <v/>
      </c>
      <c r="E427" s="14" t="str">
        <f t="shared" si="2"/>
        <v/>
      </c>
      <c r="F427" s="11" t="s">
        <v>812</v>
      </c>
      <c r="G427" s="11">
        <v>93.09799957</v>
      </c>
      <c r="H427" s="11">
        <v>94.31818182</v>
      </c>
      <c r="I427" s="15">
        <f t="shared" si="3"/>
        <v>94</v>
      </c>
      <c r="J427" s="16" t="str">
        <f t="shared" si="4"/>
        <v/>
      </c>
      <c r="K427" s="16" t="str">
        <f t="shared" si="5"/>
        <v/>
      </c>
      <c r="L427" s="16" t="str">
        <f t="shared" si="6"/>
        <v/>
      </c>
      <c r="M427" s="16" t="str">
        <f t="shared" si="7"/>
        <v>ARC&gt;0</v>
      </c>
      <c r="N427" s="13" t="str">
        <f t="shared" si="8"/>
        <v/>
      </c>
      <c r="O427" s="11">
        <v>0.0</v>
      </c>
      <c r="P427" s="11">
        <v>5.681818182</v>
      </c>
      <c r="Q427" s="11">
        <v>0.0</v>
      </c>
      <c r="S427" s="15">
        <f t="shared" si="9"/>
        <v>0</v>
      </c>
      <c r="T427" s="17" t="str">
        <f t="shared" si="10"/>
        <v/>
      </c>
      <c r="U427" s="17" t="str">
        <f t="shared" si="11"/>
        <v>ARC=0</v>
      </c>
      <c r="V427" s="17" t="str">
        <f t="shared" si="12"/>
        <v/>
      </c>
      <c r="W427" s="17" t="str">
        <f t="shared" si="13"/>
        <v/>
      </c>
      <c r="X427" s="13" t="str">
        <f t="shared" si="14"/>
        <v/>
      </c>
      <c r="AC427" s="15">
        <f t="shared" si="15"/>
        <v>0</v>
      </c>
      <c r="AD427" s="16" t="str">
        <f t="shared" si="16"/>
        <v/>
      </c>
      <c r="AE427" s="16" t="str">
        <f t="shared" si="17"/>
        <v>ARC=0</v>
      </c>
      <c r="AF427" s="16" t="str">
        <f t="shared" si="18"/>
        <v/>
      </c>
      <c r="AG427" s="16" t="str">
        <f t="shared" si="19"/>
        <v/>
      </c>
      <c r="AH427" s="13" t="str">
        <f t="shared" si="20"/>
        <v/>
      </c>
      <c r="AL427" s="18" t="str">
        <f t="shared" si="21"/>
        <v/>
      </c>
    </row>
    <row r="428" ht="15.75" customHeight="1">
      <c r="A428" s="11" t="s">
        <v>813</v>
      </c>
      <c r="B428" s="11">
        <v>2015.0</v>
      </c>
      <c r="C428" s="12" t="str">
        <f>VLOOKUP(A428, Regions!A:B, 2, FALSE)
</f>
        <v>East Asia &amp; Pacific</v>
      </c>
      <c r="D428" s="13">
        <f t="shared" si="1"/>
        <v>5</v>
      </c>
      <c r="E428" s="14">
        <f t="shared" si="2"/>
        <v>2017.5</v>
      </c>
      <c r="F428" s="11" t="s">
        <v>814</v>
      </c>
      <c r="G428" s="11">
        <v>59.72999954</v>
      </c>
      <c r="H428" s="11">
        <v>100.0</v>
      </c>
      <c r="I428" s="15">
        <f t="shared" si="3"/>
        <v>100</v>
      </c>
      <c r="J428" s="16" t="str">
        <f t="shared" si="4"/>
        <v>full access</v>
      </c>
      <c r="K428" s="16" t="str">
        <f t="shared" si="5"/>
        <v/>
      </c>
      <c r="L428" s="16" t="str">
        <f t="shared" si="6"/>
        <v/>
      </c>
      <c r="M428" s="16" t="str">
        <f t="shared" si="7"/>
        <v/>
      </c>
      <c r="N428" s="13">
        <f t="shared" si="8"/>
        <v>0</v>
      </c>
      <c r="O428" s="11">
        <v>0.0</v>
      </c>
      <c r="P428" s="11">
        <v>0.0</v>
      </c>
      <c r="Q428" s="11">
        <v>0.0</v>
      </c>
      <c r="R428" s="11">
        <v>100.0</v>
      </c>
      <c r="S428" s="15">
        <f t="shared" si="9"/>
        <v>100</v>
      </c>
      <c r="T428" s="17" t="str">
        <f t="shared" si="10"/>
        <v>full access</v>
      </c>
      <c r="U428" s="17" t="str">
        <f t="shared" si="11"/>
        <v/>
      </c>
      <c r="V428" s="17" t="str">
        <f t="shared" si="12"/>
        <v/>
      </c>
      <c r="W428" s="17" t="str">
        <f t="shared" si="13"/>
        <v>ARC&gt;0</v>
      </c>
      <c r="X428" s="13">
        <f t="shared" si="14"/>
        <v>0</v>
      </c>
      <c r="Y428" s="11">
        <v>0.0</v>
      </c>
      <c r="Z428" s="11">
        <v>0.0</v>
      </c>
      <c r="AA428" s="11">
        <v>0.0</v>
      </c>
      <c r="AB428" s="11">
        <v>100.0</v>
      </c>
      <c r="AC428" s="15">
        <f t="shared" si="15"/>
        <v>100</v>
      </c>
      <c r="AD428" s="16" t="str">
        <f t="shared" si="16"/>
        <v>full access</v>
      </c>
      <c r="AE428" s="16" t="str">
        <f t="shared" si="17"/>
        <v/>
      </c>
      <c r="AF428" s="16" t="str">
        <f t="shared" si="18"/>
        <v/>
      </c>
      <c r="AG428" s="16" t="str">
        <f t="shared" si="19"/>
        <v>ARC&gt;0</v>
      </c>
      <c r="AH428" s="13">
        <f t="shared" si="20"/>
        <v>0</v>
      </c>
      <c r="AI428" s="11">
        <v>0.0</v>
      </c>
      <c r="AJ428" s="11">
        <v>0.0</v>
      </c>
      <c r="AK428" s="11" t="s">
        <v>43</v>
      </c>
      <c r="AL428" s="18">
        <f t="shared" si="21"/>
        <v>0</v>
      </c>
    </row>
    <row r="429" ht="15.75" customHeight="1">
      <c r="A429" s="11" t="s">
        <v>813</v>
      </c>
      <c r="B429" s="11">
        <v>2020.0</v>
      </c>
      <c r="C429" s="12" t="str">
        <f>VLOOKUP(A429, Regions!A:B, 2, FALSE)
</f>
        <v>East Asia &amp; Pacific</v>
      </c>
      <c r="D429" s="13" t="str">
        <f t="shared" si="1"/>
        <v/>
      </c>
      <c r="E429" s="14" t="str">
        <f t="shared" si="2"/>
        <v/>
      </c>
      <c r="F429" s="11" t="s">
        <v>815</v>
      </c>
      <c r="G429" s="11">
        <v>64.01399994</v>
      </c>
      <c r="H429" s="11">
        <v>100.0</v>
      </c>
      <c r="I429" s="15">
        <f t="shared" si="3"/>
        <v>100</v>
      </c>
      <c r="J429" s="16" t="str">
        <f t="shared" si="4"/>
        <v/>
      </c>
      <c r="K429" s="16" t="str">
        <f t="shared" si="5"/>
        <v/>
      </c>
      <c r="L429" s="16" t="str">
        <f t="shared" si="6"/>
        <v/>
      </c>
      <c r="M429" s="16" t="str">
        <f t="shared" si="7"/>
        <v>ARC&gt;0</v>
      </c>
      <c r="N429" s="13" t="str">
        <f t="shared" si="8"/>
        <v/>
      </c>
      <c r="O429" s="11">
        <v>0.0</v>
      </c>
      <c r="P429" s="11">
        <v>0.0</v>
      </c>
      <c r="Q429" s="11">
        <v>0.0</v>
      </c>
      <c r="R429" s="11">
        <v>100.0</v>
      </c>
      <c r="S429" s="15">
        <f t="shared" si="9"/>
        <v>100</v>
      </c>
      <c r="T429" s="17" t="str">
        <f t="shared" si="10"/>
        <v/>
      </c>
      <c r="U429" s="17" t="str">
        <f t="shared" si="11"/>
        <v/>
      </c>
      <c r="V429" s="17" t="str">
        <f t="shared" si="12"/>
        <v/>
      </c>
      <c r="W429" s="17" t="str">
        <f t="shared" si="13"/>
        <v>ARC&gt;0</v>
      </c>
      <c r="X429" s="13" t="str">
        <f t="shared" si="14"/>
        <v/>
      </c>
      <c r="Y429" s="11">
        <v>0.0</v>
      </c>
      <c r="Z429" s="11">
        <v>0.0</v>
      </c>
      <c r="AA429" s="11">
        <v>0.0</v>
      </c>
      <c r="AB429" s="11">
        <v>100.0</v>
      </c>
      <c r="AC429" s="15">
        <f t="shared" si="15"/>
        <v>100</v>
      </c>
      <c r="AD429" s="16" t="str">
        <f t="shared" si="16"/>
        <v/>
      </c>
      <c r="AE429" s="16" t="str">
        <f t="shared" si="17"/>
        <v/>
      </c>
      <c r="AF429" s="16" t="str">
        <f t="shared" si="18"/>
        <v/>
      </c>
      <c r="AG429" s="16" t="str">
        <f t="shared" si="19"/>
        <v>ARC&gt;0</v>
      </c>
      <c r="AH429" s="13" t="str">
        <f t="shared" si="20"/>
        <v/>
      </c>
      <c r="AI429" s="11">
        <v>0.0</v>
      </c>
      <c r="AJ429" s="11">
        <v>0.0</v>
      </c>
      <c r="AK429" s="11" t="s">
        <v>43</v>
      </c>
      <c r="AL429" s="18" t="str">
        <f t="shared" si="21"/>
        <v/>
      </c>
    </row>
    <row r="430" ht="15.75" customHeight="1">
      <c r="A430" s="11" t="s">
        <v>816</v>
      </c>
      <c r="B430" s="11">
        <v>2015.0</v>
      </c>
      <c r="C430" s="12" t="str">
        <f>VLOOKUP(A430, Regions!A:B, 2, FALSE)
</f>
        <v>Sub-Saharan Africa</v>
      </c>
      <c r="D430" s="13">
        <f t="shared" si="1"/>
        <v>5</v>
      </c>
      <c r="E430" s="14">
        <f t="shared" si="2"/>
        <v>2017.5</v>
      </c>
      <c r="F430" s="11" t="s">
        <v>817</v>
      </c>
      <c r="G430" s="11">
        <v>22.05999947</v>
      </c>
      <c r="H430" s="11">
        <v>47.84155836</v>
      </c>
      <c r="I430" s="15">
        <f t="shared" si="3"/>
        <v>48</v>
      </c>
      <c r="J430" s="16" t="str">
        <f t="shared" si="4"/>
        <v/>
      </c>
      <c r="K430" s="16" t="str">
        <f t="shared" si="5"/>
        <v/>
      </c>
      <c r="L430" s="16" t="str">
        <f t="shared" si="6"/>
        <v/>
      </c>
      <c r="M430" s="16" t="str">
        <f t="shared" si="7"/>
        <v>ARC&gt;0</v>
      </c>
      <c r="N430" s="13">
        <f t="shared" si="8"/>
        <v>1.60269817</v>
      </c>
      <c r="O430" s="11">
        <v>30.09540377</v>
      </c>
      <c r="P430" s="11">
        <v>15.10676845</v>
      </c>
      <c r="Q430" s="11">
        <v>6.95626942</v>
      </c>
      <c r="R430" s="11">
        <v>39.71700313</v>
      </c>
      <c r="S430" s="15">
        <f t="shared" si="9"/>
        <v>40</v>
      </c>
      <c r="T430" s="17" t="str">
        <f t="shared" si="10"/>
        <v/>
      </c>
      <c r="U430" s="17" t="str">
        <f t="shared" si="11"/>
        <v/>
      </c>
      <c r="V430" s="17" t="str">
        <f t="shared" si="12"/>
        <v/>
      </c>
      <c r="W430" s="17" t="str">
        <f t="shared" si="13"/>
        <v>ARC&gt;0</v>
      </c>
      <c r="X430" s="13">
        <f t="shared" si="14"/>
        <v>1.70283729</v>
      </c>
      <c r="Y430" s="11">
        <v>34.1765633</v>
      </c>
      <c r="Z430" s="11">
        <v>17.51911722</v>
      </c>
      <c r="AA430" s="11">
        <v>8.587316348</v>
      </c>
      <c r="AB430" s="11">
        <v>76.54635609</v>
      </c>
      <c r="AC430" s="15">
        <f t="shared" si="15"/>
        <v>77</v>
      </c>
      <c r="AD430" s="16" t="str">
        <f t="shared" si="16"/>
        <v/>
      </c>
      <c r="AE430" s="16" t="str">
        <f t="shared" si="17"/>
        <v/>
      </c>
      <c r="AF430" s="16" t="str">
        <f t="shared" si="18"/>
        <v/>
      </c>
      <c r="AG430" s="16" t="str">
        <f t="shared" si="19"/>
        <v>ARC&gt;0</v>
      </c>
      <c r="AH430" s="13">
        <f t="shared" si="20"/>
        <v>0.447299142</v>
      </c>
      <c r="AI430" s="11">
        <v>15.67629339</v>
      </c>
      <c r="AJ430" s="11">
        <v>6.58371928</v>
      </c>
      <c r="AK430" s="11" t="s">
        <v>818</v>
      </c>
      <c r="AL430" s="18">
        <f t="shared" si="21"/>
        <v>1.255538148</v>
      </c>
    </row>
    <row r="431" ht="15.75" customHeight="1">
      <c r="A431" s="11" t="s">
        <v>816</v>
      </c>
      <c r="B431" s="11">
        <v>2020.0</v>
      </c>
      <c r="C431" s="12" t="str">
        <f>VLOOKUP(A431, Regions!A:B, 2, FALSE)
</f>
        <v>Sub-Saharan Africa</v>
      </c>
      <c r="D431" s="13" t="str">
        <f t="shared" si="1"/>
        <v/>
      </c>
      <c r="E431" s="14" t="str">
        <f t="shared" si="2"/>
        <v/>
      </c>
      <c r="F431" s="11" t="s">
        <v>819</v>
      </c>
      <c r="G431" s="11">
        <v>24.95400047</v>
      </c>
      <c r="H431" s="11">
        <v>55.85504921</v>
      </c>
      <c r="I431" s="15">
        <f t="shared" si="3"/>
        <v>56</v>
      </c>
      <c r="J431" s="16" t="str">
        <f t="shared" si="4"/>
        <v/>
      </c>
      <c r="K431" s="16" t="str">
        <f t="shared" si="5"/>
        <v/>
      </c>
      <c r="L431" s="16" t="str">
        <f t="shared" si="6"/>
        <v/>
      </c>
      <c r="M431" s="16" t="str">
        <f t="shared" si="7"/>
        <v>ARC&gt;0</v>
      </c>
      <c r="N431" s="13" t="str">
        <f t="shared" si="8"/>
        <v/>
      </c>
      <c r="O431" s="11">
        <v>27.28286</v>
      </c>
      <c r="P431" s="11">
        <v>12.16590654</v>
      </c>
      <c r="Q431" s="11">
        <v>4.696184252</v>
      </c>
      <c r="R431" s="11">
        <v>48.23118958</v>
      </c>
      <c r="S431" s="15">
        <f t="shared" si="9"/>
        <v>48</v>
      </c>
      <c r="T431" s="17" t="str">
        <f t="shared" si="10"/>
        <v/>
      </c>
      <c r="U431" s="17" t="str">
        <f t="shared" si="11"/>
        <v/>
      </c>
      <c r="V431" s="17" t="str">
        <f t="shared" si="12"/>
        <v/>
      </c>
      <c r="W431" s="17" t="str">
        <f t="shared" si="13"/>
        <v>ARC&gt;0</v>
      </c>
      <c r="X431" s="13" t="str">
        <f t="shared" si="14"/>
        <v/>
      </c>
      <c r="Y431" s="11">
        <v>31.78469426</v>
      </c>
      <c r="Z431" s="11">
        <v>14.07616061</v>
      </c>
      <c r="AA431" s="11">
        <v>5.907955546</v>
      </c>
      <c r="AB431" s="11">
        <v>78.7828518</v>
      </c>
      <c r="AC431" s="15">
        <f t="shared" si="15"/>
        <v>79</v>
      </c>
      <c r="AD431" s="16" t="str">
        <f t="shared" si="16"/>
        <v/>
      </c>
      <c r="AE431" s="16" t="str">
        <f t="shared" si="17"/>
        <v/>
      </c>
      <c r="AF431" s="16" t="str">
        <f t="shared" si="18"/>
        <v/>
      </c>
      <c r="AG431" s="16" t="str">
        <f t="shared" si="19"/>
        <v>ARC&gt;0</v>
      </c>
      <c r="AH431" s="13" t="str">
        <f t="shared" si="20"/>
        <v/>
      </c>
      <c r="AI431" s="11">
        <v>13.74416783</v>
      </c>
      <c r="AJ431" s="11">
        <v>6.421044133</v>
      </c>
      <c r="AK431" s="11" t="s">
        <v>820</v>
      </c>
      <c r="AL431" s="18" t="str">
        <f t="shared" si="21"/>
        <v/>
      </c>
    </row>
    <row r="432" ht="15.75" customHeight="1">
      <c r="A432" s="11" t="s">
        <v>821</v>
      </c>
      <c r="B432" s="11">
        <v>2015.0</v>
      </c>
      <c r="C432" s="12" t="str">
        <f>VLOOKUP(A432, Regions!A:B, 2, FALSE)
</f>
        <v>Europe &amp; Central Asia</v>
      </c>
      <c r="D432" s="13">
        <f t="shared" si="1"/>
        <v>5</v>
      </c>
      <c r="E432" s="14">
        <f t="shared" si="2"/>
        <v>2017.5</v>
      </c>
      <c r="F432" s="11" t="s">
        <v>822</v>
      </c>
      <c r="G432" s="11">
        <v>69.06100464</v>
      </c>
      <c r="H432" s="11">
        <v>93.65690669</v>
      </c>
      <c r="I432" s="15">
        <f t="shared" si="3"/>
        <v>94</v>
      </c>
      <c r="J432" s="16" t="str">
        <f t="shared" si="4"/>
        <v/>
      </c>
      <c r="K432" s="16" t="str">
        <f t="shared" si="5"/>
        <v/>
      </c>
      <c r="L432" s="16" t="str">
        <f t="shared" si="6"/>
        <v/>
      </c>
      <c r="M432" s="16" t="str">
        <f t="shared" si="7"/>
        <v>ARC&gt;0</v>
      </c>
      <c r="N432" s="13">
        <f t="shared" si="8"/>
        <v>0.054275052</v>
      </c>
      <c r="O432" s="11">
        <v>5.630873723</v>
      </c>
      <c r="P432" s="11">
        <v>0.4364563488</v>
      </c>
      <c r="Q432" s="11">
        <v>0.2757632395</v>
      </c>
      <c r="R432" s="11">
        <v>98.84311161</v>
      </c>
      <c r="S432" s="15">
        <f t="shared" si="9"/>
        <v>99</v>
      </c>
      <c r="T432" s="17" t="str">
        <f t="shared" si="10"/>
        <v/>
      </c>
      <c r="U432" s="17" t="str">
        <f t="shared" si="11"/>
        <v/>
      </c>
      <c r="V432" s="17" t="str">
        <f t="shared" si="12"/>
        <v/>
      </c>
      <c r="W432" s="17" t="str">
        <f t="shared" si="13"/>
        <v>ARC&gt;0</v>
      </c>
      <c r="X432" s="13">
        <f t="shared" si="14"/>
        <v>0.231377678</v>
      </c>
      <c r="Y432" s="11">
        <v>0.0</v>
      </c>
      <c r="Z432" s="11">
        <v>0.944405312</v>
      </c>
      <c r="AA432" s="11">
        <v>0.2124830817</v>
      </c>
      <c r="AB432" s="11">
        <v>91.33350853</v>
      </c>
      <c r="AC432" s="15">
        <f t="shared" si="15"/>
        <v>91</v>
      </c>
      <c r="AD432" s="16" t="str">
        <f t="shared" si="16"/>
        <v/>
      </c>
      <c r="AE432" s="16" t="str">
        <f t="shared" si="17"/>
        <v/>
      </c>
      <c r="AF432" s="16" t="str">
        <f t="shared" si="18"/>
        <v/>
      </c>
      <c r="AG432" s="16" t="str">
        <f t="shared" si="19"/>
        <v>ARC&gt;0</v>
      </c>
      <c r="AH432" s="13">
        <f t="shared" si="20"/>
        <v>-0.011247684</v>
      </c>
      <c r="AI432" s="11">
        <v>8.153478277</v>
      </c>
      <c r="AJ432" s="11">
        <v>0.2089007556</v>
      </c>
      <c r="AK432" s="11" t="s">
        <v>823</v>
      </c>
      <c r="AL432" s="18">
        <f t="shared" si="21"/>
        <v>0.242625362</v>
      </c>
    </row>
    <row r="433" ht="15.75" customHeight="1">
      <c r="A433" s="11" t="s">
        <v>821</v>
      </c>
      <c r="B433" s="11">
        <v>2020.0</v>
      </c>
      <c r="C433" s="12" t="str">
        <f>VLOOKUP(A433, Regions!A:B, 2, FALSE)
</f>
        <v>Europe &amp; Central Asia</v>
      </c>
      <c r="D433" s="13" t="str">
        <f t="shared" si="1"/>
        <v/>
      </c>
      <c r="E433" s="14" t="str">
        <f t="shared" si="2"/>
        <v/>
      </c>
      <c r="F433" s="11" t="s">
        <v>824</v>
      </c>
      <c r="G433" s="11">
        <v>69.60800171</v>
      </c>
      <c r="H433" s="11">
        <v>93.92828195</v>
      </c>
      <c r="I433" s="15">
        <f t="shared" si="3"/>
        <v>94</v>
      </c>
      <c r="J433" s="16" t="str">
        <f t="shared" si="4"/>
        <v/>
      </c>
      <c r="K433" s="16" t="str">
        <f t="shared" si="5"/>
        <v/>
      </c>
      <c r="L433" s="16" t="str">
        <f t="shared" si="6"/>
        <v/>
      </c>
      <c r="M433" s="16" t="str">
        <f t="shared" si="7"/>
        <v>ARC&gt;0</v>
      </c>
      <c r="N433" s="13" t="str">
        <f t="shared" si="8"/>
        <v/>
      </c>
      <c r="O433" s="11">
        <v>5.671978717</v>
      </c>
      <c r="P433" s="11">
        <v>0.07590450129</v>
      </c>
      <c r="Q433" s="11">
        <v>0.323834836</v>
      </c>
      <c r="R433" s="11">
        <v>100.0</v>
      </c>
      <c r="S433" s="15">
        <f t="shared" si="9"/>
        <v>100</v>
      </c>
      <c r="T433" s="17" t="str">
        <f t="shared" si="10"/>
        <v/>
      </c>
      <c r="U433" s="17" t="str">
        <f t="shared" si="11"/>
        <v/>
      </c>
      <c r="V433" s="17" t="str">
        <f t="shared" si="12"/>
        <v/>
      </c>
      <c r="W433" s="17" t="str">
        <f t="shared" si="13"/>
        <v>ARC&gt;0</v>
      </c>
      <c r="X433" s="13" t="str">
        <f t="shared" si="14"/>
        <v/>
      </c>
      <c r="Y433" s="11">
        <v>0.0</v>
      </c>
      <c r="Z433" s="11">
        <v>0.0</v>
      </c>
      <c r="AA433" s="11">
        <v>0.0</v>
      </c>
      <c r="AB433" s="11">
        <v>91.27727011</v>
      </c>
      <c r="AC433" s="15">
        <f t="shared" si="15"/>
        <v>91</v>
      </c>
      <c r="AD433" s="16" t="str">
        <f t="shared" si="16"/>
        <v/>
      </c>
      <c r="AE433" s="16" t="str">
        <f t="shared" si="17"/>
        <v/>
      </c>
      <c r="AF433" s="16" t="str">
        <f t="shared" si="18"/>
        <v/>
      </c>
      <c r="AG433" s="16" t="str">
        <f t="shared" si="19"/>
        <v>ARC&gt;0</v>
      </c>
      <c r="AH433" s="13" t="str">
        <f t="shared" si="20"/>
        <v/>
      </c>
      <c r="AI433" s="11">
        <v>8.14845779</v>
      </c>
      <c r="AJ433" s="11">
        <v>0.1090456533</v>
      </c>
      <c r="AK433" s="11" t="s">
        <v>825</v>
      </c>
      <c r="AL433" s="18" t="str">
        <f t="shared" si="21"/>
        <v/>
      </c>
    </row>
    <row r="434" ht="15.75" customHeight="1">
      <c r="A434" s="11" t="s">
        <v>826</v>
      </c>
      <c r="B434" s="11">
        <v>2015.0</v>
      </c>
      <c r="C434" s="12" t="str">
        <f>VLOOKUP(A434, Regions!A:B, 2, FALSE)
</f>
        <v>Europe &amp; Central Asia</v>
      </c>
      <c r="D434" s="13">
        <f t="shared" si="1"/>
        <v>5</v>
      </c>
      <c r="E434" s="14">
        <f t="shared" si="2"/>
        <v>2017.5</v>
      </c>
      <c r="F434" s="11" t="s">
        <v>827</v>
      </c>
      <c r="G434" s="11">
        <v>85.6740036</v>
      </c>
      <c r="H434" s="11">
        <v>99.97133247</v>
      </c>
      <c r="I434" s="15">
        <f t="shared" si="3"/>
        <v>100</v>
      </c>
      <c r="J434" s="16" t="str">
        <f t="shared" si="4"/>
        <v>full access</v>
      </c>
      <c r="K434" s="16" t="str">
        <f t="shared" si="5"/>
        <v/>
      </c>
      <c r="L434" s="16" t="str">
        <f t="shared" si="6"/>
        <v/>
      </c>
      <c r="M434" s="16" t="str">
        <f t="shared" si="7"/>
        <v/>
      </c>
      <c r="N434" s="13">
        <f t="shared" si="8"/>
        <v>-0.001147294</v>
      </c>
      <c r="O434" s="11">
        <v>0.0</v>
      </c>
      <c r="P434" s="11">
        <v>0.02866753431</v>
      </c>
      <c r="Q434" s="11">
        <v>0.0</v>
      </c>
      <c r="S434" s="15">
        <f t="shared" si="9"/>
        <v>0</v>
      </c>
      <c r="T434" s="17" t="str">
        <f t="shared" si="10"/>
        <v/>
      </c>
      <c r="U434" s="17" t="str">
        <f t="shared" si="11"/>
        <v>ARC=0</v>
      </c>
      <c r="V434" s="17" t="str">
        <f t="shared" si="12"/>
        <v/>
      </c>
      <c r="W434" s="17" t="str">
        <f t="shared" si="13"/>
        <v/>
      </c>
      <c r="X434" s="13">
        <f t="shared" si="14"/>
        <v>0</v>
      </c>
      <c r="AC434" s="15">
        <f t="shared" si="15"/>
        <v>0</v>
      </c>
      <c r="AD434" s="16" t="str">
        <f t="shared" si="16"/>
        <v/>
      </c>
      <c r="AE434" s="16" t="str">
        <f t="shared" si="17"/>
        <v>ARC=0</v>
      </c>
      <c r="AF434" s="16" t="str">
        <f t="shared" si="18"/>
        <v/>
      </c>
      <c r="AG434" s="16" t="str">
        <f t="shared" si="19"/>
        <v/>
      </c>
      <c r="AH434" s="13">
        <f t="shared" si="20"/>
        <v>0</v>
      </c>
      <c r="AL434" s="18">
        <f t="shared" si="21"/>
        <v>0</v>
      </c>
    </row>
    <row r="435" ht="15.75" customHeight="1">
      <c r="A435" s="11" t="s">
        <v>826</v>
      </c>
      <c r="B435" s="11">
        <v>2020.0</v>
      </c>
      <c r="C435" s="12" t="str">
        <f>VLOOKUP(A435, Regions!A:B, 2, FALSE)
</f>
        <v>Europe &amp; Central Asia</v>
      </c>
      <c r="D435" s="13" t="str">
        <f t="shared" si="1"/>
        <v/>
      </c>
      <c r="E435" s="14" t="str">
        <f t="shared" si="2"/>
        <v/>
      </c>
      <c r="F435" s="11" t="s">
        <v>828</v>
      </c>
      <c r="G435" s="11">
        <v>87.04799652</v>
      </c>
      <c r="H435" s="11">
        <v>99.965596</v>
      </c>
      <c r="I435" s="15">
        <f t="shared" si="3"/>
        <v>100</v>
      </c>
      <c r="J435" s="16" t="str">
        <f t="shared" si="4"/>
        <v/>
      </c>
      <c r="K435" s="16" t="str">
        <f t="shared" si="5"/>
        <v/>
      </c>
      <c r="L435" s="16" t="str">
        <f t="shared" si="6"/>
        <v/>
      </c>
      <c r="M435" s="16" t="str">
        <f t="shared" si="7"/>
        <v>ARC&gt;0</v>
      </c>
      <c r="N435" s="13" t="str">
        <f t="shared" si="8"/>
        <v/>
      </c>
      <c r="O435" s="11">
        <v>0.0</v>
      </c>
      <c r="P435" s="11">
        <v>0.034404</v>
      </c>
      <c r="Q435" s="11">
        <v>0.0</v>
      </c>
      <c r="S435" s="15">
        <f t="shared" si="9"/>
        <v>0</v>
      </c>
      <c r="T435" s="17" t="str">
        <f t="shared" si="10"/>
        <v/>
      </c>
      <c r="U435" s="17" t="str">
        <f t="shared" si="11"/>
        <v>ARC=0</v>
      </c>
      <c r="V435" s="17" t="str">
        <f t="shared" si="12"/>
        <v/>
      </c>
      <c r="W435" s="17" t="str">
        <f t="shared" si="13"/>
        <v/>
      </c>
      <c r="X435" s="13" t="str">
        <f t="shared" si="14"/>
        <v/>
      </c>
      <c r="AC435" s="15">
        <f t="shared" si="15"/>
        <v>0</v>
      </c>
      <c r="AD435" s="16" t="str">
        <f t="shared" si="16"/>
        <v/>
      </c>
      <c r="AE435" s="16" t="str">
        <f t="shared" si="17"/>
        <v>ARC=0</v>
      </c>
      <c r="AF435" s="16" t="str">
        <f t="shared" si="18"/>
        <v/>
      </c>
      <c r="AG435" s="16" t="str">
        <f t="shared" si="19"/>
        <v/>
      </c>
      <c r="AH435" s="13" t="str">
        <f t="shared" si="20"/>
        <v/>
      </c>
      <c r="AL435" s="18" t="str">
        <f t="shared" si="21"/>
        <v/>
      </c>
    </row>
    <row r="436" ht="15.75" customHeight="1">
      <c r="A436" s="11" t="s">
        <v>829</v>
      </c>
      <c r="B436" s="11">
        <v>2015.0</v>
      </c>
      <c r="C436" s="12" t="str">
        <f>VLOOKUP(A436, Regions!A:B, 2, FALSE)
</f>
        <v>Europe &amp; Central Asia</v>
      </c>
      <c r="D436" s="13">
        <f t="shared" si="1"/>
        <v>5</v>
      </c>
      <c r="E436" s="14">
        <f t="shared" si="2"/>
        <v>2017.5</v>
      </c>
      <c r="F436" s="11" t="s">
        <v>830</v>
      </c>
      <c r="G436" s="11">
        <v>82.62599945</v>
      </c>
      <c r="H436" s="11">
        <v>100.0000015</v>
      </c>
      <c r="I436" s="15">
        <f t="shared" si="3"/>
        <v>100</v>
      </c>
      <c r="J436" s="16" t="str">
        <f t="shared" si="4"/>
        <v>full access</v>
      </c>
      <c r="K436" s="16" t="str">
        <f t="shared" si="5"/>
        <v/>
      </c>
      <c r="L436" s="16" t="str">
        <f t="shared" si="6"/>
        <v/>
      </c>
      <c r="M436" s="16" t="str">
        <f t="shared" si="7"/>
        <v/>
      </c>
      <c r="N436" s="13">
        <f t="shared" si="8"/>
        <v>-0.0000005880000003</v>
      </c>
      <c r="O436" s="11">
        <v>0.0</v>
      </c>
      <c r="P436" s="11">
        <v>0.0</v>
      </c>
      <c r="Q436" s="11">
        <v>0.0</v>
      </c>
      <c r="R436" s="11">
        <v>100.0</v>
      </c>
      <c r="S436" s="15">
        <f t="shared" si="9"/>
        <v>100</v>
      </c>
      <c r="T436" s="17" t="str">
        <f t="shared" si="10"/>
        <v>full access</v>
      </c>
      <c r="U436" s="17" t="str">
        <f t="shared" si="11"/>
        <v/>
      </c>
      <c r="V436" s="17" t="str">
        <f t="shared" si="12"/>
        <v/>
      </c>
      <c r="W436" s="17" t="str">
        <f t="shared" si="13"/>
        <v>ARC&gt;0</v>
      </c>
      <c r="X436" s="13">
        <f t="shared" si="14"/>
        <v>0</v>
      </c>
      <c r="Y436" s="11">
        <v>0.0</v>
      </c>
      <c r="Z436" s="11">
        <v>0.0</v>
      </c>
      <c r="AA436" s="11">
        <v>0.0</v>
      </c>
      <c r="AB436" s="11">
        <v>100.0</v>
      </c>
      <c r="AC436" s="15">
        <f t="shared" si="15"/>
        <v>100</v>
      </c>
      <c r="AD436" s="16" t="str">
        <f t="shared" si="16"/>
        <v>full access</v>
      </c>
      <c r="AE436" s="16" t="str">
        <f t="shared" si="17"/>
        <v/>
      </c>
      <c r="AF436" s="16" t="str">
        <f t="shared" si="18"/>
        <v/>
      </c>
      <c r="AG436" s="16" t="str">
        <f t="shared" si="19"/>
        <v>ARC&gt;0</v>
      </c>
      <c r="AH436" s="13">
        <f t="shared" si="20"/>
        <v>0</v>
      </c>
      <c r="AI436" s="11">
        <v>0.0</v>
      </c>
      <c r="AJ436" s="11">
        <v>0.0</v>
      </c>
      <c r="AK436" s="11" t="s">
        <v>43</v>
      </c>
      <c r="AL436" s="18">
        <f t="shared" si="21"/>
        <v>0</v>
      </c>
    </row>
    <row r="437" ht="15.75" customHeight="1">
      <c r="A437" s="11" t="s">
        <v>829</v>
      </c>
      <c r="B437" s="11">
        <v>2020.0</v>
      </c>
      <c r="C437" s="12" t="str">
        <f>VLOOKUP(A437, Regions!A:B, 2, FALSE)
</f>
        <v>Europe &amp; Central Asia</v>
      </c>
      <c r="D437" s="13" t="str">
        <f t="shared" si="1"/>
        <v/>
      </c>
      <c r="E437" s="14" t="str">
        <f t="shared" si="2"/>
        <v/>
      </c>
      <c r="F437" s="11" t="s">
        <v>831</v>
      </c>
      <c r="G437" s="11">
        <v>83.90299988</v>
      </c>
      <c r="H437" s="11">
        <v>99.99999856</v>
      </c>
      <c r="I437" s="15">
        <f t="shared" si="3"/>
        <v>100</v>
      </c>
      <c r="J437" s="16" t="str">
        <f t="shared" si="4"/>
        <v/>
      </c>
      <c r="K437" s="16" t="str">
        <f t="shared" si="5"/>
        <v/>
      </c>
      <c r="L437" s="16" t="str">
        <f t="shared" si="6"/>
        <v/>
      </c>
      <c r="M437" s="16" t="str">
        <f t="shared" si="7"/>
        <v>ARC&gt;0</v>
      </c>
      <c r="N437" s="13" t="str">
        <f t="shared" si="8"/>
        <v/>
      </c>
      <c r="O437" s="11">
        <v>0.0</v>
      </c>
      <c r="P437" s="11">
        <v>1.43853282E-6</v>
      </c>
      <c r="Q437" s="11">
        <v>0.0</v>
      </c>
      <c r="R437" s="11">
        <v>100.0</v>
      </c>
      <c r="S437" s="15">
        <f t="shared" si="9"/>
        <v>100</v>
      </c>
      <c r="T437" s="17" t="str">
        <f t="shared" si="10"/>
        <v/>
      </c>
      <c r="U437" s="17" t="str">
        <f t="shared" si="11"/>
        <v/>
      </c>
      <c r="V437" s="17" t="str">
        <f t="shared" si="12"/>
        <v/>
      </c>
      <c r="W437" s="17" t="str">
        <f t="shared" si="13"/>
        <v>ARC&gt;0</v>
      </c>
      <c r="X437" s="13" t="str">
        <f t="shared" si="14"/>
        <v/>
      </c>
      <c r="Y437" s="11">
        <v>0.0</v>
      </c>
      <c r="Z437" s="11">
        <v>0.0</v>
      </c>
      <c r="AA437" s="11">
        <v>0.0</v>
      </c>
      <c r="AB437" s="11">
        <v>100.0</v>
      </c>
      <c r="AC437" s="15">
        <f t="shared" si="15"/>
        <v>100</v>
      </c>
      <c r="AD437" s="16" t="str">
        <f t="shared" si="16"/>
        <v/>
      </c>
      <c r="AE437" s="16" t="str">
        <f t="shared" si="17"/>
        <v/>
      </c>
      <c r="AF437" s="16" t="str">
        <f t="shared" si="18"/>
        <v/>
      </c>
      <c r="AG437" s="16" t="str">
        <f t="shared" si="19"/>
        <v>ARC&gt;0</v>
      </c>
      <c r="AH437" s="13" t="str">
        <f t="shared" si="20"/>
        <v/>
      </c>
      <c r="AI437" s="11">
        <v>0.0</v>
      </c>
      <c r="AJ437" s="11">
        <v>0.0</v>
      </c>
      <c r="AK437" s="11" t="s">
        <v>43</v>
      </c>
      <c r="AL437" s="18" t="str">
        <f t="shared" si="21"/>
        <v/>
      </c>
    </row>
    <row r="438" ht="15.75" customHeight="1">
      <c r="A438" s="11" t="s">
        <v>832</v>
      </c>
      <c r="B438" s="11">
        <v>2015.0</v>
      </c>
      <c r="C438" s="12" t="str">
        <f>VLOOKUP(A438, Regions!A:B, 2, FALSE)
</f>
        <v>Sub-Saharan Africa</v>
      </c>
      <c r="D438" s="13">
        <f t="shared" si="1"/>
        <v>5</v>
      </c>
      <c r="E438" s="14">
        <f t="shared" si="2"/>
        <v>2017.5</v>
      </c>
      <c r="F438" s="11" t="s">
        <v>833</v>
      </c>
      <c r="G438" s="11">
        <v>31.61700058</v>
      </c>
      <c r="H438" s="11">
        <v>52.96379459</v>
      </c>
      <c r="I438" s="15">
        <f t="shared" si="3"/>
        <v>53</v>
      </c>
      <c r="J438" s="16" t="str">
        <f t="shared" si="4"/>
        <v/>
      </c>
      <c r="K438" s="16" t="str">
        <f t="shared" si="5"/>
        <v/>
      </c>
      <c r="L438" s="16" t="str">
        <f t="shared" si="6"/>
        <v/>
      </c>
      <c r="M438" s="16" t="str">
        <f t="shared" si="7"/>
        <v>ARC&gt;0</v>
      </c>
      <c r="N438" s="13">
        <f t="shared" si="8"/>
        <v>1.5506006</v>
      </c>
      <c r="O438" s="11">
        <v>11.30893693</v>
      </c>
      <c r="P438" s="11">
        <v>21.38524788</v>
      </c>
      <c r="Q438" s="11">
        <v>14.3420206</v>
      </c>
      <c r="R438" s="11">
        <v>38.86342456</v>
      </c>
      <c r="S438" s="15">
        <f t="shared" si="9"/>
        <v>39</v>
      </c>
      <c r="T438" s="17" t="str">
        <f t="shared" si="10"/>
        <v/>
      </c>
      <c r="U438" s="17" t="str">
        <f t="shared" si="11"/>
        <v/>
      </c>
      <c r="V438" s="17" t="str">
        <f t="shared" si="12"/>
        <v/>
      </c>
      <c r="W438" s="17" t="str">
        <f t="shared" si="13"/>
        <v>ARC&gt;0</v>
      </c>
      <c r="X438" s="13">
        <f t="shared" si="14"/>
        <v>1.316708156</v>
      </c>
      <c r="Y438" s="11">
        <v>13.19289824</v>
      </c>
      <c r="Z438" s="11">
        <v>28.1932841</v>
      </c>
      <c r="AA438" s="11">
        <v>19.75039311</v>
      </c>
      <c r="AB438" s="11">
        <v>83.4608554</v>
      </c>
      <c r="AC438" s="15">
        <f t="shared" si="15"/>
        <v>83</v>
      </c>
      <c r="AD438" s="16" t="str">
        <f t="shared" si="16"/>
        <v/>
      </c>
      <c r="AE438" s="16" t="str">
        <f t="shared" si="17"/>
        <v/>
      </c>
      <c r="AF438" s="16" t="str">
        <f t="shared" si="18"/>
        <v/>
      </c>
      <c r="AG438" s="16" t="str">
        <f t="shared" si="19"/>
        <v>ARC&gt;0</v>
      </c>
      <c r="AH438" s="13">
        <f t="shared" si="20"/>
        <v>1.0666139</v>
      </c>
      <c r="AI438" s="11">
        <v>7.234201128</v>
      </c>
      <c r="AJ438" s="11">
        <v>6.6604503</v>
      </c>
      <c r="AK438" s="11" t="s">
        <v>834</v>
      </c>
      <c r="AL438" s="18">
        <f t="shared" si="21"/>
        <v>0.250094256</v>
      </c>
    </row>
    <row r="439" ht="15.75" customHeight="1">
      <c r="A439" s="11" t="s">
        <v>832</v>
      </c>
      <c r="B439" s="11">
        <v>2020.0</v>
      </c>
      <c r="C439" s="12" t="str">
        <f>VLOOKUP(A439, Regions!A:B, 2, FALSE)
</f>
        <v>Sub-Saharan Africa</v>
      </c>
      <c r="D439" s="13" t="str">
        <f t="shared" si="1"/>
        <v/>
      </c>
      <c r="E439" s="14" t="str">
        <f t="shared" si="2"/>
        <v/>
      </c>
      <c r="F439" s="11" t="s">
        <v>835</v>
      </c>
      <c r="G439" s="11">
        <v>35.22700119</v>
      </c>
      <c r="H439" s="11">
        <v>60.71679759</v>
      </c>
      <c r="I439" s="15">
        <f t="shared" si="3"/>
        <v>61</v>
      </c>
      <c r="J439" s="16" t="str">
        <f t="shared" si="4"/>
        <v/>
      </c>
      <c r="K439" s="16" t="str">
        <f t="shared" si="5"/>
        <v/>
      </c>
      <c r="L439" s="16" t="str">
        <f t="shared" si="6"/>
        <v/>
      </c>
      <c r="M439" s="16" t="str">
        <f t="shared" si="7"/>
        <v>ARC&gt;0</v>
      </c>
      <c r="N439" s="13" t="str">
        <f t="shared" si="8"/>
        <v/>
      </c>
      <c r="O439" s="11">
        <v>11.29007067</v>
      </c>
      <c r="P439" s="11">
        <v>14.51775136</v>
      </c>
      <c r="Q439" s="11">
        <v>13.47538038</v>
      </c>
      <c r="R439" s="11">
        <v>45.44696534</v>
      </c>
      <c r="S439" s="15">
        <f t="shared" si="9"/>
        <v>45</v>
      </c>
      <c r="T439" s="17" t="str">
        <f t="shared" si="10"/>
        <v/>
      </c>
      <c r="U439" s="17" t="str">
        <f t="shared" si="11"/>
        <v/>
      </c>
      <c r="V439" s="17" t="str">
        <f t="shared" si="12"/>
        <v/>
      </c>
      <c r="W439" s="17" t="str">
        <f t="shared" si="13"/>
        <v>ARC&gt;0</v>
      </c>
      <c r="X439" s="13" t="str">
        <f t="shared" si="14"/>
        <v/>
      </c>
      <c r="Y439" s="11">
        <v>13.98368881</v>
      </c>
      <c r="Z439" s="11">
        <v>21.21996133</v>
      </c>
      <c r="AA439" s="11">
        <v>19.34938452</v>
      </c>
      <c r="AB439" s="11">
        <v>88.7939249</v>
      </c>
      <c r="AC439" s="15">
        <f t="shared" si="15"/>
        <v>89</v>
      </c>
      <c r="AD439" s="16" t="str">
        <f t="shared" si="16"/>
        <v/>
      </c>
      <c r="AE439" s="16" t="str">
        <f t="shared" si="17"/>
        <v/>
      </c>
      <c r="AF439" s="16" t="str">
        <f t="shared" si="18"/>
        <v/>
      </c>
      <c r="AG439" s="16" t="str">
        <f t="shared" si="19"/>
        <v>ARC&gt;0</v>
      </c>
      <c r="AH439" s="13" t="str">
        <f t="shared" si="20"/>
        <v/>
      </c>
      <c r="AI439" s="11">
        <v>6.337231166</v>
      </c>
      <c r="AJ439" s="11">
        <v>2.194178786</v>
      </c>
      <c r="AK439" s="11" t="s">
        <v>836</v>
      </c>
      <c r="AL439" s="18" t="str">
        <f t="shared" si="21"/>
        <v/>
      </c>
    </row>
    <row r="440" ht="15.75" customHeight="1">
      <c r="A440" s="11" t="s">
        <v>837</v>
      </c>
      <c r="B440" s="11">
        <v>2015.0</v>
      </c>
      <c r="C440" s="12" t="str">
        <f>VLOOKUP(A440, Regions!A:B, 2, FALSE)
</f>
        <v>North America</v>
      </c>
      <c r="D440" s="13">
        <f t="shared" si="1"/>
        <v>5</v>
      </c>
      <c r="E440" s="14">
        <f t="shared" si="2"/>
        <v>2017.5</v>
      </c>
      <c r="F440" s="11" t="s">
        <v>838</v>
      </c>
      <c r="G440" s="11">
        <v>81.67100525</v>
      </c>
      <c r="H440" s="11">
        <v>99.44715776</v>
      </c>
      <c r="I440" s="15">
        <f t="shared" si="3"/>
        <v>99</v>
      </c>
      <c r="J440" s="16" t="str">
        <f t="shared" si="4"/>
        <v/>
      </c>
      <c r="K440" s="16" t="str">
        <f t="shared" si="5"/>
        <v/>
      </c>
      <c r="L440" s="16" t="str">
        <f t="shared" si="6"/>
        <v/>
      </c>
      <c r="M440" s="16" t="str">
        <f t="shared" si="7"/>
        <v>ARC&gt;0</v>
      </c>
      <c r="N440" s="13">
        <f t="shared" si="8"/>
        <v>0.087273784</v>
      </c>
      <c r="O440" s="11">
        <v>0.0</v>
      </c>
      <c r="P440" s="11">
        <v>0.5528422372</v>
      </c>
      <c r="Q440" s="11">
        <v>0.0</v>
      </c>
      <c r="R440" s="11">
        <v>97.78011851</v>
      </c>
      <c r="S440" s="15">
        <f t="shared" si="9"/>
        <v>98</v>
      </c>
      <c r="T440" s="17" t="str">
        <f t="shared" si="10"/>
        <v/>
      </c>
      <c r="U440" s="17" t="str">
        <f t="shared" si="11"/>
        <v/>
      </c>
      <c r="V440" s="17" t="str">
        <f t="shared" si="12"/>
        <v/>
      </c>
      <c r="W440" s="17" t="str">
        <f t="shared" si="13"/>
        <v>ARC&gt;0</v>
      </c>
      <c r="X440" s="13">
        <f t="shared" si="14"/>
        <v>0.378133766</v>
      </c>
      <c r="Y440" s="11">
        <v>0.0</v>
      </c>
      <c r="Z440" s="11">
        <v>2.219881485</v>
      </c>
      <c r="AA440" s="11">
        <v>0.0</v>
      </c>
      <c r="AB440" s="11">
        <v>99.82127981</v>
      </c>
      <c r="AC440" s="15">
        <f t="shared" si="15"/>
        <v>100</v>
      </c>
      <c r="AD440" s="16" t="str">
        <f t="shared" si="16"/>
        <v>full access</v>
      </c>
      <c r="AE440" s="16" t="str">
        <f t="shared" si="17"/>
        <v/>
      </c>
      <c r="AF440" s="16" t="str">
        <f t="shared" si="18"/>
        <v/>
      </c>
      <c r="AG440" s="16" t="str">
        <f t="shared" si="19"/>
        <v>ARC&gt;0</v>
      </c>
      <c r="AH440" s="13">
        <f t="shared" si="20"/>
        <v>0.021372932</v>
      </c>
      <c r="AI440" s="11">
        <v>0.0</v>
      </c>
      <c r="AJ440" s="11">
        <v>0.1787201944</v>
      </c>
      <c r="AK440" s="11" t="s">
        <v>43</v>
      </c>
      <c r="AL440" s="18">
        <f t="shared" si="21"/>
        <v>0.356760834</v>
      </c>
    </row>
    <row r="441" ht="15.75" customHeight="1">
      <c r="A441" s="11" t="s">
        <v>837</v>
      </c>
      <c r="B441" s="11">
        <v>2020.0</v>
      </c>
      <c r="C441" s="12" t="str">
        <f>VLOOKUP(A441, Regions!A:B, 2, FALSE)
</f>
        <v>North America</v>
      </c>
      <c r="D441" s="13" t="str">
        <f t="shared" si="1"/>
        <v/>
      </c>
      <c r="E441" s="14" t="str">
        <f t="shared" si="2"/>
        <v/>
      </c>
      <c r="F441" s="11" t="s">
        <v>839</v>
      </c>
      <c r="G441" s="11">
        <v>82.66400146</v>
      </c>
      <c r="H441" s="11">
        <v>99.88352668</v>
      </c>
      <c r="I441" s="15">
        <f t="shared" si="3"/>
        <v>100</v>
      </c>
      <c r="J441" s="16" t="str">
        <f t="shared" si="4"/>
        <v/>
      </c>
      <c r="K441" s="16" t="str">
        <f t="shared" si="5"/>
        <v/>
      </c>
      <c r="L441" s="16" t="str">
        <f t="shared" si="6"/>
        <v/>
      </c>
      <c r="M441" s="16" t="str">
        <f t="shared" si="7"/>
        <v>ARC&gt;0</v>
      </c>
      <c r="N441" s="13" t="str">
        <f t="shared" si="8"/>
        <v/>
      </c>
      <c r="O441" s="11">
        <v>0.0</v>
      </c>
      <c r="P441" s="11">
        <v>0.1164733182</v>
      </c>
      <c r="Q441" s="11">
        <v>0.0</v>
      </c>
      <c r="R441" s="11">
        <v>99.67078734</v>
      </c>
      <c r="S441" s="15">
        <f t="shared" si="9"/>
        <v>100</v>
      </c>
      <c r="T441" s="17" t="str">
        <f t="shared" si="10"/>
        <v/>
      </c>
      <c r="U441" s="17" t="str">
        <f t="shared" si="11"/>
        <v/>
      </c>
      <c r="V441" s="17" t="str">
        <f t="shared" si="12"/>
        <v/>
      </c>
      <c r="W441" s="17" t="str">
        <f t="shared" si="13"/>
        <v>ARC&gt;0</v>
      </c>
      <c r="X441" s="13" t="str">
        <f t="shared" si="14"/>
        <v/>
      </c>
      <c r="Y441" s="11">
        <v>0.0</v>
      </c>
      <c r="Z441" s="11">
        <v>0.3292126628</v>
      </c>
      <c r="AA441" s="11">
        <v>0.0</v>
      </c>
      <c r="AB441" s="11">
        <v>99.92814447</v>
      </c>
      <c r="AC441" s="15">
        <f t="shared" si="15"/>
        <v>100</v>
      </c>
      <c r="AD441" s="16" t="str">
        <f t="shared" si="16"/>
        <v/>
      </c>
      <c r="AE441" s="16" t="str">
        <f t="shared" si="17"/>
        <v/>
      </c>
      <c r="AF441" s="16" t="str">
        <f t="shared" si="18"/>
        <v/>
      </c>
      <c r="AG441" s="16" t="str">
        <f t="shared" si="19"/>
        <v>ARC&gt;0</v>
      </c>
      <c r="AH441" s="13" t="str">
        <f t="shared" si="20"/>
        <v/>
      </c>
      <c r="AI441" s="11">
        <v>0.0</v>
      </c>
      <c r="AJ441" s="11">
        <v>0.0718555296</v>
      </c>
      <c r="AK441" s="11" t="s">
        <v>43</v>
      </c>
      <c r="AL441" s="18" t="str">
        <f t="shared" si="21"/>
        <v/>
      </c>
    </row>
    <row r="442" ht="15.75" customHeight="1">
      <c r="A442" s="11" t="s">
        <v>840</v>
      </c>
      <c r="B442" s="11">
        <v>2015.0</v>
      </c>
      <c r="C442" s="12" t="str">
        <f>VLOOKUP(A442, Regions!A:B, 2, FALSE)
</f>
        <v>Latin America &amp; Caribbean</v>
      </c>
      <c r="D442" s="13">
        <f t="shared" si="1"/>
        <v>5</v>
      </c>
      <c r="E442" s="14">
        <f t="shared" si="2"/>
        <v>2017.5</v>
      </c>
      <c r="F442" s="11" t="s">
        <v>841</v>
      </c>
      <c r="G442" s="11">
        <v>95.34999847</v>
      </c>
      <c r="H442" s="11">
        <v>98.71827281</v>
      </c>
      <c r="I442" s="15">
        <f t="shared" si="3"/>
        <v>99</v>
      </c>
      <c r="J442" s="16" t="str">
        <f t="shared" si="4"/>
        <v/>
      </c>
      <c r="K442" s="16" t="str">
        <f t="shared" si="5"/>
        <v/>
      </c>
      <c r="L442" s="16" t="str">
        <f t="shared" si="6"/>
        <v/>
      </c>
      <c r="M442" s="16" t="str">
        <f t="shared" si="7"/>
        <v>ARC&gt;0</v>
      </c>
      <c r="N442" s="13">
        <f t="shared" si="8"/>
        <v>-0.000001086</v>
      </c>
      <c r="O442" s="11">
        <v>0.0</v>
      </c>
      <c r="P442" s="11">
        <v>1.281727186</v>
      </c>
      <c r="Q442" s="11">
        <v>0.0</v>
      </c>
      <c r="S442" s="15">
        <f t="shared" si="9"/>
        <v>0</v>
      </c>
      <c r="T442" s="17" t="str">
        <f t="shared" si="10"/>
        <v/>
      </c>
      <c r="U442" s="17" t="str">
        <f t="shared" si="11"/>
        <v>ARC=0</v>
      </c>
      <c r="V442" s="17" t="str">
        <f t="shared" si="12"/>
        <v/>
      </c>
      <c r="W442" s="17" t="str">
        <f t="shared" si="13"/>
        <v/>
      </c>
      <c r="X442" s="13">
        <f t="shared" si="14"/>
        <v>0</v>
      </c>
      <c r="AC442" s="15">
        <f t="shared" si="15"/>
        <v>0</v>
      </c>
      <c r="AD442" s="16" t="str">
        <f t="shared" si="16"/>
        <v/>
      </c>
      <c r="AE442" s="16" t="str">
        <f t="shared" si="17"/>
        <v>ARC=0</v>
      </c>
      <c r="AF442" s="16" t="str">
        <f t="shared" si="18"/>
        <v/>
      </c>
      <c r="AG442" s="16" t="str">
        <f t="shared" si="19"/>
        <v/>
      </c>
      <c r="AH442" s="13">
        <f t="shared" si="20"/>
        <v>0</v>
      </c>
      <c r="AL442" s="18">
        <f t="shared" si="21"/>
        <v>0</v>
      </c>
    </row>
    <row r="443" ht="15.75" customHeight="1">
      <c r="A443" s="11" t="s">
        <v>840</v>
      </c>
      <c r="B443" s="11">
        <v>2020.0</v>
      </c>
      <c r="C443" s="12" t="str">
        <f>VLOOKUP(A443, Regions!A:B, 2, FALSE)
</f>
        <v>Latin America &amp; Caribbean</v>
      </c>
      <c r="D443" s="13" t="str">
        <f t="shared" si="1"/>
        <v/>
      </c>
      <c r="E443" s="14" t="str">
        <f t="shared" si="2"/>
        <v/>
      </c>
      <c r="F443" s="11" t="s">
        <v>842</v>
      </c>
      <c r="G443" s="11">
        <v>95.93900299</v>
      </c>
      <c r="H443" s="11">
        <v>98.71826738</v>
      </c>
      <c r="I443" s="15">
        <f t="shared" si="3"/>
        <v>99</v>
      </c>
      <c r="J443" s="16" t="str">
        <f t="shared" si="4"/>
        <v/>
      </c>
      <c r="K443" s="16" t="str">
        <f t="shared" si="5"/>
        <v/>
      </c>
      <c r="L443" s="16" t="str">
        <f t="shared" si="6"/>
        <v/>
      </c>
      <c r="M443" s="16" t="str">
        <f t="shared" si="7"/>
        <v>ARC&gt;0</v>
      </c>
      <c r="N443" s="13" t="str">
        <f t="shared" si="8"/>
        <v/>
      </c>
      <c r="O443" s="11">
        <v>0.0</v>
      </c>
      <c r="P443" s="11">
        <v>1.281732624</v>
      </c>
      <c r="Q443" s="11">
        <v>0.0</v>
      </c>
      <c r="S443" s="15">
        <f t="shared" si="9"/>
        <v>0</v>
      </c>
      <c r="T443" s="17" t="str">
        <f t="shared" si="10"/>
        <v/>
      </c>
      <c r="U443" s="17" t="str">
        <f t="shared" si="11"/>
        <v>ARC=0</v>
      </c>
      <c r="V443" s="17" t="str">
        <f t="shared" si="12"/>
        <v/>
      </c>
      <c r="W443" s="17" t="str">
        <f t="shared" si="13"/>
        <v/>
      </c>
      <c r="X443" s="13" t="str">
        <f t="shared" si="14"/>
        <v/>
      </c>
      <c r="AC443" s="15">
        <f t="shared" si="15"/>
        <v>0</v>
      </c>
      <c r="AD443" s="16" t="str">
        <f t="shared" si="16"/>
        <v/>
      </c>
      <c r="AE443" s="16" t="str">
        <f t="shared" si="17"/>
        <v>ARC=0</v>
      </c>
      <c r="AF443" s="16" t="str">
        <f t="shared" si="18"/>
        <v/>
      </c>
      <c r="AG443" s="16" t="str">
        <f t="shared" si="19"/>
        <v/>
      </c>
      <c r="AH443" s="13" t="str">
        <f t="shared" si="20"/>
        <v/>
      </c>
      <c r="AL443" s="18" t="str">
        <f t="shared" si="21"/>
        <v/>
      </c>
    </row>
    <row r="444" ht="15.75" customHeight="1">
      <c r="A444" s="11" t="s">
        <v>843</v>
      </c>
      <c r="B444" s="11">
        <v>2015.0</v>
      </c>
      <c r="C444" s="12" t="str">
        <f>VLOOKUP(A444, Regions!A:B, 2, FALSE)
</f>
        <v>Latin America &amp; Caribbean</v>
      </c>
      <c r="D444" s="13">
        <f t="shared" si="1"/>
        <v>5</v>
      </c>
      <c r="E444" s="14">
        <f t="shared" si="2"/>
        <v>2017.5</v>
      </c>
      <c r="F444" s="11" t="s">
        <v>844</v>
      </c>
      <c r="G444" s="11">
        <v>95.04499817</v>
      </c>
      <c r="H444" s="11">
        <v>99.13139756</v>
      </c>
      <c r="I444" s="15">
        <f t="shared" si="3"/>
        <v>99</v>
      </c>
      <c r="J444" s="16" t="str">
        <f t="shared" si="4"/>
        <v/>
      </c>
      <c r="K444" s="16" t="str">
        <f t="shared" si="5"/>
        <v/>
      </c>
      <c r="L444" s="16" t="str">
        <f t="shared" si="6"/>
        <v/>
      </c>
      <c r="M444" s="16" t="str">
        <f t="shared" si="7"/>
        <v>ARC&gt;0</v>
      </c>
      <c r="N444" s="13">
        <f t="shared" si="8"/>
        <v>0.072872</v>
      </c>
      <c r="O444" s="11">
        <v>0.5381047353</v>
      </c>
      <c r="P444" s="11">
        <v>0.307497473</v>
      </c>
      <c r="Q444" s="11">
        <v>0.02300023019</v>
      </c>
      <c r="R444" s="11">
        <v>91.49584384</v>
      </c>
      <c r="S444" s="15">
        <f t="shared" si="9"/>
        <v>91</v>
      </c>
      <c r="T444" s="17" t="str">
        <f t="shared" si="10"/>
        <v/>
      </c>
      <c r="U444" s="17" t="str">
        <f t="shared" si="11"/>
        <v/>
      </c>
      <c r="V444" s="17" t="str">
        <f t="shared" si="12"/>
        <v/>
      </c>
      <c r="W444" s="17" t="str">
        <f t="shared" si="13"/>
        <v>ARC&gt;0</v>
      </c>
      <c r="X444" s="13">
        <f t="shared" si="14"/>
        <v>0.760997232</v>
      </c>
      <c r="Y444" s="11">
        <v>4.511550681</v>
      </c>
      <c r="Z444" s="11">
        <v>3.528423211</v>
      </c>
      <c r="AA444" s="11">
        <v>0.464182271</v>
      </c>
      <c r="AB444" s="11">
        <v>99.52946198</v>
      </c>
      <c r="AC444" s="15">
        <f t="shared" si="15"/>
        <v>100</v>
      </c>
      <c r="AD444" s="16" t="str">
        <f t="shared" si="16"/>
        <v>full access</v>
      </c>
      <c r="AE444" s="16" t="str">
        <f t="shared" si="17"/>
        <v/>
      </c>
      <c r="AF444" s="16" t="str">
        <f t="shared" si="18"/>
        <v/>
      </c>
      <c r="AG444" s="16" t="str">
        <f t="shared" si="19"/>
        <v>ARC&gt;0</v>
      </c>
      <c r="AH444" s="13">
        <f t="shared" si="20"/>
        <v>0.032654492</v>
      </c>
      <c r="AI444" s="11">
        <v>0.3309562908</v>
      </c>
      <c r="AJ444" s="11">
        <v>0.139581727</v>
      </c>
      <c r="AK444" s="11" t="s">
        <v>43</v>
      </c>
      <c r="AL444" s="18">
        <f t="shared" si="21"/>
        <v>0.72834274</v>
      </c>
    </row>
    <row r="445" ht="15.75" customHeight="1">
      <c r="A445" s="11" t="s">
        <v>843</v>
      </c>
      <c r="B445" s="11">
        <v>2020.0</v>
      </c>
      <c r="C445" s="12" t="str">
        <f>VLOOKUP(A445, Regions!A:B, 2, FALSE)
</f>
        <v>Latin America &amp; Caribbean</v>
      </c>
      <c r="D445" s="13" t="str">
        <f t="shared" si="1"/>
        <v/>
      </c>
      <c r="E445" s="14" t="str">
        <f t="shared" si="2"/>
        <v/>
      </c>
      <c r="F445" s="11" t="s">
        <v>845</v>
      </c>
      <c r="G445" s="11">
        <v>95.51499939</v>
      </c>
      <c r="H445" s="11">
        <v>99.49575756</v>
      </c>
      <c r="I445" s="15">
        <f t="shared" si="3"/>
        <v>99</v>
      </c>
      <c r="J445" s="16" t="str">
        <f t="shared" si="4"/>
        <v/>
      </c>
      <c r="K445" s="16" t="str">
        <f t="shared" si="5"/>
        <v/>
      </c>
      <c r="L445" s="16" t="str">
        <f t="shared" si="6"/>
        <v/>
      </c>
      <c r="M445" s="16" t="str">
        <f t="shared" si="7"/>
        <v>ARC&gt;0</v>
      </c>
      <c r="N445" s="13" t="str">
        <f t="shared" si="8"/>
        <v/>
      </c>
      <c r="O445" s="11">
        <v>0.5042424412</v>
      </c>
      <c r="P445" s="11">
        <v>0.0</v>
      </c>
      <c r="Q445" s="11">
        <v>0.0</v>
      </c>
      <c r="R445" s="11">
        <v>95.30083</v>
      </c>
      <c r="S445" s="15">
        <f t="shared" si="9"/>
        <v>95</v>
      </c>
      <c r="T445" s="17" t="str">
        <f t="shared" si="10"/>
        <v/>
      </c>
      <c r="U445" s="17" t="str">
        <f t="shared" si="11"/>
        <v/>
      </c>
      <c r="V445" s="17" t="str">
        <f t="shared" si="12"/>
        <v/>
      </c>
      <c r="W445" s="17" t="str">
        <f t="shared" si="13"/>
        <v>ARC&gt;0</v>
      </c>
      <c r="X445" s="13" t="str">
        <f t="shared" si="14"/>
        <v/>
      </c>
      <c r="Y445" s="11">
        <v>4.69917</v>
      </c>
      <c r="Z445" s="11">
        <v>0.0</v>
      </c>
      <c r="AA445" s="11">
        <v>0.0</v>
      </c>
      <c r="AB445" s="11">
        <v>99.69273444</v>
      </c>
      <c r="AC445" s="15">
        <f t="shared" si="15"/>
        <v>100</v>
      </c>
      <c r="AD445" s="16" t="str">
        <f t="shared" si="16"/>
        <v/>
      </c>
      <c r="AE445" s="16" t="str">
        <f t="shared" si="17"/>
        <v/>
      </c>
      <c r="AF445" s="16" t="str">
        <f t="shared" si="18"/>
        <v/>
      </c>
      <c r="AG445" s="16" t="str">
        <f t="shared" si="19"/>
        <v>ARC&gt;0</v>
      </c>
      <c r="AH445" s="13" t="str">
        <f t="shared" si="20"/>
        <v/>
      </c>
      <c r="AI445" s="11">
        <v>0.3072655617</v>
      </c>
      <c r="AJ445" s="11">
        <v>0.0</v>
      </c>
      <c r="AK445" s="11" t="s">
        <v>43</v>
      </c>
      <c r="AL445" s="18" t="str">
        <f t="shared" si="21"/>
        <v/>
      </c>
    </row>
    <row r="446" ht="15.75" customHeight="1">
      <c r="A446" s="11" t="s">
        <v>846</v>
      </c>
      <c r="B446" s="11">
        <v>2015.0</v>
      </c>
      <c r="C446" s="12" t="str">
        <f>VLOOKUP(A446, Regions!A:B, 2, FALSE)
</f>
        <v>Europe &amp; Central Asia</v>
      </c>
      <c r="D446" s="13">
        <f t="shared" si="1"/>
        <v>5</v>
      </c>
      <c r="E446" s="14">
        <f t="shared" si="2"/>
        <v>2017.5</v>
      </c>
      <c r="F446" s="11" t="s">
        <v>847</v>
      </c>
      <c r="G446" s="11">
        <v>50.75</v>
      </c>
      <c r="H446" s="11">
        <v>97.52857826</v>
      </c>
      <c r="I446" s="15">
        <f t="shared" si="3"/>
        <v>98</v>
      </c>
      <c r="J446" s="16" t="str">
        <f t="shared" si="4"/>
        <v/>
      </c>
      <c r="K446" s="16" t="str">
        <f t="shared" si="5"/>
        <v/>
      </c>
      <c r="L446" s="16" t="str">
        <f t="shared" si="6"/>
        <v/>
      </c>
      <c r="M446" s="16" t="str">
        <f t="shared" si="7"/>
        <v>ARC&gt;0</v>
      </c>
      <c r="N446" s="13">
        <f t="shared" si="8"/>
        <v>0.060041318</v>
      </c>
      <c r="O446" s="11">
        <v>0.0</v>
      </c>
      <c r="P446" s="11">
        <v>0.0</v>
      </c>
      <c r="Q446" s="11">
        <v>2.471421736</v>
      </c>
      <c r="R446" s="11">
        <v>95.64239155</v>
      </c>
      <c r="S446" s="15">
        <f t="shared" si="9"/>
        <v>96</v>
      </c>
      <c r="T446" s="17" t="str">
        <f t="shared" si="10"/>
        <v/>
      </c>
      <c r="U446" s="17" t="str">
        <f t="shared" si="11"/>
        <v/>
      </c>
      <c r="V446" s="17" t="str">
        <f t="shared" si="12"/>
        <v/>
      </c>
      <c r="W446" s="17" t="str">
        <f t="shared" si="13"/>
        <v>ARC&gt;0</v>
      </c>
      <c r="X446" s="13">
        <f t="shared" si="14"/>
        <v>0.086038162</v>
      </c>
      <c r="Y446" s="11">
        <v>0.0</v>
      </c>
      <c r="Z446" s="11">
        <v>0.0</v>
      </c>
      <c r="AA446" s="11">
        <v>4.357608451</v>
      </c>
      <c r="AB446" s="11">
        <v>99.35901562</v>
      </c>
      <c r="AC446" s="15">
        <f t="shared" si="15"/>
        <v>99</v>
      </c>
      <c r="AD446" s="16" t="str">
        <f t="shared" si="16"/>
        <v/>
      </c>
      <c r="AE446" s="16" t="str">
        <f t="shared" si="17"/>
        <v/>
      </c>
      <c r="AF446" s="16" t="str">
        <f t="shared" si="18"/>
        <v/>
      </c>
      <c r="AG446" s="16" t="str">
        <f t="shared" si="19"/>
        <v>ARC&gt;0</v>
      </c>
      <c r="AH446" s="13">
        <f t="shared" si="20"/>
        <v>0.039397988</v>
      </c>
      <c r="AI446" s="11">
        <v>0.0</v>
      </c>
      <c r="AJ446" s="11">
        <v>0.0</v>
      </c>
      <c r="AK446" s="11" t="s">
        <v>848</v>
      </c>
      <c r="AL446" s="18">
        <f t="shared" si="21"/>
        <v>0.046640174</v>
      </c>
    </row>
    <row r="447" ht="15.75" customHeight="1">
      <c r="A447" s="11" t="s">
        <v>846</v>
      </c>
      <c r="B447" s="11">
        <v>2020.0</v>
      </c>
      <c r="C447" s="12" t="str">
        <f>VLOOKUP(A447, Regions!A:B, 2, FALSE)
</f>
        <v>Europe &amp; Central Asia</v>
      </c>
      <c r="D447" s="13" t="str">
        <f t="shared" si="1"/>
        <v/>
      </c>
      <c r="E447" s="14" t="str">
        <f t="shared" si="2"/>
        <v/>
      </c>
      <c r="F447" s="11" t="s">
        <v>849</v>
      </c>
      <c r="G447" s="11">
        <v>50.41599655</v>
      </c>
      <c r="H447" s="11">
        <v>97.82878485</v>
      </c>
      <c r="I447" s="15">
        <f t="shared" si="3"/>
        <v>98</v>
      </c>
      <c r="J447" s="16" t="str">
        <f t="shared" si="4"/>
        <v/>
      </c>
      <c r="K447" s="16" t="str">
        <f t="shared" si="5"/>
        <v/>
      </c>
      <c r="L447" s="16" t="str">
        <f t="shared" si="6"/>
        <v/>
      </c>
      <c r="M447" s="16" t="str">
        <f t="shared" si="7"/>
        <v>ARC&gt;0</v>
      </c>
      <c r="N447" s="13" t="str">
        <f t="shared" si="8"/>
        <v/>
      </c>
      <c r="O447" s="11">
        <v>0.0</v>
      </c>
      <c r="P447" s="11">
        <v>0.22384422</v>
      </c>
      <c r="Q447" s="11">
        <v>1.947370925</v>
      </c>
      <c r="R447" s="11">
        <v>96.07258236</v>
      </c>
      <c r="S447" s="15">
        <f t="shared" si="9"/>
        <v>96</v>
      </c>
      <c r="T447" s="17" t="str">
        <f t="shared" si="10"/>
        <v/>
      </c>
      <c r="U447" s="17" t="str">
        <f t="shared" si="11"/>
        <v/>
      </c>
      <c r="V447" s="17" t="str">
        <f t="shared" si="12"/>
        <v/>
      </c>
      <c r="W447" s="17" t="str">
        <f t="shared" si="13"/>
        <v>ARC&gt;0</v>
      </c>
      <c r="X447" s="13" t="str">
        <f t="shared" si="14"/>
        <v/>
      </c>
      <c r="Y447" s="11">
        <v>0.0</v>
      </c>
      <c r="Z447" s="11">
        <v>0.0</v>
      </c>
      <c r="AA447" s="11">
        <v>3.927417637</v>
      </c>
      <c r="AB447" s="11">
        <v>99.55600556</v>
      </c>
      <c r="AC447" s="15">
        <f t="shared" si="15"/>
        <v>100</v>
      </c>
      <c r="AD447" s="16" t="str">
        <f t="shared" si="16"/>
        <v/>
      </c>
      <c r="AE447" s="16" t="str">
        <f t="shared" si="17"/>
        <v/>
      </c>
      <c r="AF447" s="16" t="str">
        <f t="shared" si="18"/>
        <v/>
      </c>
      <c r="AG447" s="16" t="str">
        <f t="shared" si="19"/>
        <v>ARC&gt;0</v>
      </c>
      <c r="AH447" s="13" t="str">
        <f t="shared" si="20"/>
        <v/>
      </c>
      <c r="AI447" s="11">
        <v>0.0</v>
      </c>
      <c r="AJ447" s="11">
        <v>0.4439944434</v>
      </c>
      <c r="AK447" s="11" t="s">
        <v>43</v>
      </c>
      <c r="AL447" s="18" t="str">
        <f t="shared" si="21"/>
        <v/>
      </c>
    </row>
    <row r="448" ht="15.75" customHeight="1">
      <c r="A448" s="11" t="s">
        <v>850</v>
      </c>
      <c r="B448" s="11">
        <v>2015.0</v>
      </c>
      <c r="C448" s="12" t="str">
        <f>VLOOKUP(A448, Regions!A:B, 2, FALSE)
</f>
        <v>East Asia &amp; Pacific</v>
      </c>
      <c r="D448" s="13">
        <f t="shared" si="1"/>
        <v>5</v>
      </c>
      <c r="E448" s="14">
        <f t="shared" si="2"/>
        <v>2017.5</v>
      </c>
      <c r="F448" s="11" t="s">
        <v>851</v>
      </c>
      <c r="G448" s="11">
        <v>24.96100235</v>
      </c>
      <c r="H448" s="11">
        <v>89.98817649</v>
      </c>
      <c r="I448" s="15">
        <f t="shared" si="3"/>
        <v>90</v>
      </c>
      <c r="J448" s="16" t="str">
        <f t="shared" si="4"/>
        <v/>
      </c>
      <c r="K448" s="16" t="str">
        <f t="shared" si="5"/>
        <v/>
      </c>
      <c r="L448" s="16" t="str">
        <f t="shared" si="6"/>
        <v/>
      </c>
      <c r="M448" s="16" t="str">
        <f t="shared" si="7"/>
        <v>ARC&gt;0</v>
      </c>
      <c r="N448" s="13">
        <f t="shared" si="8"/>
        <v>0.248602852</v>
      </c>
      <c r="O448" s="11">
        <v>1.05094321</v>
      </c>
      <c r="P448" s="11">
        <v>1.545004807</v>
      </c>
      <c r="Q448" s="11">
        <v>7.415875488</v>
      </c>
      <c r="R448" s="11">
        <v>86.97805066</v>
      </c>
      <c r="S448" s="15">
        <f t="shared" si="9"/>
        <v>87</v>
      </c>
      <c r="T448" s="17" t="str">
        <f t="shared" si="10"/>
        <v/>
      </c>
      <c r="U448" s="17" t="str">
        <f t="shared" si="11"/>
        <v/>
      </c>
      <c r="V448" s="17" t="str">
        <f t="shared" si="12"/>
        <v/>
      </c>
      <c r="W448" s="17" t="str">
        <f t="shared" si="13"/>
        <v>ARC&gt;0</v>
      </c>
      <c r="X448" s="13">
        <f t="shared" si="14"/>
        <v>0.283830114</v>
      </c>
      <c r="Y448" s="11">
        <v>1.234982464</v>
      </c>
      <c r="Z448" s="11">
        <v>1.904272063</v>
      </c>
      <c r="AA448" s="11">
        <v>9.882694813</v>
      </c>
      <c r="AB448" s="11">
        <v>99.03735599</v>
      </c>
      <c r="AC448" s="15">
        <f t="shared" si="15"/>
        <v>99</v>
      </c>
      <c r="AD448" s="16" t="str">
        <f t="shared" si="16"/>
        <v/>
      </c>
      <c r="AE448" s="16" t="str">
        <f t="shared" si="17"/>
        <v/>
      </c>
      <c r="AF448" s="16" t="str">
        <f t="shared" si="18"/>
        <v/>
      </c>
      <c r="AG448" s="16" t="str">
        <f t="shared" si="19"/>
        <v>ARC&gt;0</v>
      </c>
      <c r="AH448" s="13">
        <f t="shared" si="20"/>
        <v>0.092528802</v>
      </c>
      <c r="AI448" s="11">
        <v>0.4976751557</v>
      </c>
      <c r="AJ448" s="11">
        <v>0.4649688531</v>
      </c>
      <c r="AK448" s="11" t="s">
        <v>43</v>
      </c>
      <c r="AL448" s="18">
        <f t="shared" si="21"/>
        <v>0.191301312</v>
      </c>
    </row>
    <row r="449" ht="15.75" customHeight="1">
      <c r="A449" s="11" t="s">
        <v>850</v>
      </c>
      <c r="B449" s="11">
        <v>2020.0</v>
      </c>
      <c r="C449" s="12" t="str">
        <f>VLOOKUP(A449, Regions!A:B, 2, FALSE)
</f>
        <v>East Asia &amp; Pacific</v>
      </c>
      <c r="D449" s="13" t="str">
        <f t="shared" si="1"/>
        <v/>
      </c>
      <c r="E449" s="14" t="str">
        <f t="shared" si="2"/>
        <v/>
      </c>
      <c r="F449" s="11" t="s">
        <v>852</v>
      </c>
      <c r="G449" s="11">
        <v>25.52500153</v>
      </c>
      <c r="H449" s="11">
        <v>91.23119075</v>
      </c>
      <c r="I449" s="15">
        <f t="shared" si="3"/>
        <v>91</v>
      </c>
      <c r="J449" s="16" t="str">
        <f t="shared" si="4"/>
        <v/>
      </c>
      <c r="K449" s="16" t="str">
        <f t="shared" si="5"/>
        <v/>
      </c>
      <c r="L449" s="16" t="str">
        <f t="shared" si="6"/>
        <v/>
      </c>
      <c r="M449" s="16" t="str">
        <f t="shared" si="7"/>
        <v>ARC&gt;0</v>
      </c>
      <c r="N449" s="13" t="str">
        <f t="shared" si="8"/>
        <v/>
      </c>
      <c r="O449" s="11">
        <v>1.06238505</v>
      </c>
      <c r="P449" s="11">
        <v>0.0</v>
      </c>
      <c r="Q449" s="11">
        <v>7.706424202</v>
      </c>
      <c r="R449" s="11">
        <v>88.39720123</v>
      </c>
      <c r="S449" s="15">
        <f t="shared" si="9"/>
        <v>88</v>
      </c>
      <c r="T449" s="17" t="str">
        <f t="shared" si="10"/>
        <v/>
      </c>
      <c r="U449" s="17" t="str">
        <f t="shared" si="11"/>
        <v/>
      </c>
      <c r="V449" s="17" t="str">
        <f t="shared" si="12"/>
        <v/>
      </c>
      <c r="W449" s="17" t="str">
        <f t="shared" si="13"/>
        <v>ARC&gt;0</v>
      </c>
      <c r="X449" s="13" t="str">
        <f t="shared" si="14"/>
        <v/>
      </c>
      <c r="Y449" s="11">
        <v>1.255132675</v>
      </c>
      <c r="Z449" s="11">
        <v>0.0</v>
      </c>
      <c r="AA449" s="11">
        <v>10.3476661</v>
      </c>
      <c r="AB449" s="11">
        <v>99.5</v>
      </c>
      <c r="AC449" s="15">
        <f t="shared" si="15"/>
        <v>100</v>
      </c>
      <c r="AD449" s="16" t="str">
        <f t="shared" si="16"/>
        <v/>
      </c>
      <c r="AE449" s="16" t="str">
        <f t="shared" si="17"/>
        <v/>
      </c>
      <c r="AF449" s="16" t="str">
        <f t="shared" si="18"/>
        <v/>
      </c>
      <c r="AG449" s="16" t="str">
        <f t="shared" si="19"/>
        <v>ARC&gt;0</v>
      </c>
      <c r="AH449" s="13" t="str">
        <f t="shared" si="20"/>
        <v/>
      </c>
      <c r="AI449" s="11">
        <v>0.5</v>
      </c>
      <c r="AJ449" s="11">
        <v>0.0</v>
      </c>
      <c r="AK449" s="11" t="s">
        <v>43</v>
      </c>
      <c r="AL449" s="18" t="str">
        <f t="shared" si="21"/>
        <v/>
      </c>
    </row>
    <row r="450" ht="15.75" customHeight="1">
      <c r="A450" s="11" t="s">
        <v>853</v>
      </c>
      <c r="B450" s="11">
        <v>2015.0</v>
      </c>
      <c r="C450" s="12" t="str">
        <f>VLOOKUP(A450, Regions!A:B, 2, FALSE)
</f>
        <v>Latin America &amp; Caribbean</v>
      </c>
      <c r="D450" s="13">
        <f t="shared" si="1"/>
        <v>5</v>
      </c>
      <c r="E450" s="14">
        <f t="shared" si="2"/>
        <v>2017.5</v>
      </c>
      <c r="F450" s="11" t="s">
        <v>854</v>
      </c>
      <c r="G450" s="11">
        <v>88.15399933</v>
      </c>
      <c r="H450" s="11">
        <v>94.57127501</v>
      </c>
      <c r="I450" s="15">
        <f t="shared" si="3"/>
        <v>95</v>
      </c>
      <c r="J450" s="16" t="str">
        <f t="shared" si="4"/>
        <v/>
      </c>
      <c r="K450" s="16" t="str">
        <f t="shared" si="5"/>
        <v/>
      </c>
      <c r="L450" s="16" t="str">
        <f t="shared" si="6"/>
        <v/>
      </c>
      <c r="M450" s="16" t="str">
        <f t="shared" si="7"/>
        <v>ARC&gt;0</v>
      </c>
      <c r="N450" s="13">
        <f t="shared" si="8"/>
        <v>-0.17709486</v>
      </c>
      <c r="O450" s="11">
        <v>0.4752325377</v>
      </c>
      <c r="P450" s="11">
        <v>3.575264261</v>
      </c>
      <c r="Q450" s="11">
        <v>1.378228192</v>
      </c>
      <c r="S450" s="15">
        <f t="shared" si="9"/>
        <v>0</v>
      </c>
      <c r="T450" s="17" t="str">
        <f t="shared" si="10"/>
        <v/>
      </c>
      <c r="U450" s="17" t="str">
        <f t="shared" si="11"/>
        <v>ARC=0</v>
      </c>
      <c r="V450" s="17" t="str">
        <f t="shared" si="12"/>
        <v/>
      </c>
      <c r="W450" s="17" t="str">
        <f t="shared" si="13"/>
        <v/>
      </c>
      <c r="X450" s="13">
        <f t="shared" si="14"/>
        <v>0</v>
      </c>
      <c r="AC450" s="15">
        <f t="shared" si="15"/>
        <v>0</v>
      </c>
      <c r="AD450" s="16" t="str">
        <f t="shared" si="16"/>
        <v/>
      </c>
      <c r="AE450" s="16" t="str">
        <f t="shared" si="17"/>
        <v>ARC=0</v>
      </c>
      <c r="AF450" s="16" t="str">
        <f t="shared" si="18"/>
        <v/>
      </c>
      <c r="AG450" s="16" t="str">
        <f t="shared" si="19"/>
        <v/>
      </c>
      <c r="AH450" s="13">
        <f t="shared" si="20"/>
        <v>0</v>
      </c>
      <c r="AL450" s="18">
        <f t="shared" si="21"/>
        <v>0</v>
      </c>
    </row>
    <row r="451" ht="15.75" customHeight="1">
      <c r="A451" s="11" t="s">
        <v>853</v>
      </c>
      <c r="B451" s="11">
        <v>2020.0</v>
      </c>
      <c r="C451" s="12" t="str">
        <f>VLOOKUP(A451, Regions!A:B, 2, FALSE)
</f>
        <v>Latin America &amp; Caribbean</v>
      </c>
      <c r="D451" s="13" t="str">
        <f t="shared" si="1"/>
        <v/>
      </c>
      <c r="E451" s="14" t="str">
        <f t="shared" si="2"/>
        <v/>
      </c>
      <c r="F451" s="11" t="s">
        <v>855</v>
      </c>
      <c r="G451" s="11">
        <v>88.27899933</v>
      </c>
      <c r="H451" s="11">
        <v>93.68580071</v>
      </c>
      <c r="I451" s="15">
        <f t="shared" si="3"/>
        <v>94</v>
      </c>
      <c r="J451" s="16" t="str">
        <f t="shared" si="4"/>
        <v/>
      </c>
      <c r="K451" s="16" t="str">
        <f t="shared" si="5"/>
        <v/>
      </c>
      <c r="L451" s="16" t="str">
        <f t="shared" si="6"/>
        <v/>
      </c>
      <c r="M451" s="16" t="str">
        <f t="shared" si="7"/>
        <v>ARC&gt;0</v>
      </c>
      <c r="N451" s="13" t="str">
        <f t="shared" si="8"/>
        <v/>
      </c>
      <c r="O451" s="11">
        <v>0.4707829181</v>
      </c>
      <c r="P451" s="11">
        <v>5.843416373</v>
      </c>
      <c r="S451" s="15">
        <f t="shared" si="9"/>
        <v>0</v>
      </c>
      <c r="T451" s="17" t="str">
        <f t="shared" si="10"/>
        <v/>
      </c>
      <c r="U451" s="17" t="str">
        <f t="shared" si="11"/>
        <v>ARC=0</v>
      </c>
      <c r="V451" s="17" t="str">
        <f t="shared" si="12"/>
        <v/>
      </c>
      <c r="W451" s="17" t="str">
        <f t="shared" si="13"/>
        <v/>
      </c>
      <c r="X451" s="13" t="str">
        <f t="shared" si="14"/>
        <v/>
      </c>
      <c r="AC451" s="15">
        <f t="shared" si="15"/>
        <v>0</v>
      </c>
      <c r="AD451" s="16" t="str">
        <f t="shared" si="16"/>
        <v/>
      </c>
      <c r="AE451" s="16" t="str">
        <f t="shared" si="17"/>
        <v>ARC=0</v>
      </c>
      <c r="AF451" s="16" t="str">
        <f t="shared" si="18"/>
        <v/>
      </c>
      <c r="AG451" s="16" t="str">
        <f t="shared" si="19"/>
        <v/>
      </c>
      <c r="AH451" s="13" t="str">
        <f t="shared" si="20"/>
        <v/>
      </c>
      <c r="AL451" s="18" t="str">
        <f t="shared" si="21"/>
        <v/>
      </c>
    </row>
    <row r="452" ht="15.75" customHeight="1">
      <c r="A452" s="11" t="s">
        <v>856</v>
      </c>
      <c r="B452" s="11">
        <v>2015.0</v>
      </c>
      <c r="C452" s="12" t="str">
        <f>VLOOKUP(A452, Regions!A:B, 2, FALSE)
</f>
        <v>East Asia &amp; Pacific</v>
      </c>
      <c r="D452" s="13">
        <f t="shared" si="1"/>
        <v>5</v>
      </c>
      <c r="E452" s="14">
        <f t="shared" si="2"/>
        <v>2017.5</v>
      </c>
      <c r="F452" s="11" t="s">
        <v>857</v>
      </c>
      <c r="G452" s="11">
        <v>33.80900192</v>
      </c>
      <c r="H452" s="11">
        <v>93.32806058</v>
      </c>
      <c r="I452" s="15">
        <f t="shared" si="3"/>
        <v>93</v>
      </c>
      <c r="J452" s="16" t="str">
        <f t="shared" si="4"/>
        <v/>
      </c>
      <c r="K452" s="16" t="str">
        <f t="shared" si="5"/>
        <v/>
      </c>
      <c r="L452" s="16" t="str">
        <f t="shared" si="6"/>
        <v/>
      </c>
      <c r="M452" s="16" t="str">
        <f t="shared" si="7"/>
        <v>ARC&gt;0</v>
      </c>
      <c r="N452" s="13">
        <f t="shared" si="8"/>
        <v>0.711259258</v>
      </c>
      <c r="O452" s="11">
        <v>0.05207183785</v>
      </c>
      <c r="P452" s="11">
        <v>6.163618036</v>
      </c>
      <c r="Q452" s="11">
        <v>0.4562495463</v>
      </c>
      <c r="R452" s="11">
        <v>90.83306799</v>
      </c>
      <c r="S452" s="15">
        <f t="shared" si="9"/>
        <v>91</v>
      </c>
      <c r="T452" s="17" t="str">
        <f t="shared" si="10"/>
        <v/>
      </c>
      <c r="U452" s="17" t="str">
        <f t="shared" si="11"/>
        <v/>
      </c>
      <c r="V452" s="17" t="str">
        <f t="shared" si="12"/>
        <v/>
      </c>
      <c r="W452" s="17" t="str">
        <f t="shared" si="13"/>
        <v>ARC&gt;0</v>
      </c>
      <c r="X452" s="13">
        <f t="shared" si="14"/>
        <v>0.93629409</v>
      </c>
      <c r="Y452" s="11">
        <v>0.0</v>
      </c>
      <c r="Z452" s="11">
        <v>8.477639565</v>
      </c>
      <c r="AA452" s="11">
        <v>0.6892924429</v>
      </c>
      <c r="AB452" s="11">
        <v>98.21274352</v>
      </c>
      <c r="AC452" s="15">
        <f t="shared" si="15"/>
        <v>98</v>
      </c>
      <c r="AD452" s="16" t="str">
        <f t="shared" si="16"/>
        <v/>
      </c>
      <c r="AE452" s="16" t="str">
        <f t="shared" si="17"/>
        <v/>
      </c>
      <c r="AF452" s="16" t="str">
        <f t="shared" si="18"/>
        <v/>
      </c>
      <c r="AG452" s="16" t="str">
        <f t="shared" si="19"/>
        <v>ARC&gt;0</v>
      </c>
      <c r="AH452" s="13">
        <f t="shared" si="20"/>
        <v>0.194059298</v>
      </c>
      <c r="AI452" s="11">
        <v>0.1540176812</v>
      </c>
      <c r="AJ452" s="11">
        <v>1.633238796</v>
      </c>
      <c r="AK452" s="11" t="s">
        <v>43</v>
      </c>
      <c r="AL452" s="18">
        <f t="shared" si="21"/>
        <v>0.742234792</v>
      </c>
    </row>
    <row r="453" ht="15.75" customHeight="1">
      <c r="A453" s="11" t="s">
        <v>856</v>
      </c>
      <c r="B453" s="11">
        <v>2020.0</v>
      </c>
      <c r="C453" s="12" t="str">
        <f>VLOOKUP(A453, Regions!A:B, 2, FALSE)
</f>
        <v>East Asia &amp; Pacific</v>
      </c>
      <c r="D453" s="13" t="str">
        <f t="shared" si="1"/>
        <v/>
      </c>
      <c r="E453" s="14" t="str">
        <f t="shared" si="2"/>
        <v/>
      </c>
      <c r="F453" s="11" t="s">
        <v>858</v>
      </c>
      <c r="G453" s="11">
        <v>37.34000015</v>
      </c>
      <c r="H453" s="11">
        <v>96.88435687</v>
      </c>
      <c r="I453" s="15">
        <f t="shared" si="3"/>
        <v>97</v>
      </c>
      <c r="J453" s="16" t="str">
        <f t="shared" si="4"/>
        <v/>
      </c>
      <c r="K453" s="16" t="str">
        <f t="shared" si="5"/>
        <v/>
      </c>
      <c r="L453" s="16" t="str">
        <f t="shared" si="6"/>
        <v/>
      </c>
      <c r="M453" s="16" t="str">
        <f t="shared" si="7"/>
        <v>ARC&gt;0</v>
      </c>
      <c r="N453" s="13" t="str">
        <f t="shared" si="8"/>
        <v/>
      </c>
      <c r="O453" s="11">
        <v>0.0</v>
      </c>
      <c r="P453" s="11">
        <v>3.115643126</v>
      </c>
      <c r="Q453" s="11">
        <v>0.0</v>
      </c>
      <c r="R453" s="11">
        <v>95.51453844</v>
      </c>
      <c r="S453" s="15">
        <f t="shared" si="9"/>
        <v>96</v>
      </c>
      <c r="T453" s="17" t="str">
        <f t="shared" si="10"/>
        <v/>
      </c>
      <c r="U453" s="17" t="str">
        <f t="shared" si="11"/>
        <v/>
      </c>
      <c r="V453" s="17" t="str">
        <f t="shared" si="12"/>
        <v/>
      </c>
      <c r="W453" s="17" t="str">
        <f t="shared" si="13"/>
        <v>ARC&gt;0</v>
      </c>
      <c r="X453" s="13" t="str">
        <f t="shared" si="14"/>
        <v/>
      </c>
      <c r="Y453" s="11">
        <v>0.0</v>
      </c>
      <c r="Z453" s="11">
        <v>4.48546156</v>
      </c>
      <c r="AA453" s="11">
        <v>0.0</v>
      </c>
      <c r="AB453" s="11">
        <v>99.18304001</v>
      </c>
      <c r="AC453" s="15">
        <f t="shared" si="15"/>
        <v>99</v>
      </c>
      <c r="AD453" s="16" t="str">
        <f t="shared" si="16"/>
        <v/>
      </c>
      <c r="AE453" s="16" t="str">
        <f t="shared" si="17"/>
        <v/>
      </c>
      <c r="AF453" s="16" t="str">
        <f t="shared" si="18"/>
        <v/>
      </c>
      <c r="AG453" s="16" t="str">
        <f t="shared" si="19"/>
        <v>ARC&gt;0</v>
      </c>
      <c r="AH453" s="13" t="str">
        <f t="shared" si="20"/>
        <v/>
      </c>
      <c r="AI453" s="11">
        <v>0.0</v>
      </c>
      <c r="AJ453" s="11">
        <v>0.816959987</v>
      </c>
      <c r="AK453" s="11" t="s">
        <v>43</v>
      </c>
      <c r="AL453" s="18" t="str">
        <f t="shared" si="21"/>
        <v/>
      </c>
    </row>
    <row r="454" ht="15.75" customHeight="1">
      <c r="A454" s="11" t="s">
        <v>859</v>
      </c>
      <c r="B454" s="11">
        <v>2015.0</v>
      </c>
      <c r="C454" s="12" t="str">
        <f>VLOOKUP(A454, Regions!A:B, 2, FALSE)
</f>
        <v>East Asia &amp; Pacific</v>
      </c>
      <c r="D454" s="13">
        <f t="shared" si="1"/>
        <v>5</v>
      </c>
      <c r="E454" s="14">
        <f t="shared" si="2"/>
        <v>2017.5</v>
      </c>
      <c r="F454" s="11" t="s">
        <v>860</v>
      </c>
      <c r="G454" s="11">
        <v>0.0</v>
      </c>
      <c r="H454" s="11">
        <v>99.32138153</v>
      </c>
      <c r="I454" s="15">
        <f t="shared" si="3"/>
        <v>99</v>
      </c>
      <c r="J454" s="16" t="str">
        <f t="shared" si="4"/>
        <v/>
      </c>
      <c r="K454" s="16" t="str">
        <f t="shared" si="5"/>
        <v/>
      </c>
      <c r="L454" s="16" t="str">
        <f t="shared" si="6"/>
        <v/>
      </c>
      <c r="M454" s="16" t="str">
        <f t="shared" si="7"/>
        <v>ARC&gt;0</v>
      </c>
      <c r="N454" s="13">
        <f t="shared" si="8"/>
        <v>-0.035618834</v>
      </c>
      <c r="O454" s="11">
        <v>0.0</v>
      </c>
      <c r="P454" s="11">
        <v>0.6786184741</v>
      </c>
      <c r="Q454" s="11">
        <v>0.0</v>
      </c>
      <c r="R454" s="11">
        <v>99.32138153</v>
      </c>
      <c r="S454" s="15">
        <f t="shared" si="9"/>
        <v>99</v>
      </c>
      <c r="T454" s="17" t="str">
        <f t="shared" si="10"/>
        <v/>
      </c>
      <c r="U454" s="17" t="str">
        <f t="shared" si="11"/>
        <v/>
      </c>
      <c r="V454" s="17" t="str">
        <f t="shared" si="12"/>
        <v/>
      </c>
      <c r="W454" s="17" t="str">
        <f t="shared" si="13"/>
        <v>ARC&gt;0</v>
      </c>
      <c r="X454" s="13">
        <f t="shared" si="14"/>
        <v>-0.035618834</v>
      </c>
      <c r="Y454" s="11">
        <v>0.0</v>
      </c>
      <c r="Z454" s="11">
        <v>0.6786184741</v>
      </c>
      <c r="AA454" s="11">
        <v>0.0</v>
      </c>
      <c r="AC454" s="15">
        <f t="shared" si="15"/>
        <v>0</v>
      </c>
      <c r="AD454" s="16" t="str">
        <f t="shared" si="16"/>
        <v/>
      </c>
      <c r="AE454" s="16" t="str">
        <f t="shared" si="17"/>
        <v>ARC=0</v>
      </c>
      <c r="AF454" s="16" t="str">
        <f t="shared" si="18"/>
        <v/>
      </c>
      <c r="AG454" s="16" t="str">
        <f t="shared" si="19"/>
        <v/>
      </c>
      <c r="AH454" s="13">
        <f t="shared" si="20"/>
        <v>0</v>
      </c>
      <c r="AL454" s="18">
        <f t="shared" si="21"/>
        <v>-0.035618834</v>
      </c>
    </row>
    <row r="455" ht="15.75" customHeight="1">
      <c r="A455" s="11" t="s">
        <v>859</v>
      </c>
      <c r="B455" s="11">
        <v>2020.0</v>
      </c>
      <c r="C455" s="12" t="str">
        <f>VLOOKUP(A455, Regions!A:B, 2, FALSE)
</f>
        <v>East Asia &amp; Pacific</v>
      </c>
      <c r="D455" s="13" t="str">
        <f t="shared" si="1"/>
        <v/>
      </c>
      <c r="E455" s="14" t="str">
        <f t="shared" si="2"/>
        <v/>
      </c>
      <c r="F455" s="11" t="s">
        <v>861</v>
      </c>
      <c r="G455" s="11">
        <v>0.0</v>
      </c>
      <c r="H455" s="11">
        <v>99.14328736</v>
      </c>
      <c r="I455" s="15">
        <f t="shared" si="3"/>
        <v>99</v>
      </c>
      <c r="J455" s="16" t="str">
        <f t="shared" si="4"/>
        <v/>
      </c>
      <c r="K455" s="16" t="str">
        <f t="shared" si="5"/>
        <v/>
      </c>
      <c r="L455" s="16" t="str">
        <f t="shared" si="6"/>
        <v/>
      </c>
      <c r="M455" s="16" t="str">
        <f t="shared" si="7"/>
        <v>ARC&gt;0</v>
      </c>
      <c r="N455" s="13" t="str">
        <f t="shared" si="8"/>
        <v/>
      </c>
      <c r="O455" s="11">
        <v>0.0</v>
      </c>
      <c r="P455" s="11">
        <v>0.856712639</v>
      </c>
      <c r="Q455" s="11">
        <v>0.0</v>
      </c>
      <c r="R455" s="11">
        <v>99.14328736</v>
      </c>
      <c r="S455" s="15">
        <f t="shared" si="9"/>
        <v>99</v>
      </c>
      <c r="T455" s="17" t="str">
        <f t="shared" si="10"/>
        <v/>
      </c>
      <c r="U455" s="17" t="str">
        <f t="shared" si="11"/>
        <v/>
      </c>
      <c r="V455" s="17" t="str">
        <f t="shared" si="12"/>
        <v/>
      </c>
      <c r="W455" s="17" t="str">
        <f t="shared" si="13"/>
        <v>ARC&gt;0</v>
      </c>
      <c r="X455" s="13" t="str">
        <f t="shared" si="14"/>
        <v/>
      </c>
      <c r="Y455" s="11">
        <v>0.0</v>
      </c>
      <c r="Z455" s="11">
        <v>0.856712639</v>
      </c>
      <c r="AA455" s="11">
        <v>0.0</v>
      </c>
      <c r="AC455" s="15">
        <f t="shared" si="15"/>
        <v>0</v>
      </c>
      <c r="AD455" s="16" t="str">
        <f t="shared" si="16"/>
        <v/>
      </c>
      <c r="AE455" s="16" t="str">
        <f t="shared" si="17"/>
        <v>ARC=0</v>
      </c>
      <c r="AF455" s="16" t="str">
        <f t="shared" si="18"/>
        <v/>
      </c>
      <c r="AG455" s="16" t="str">
        <f t="shared" si="19"/>
        <v/>
      </c>
      <c r="AH455" s="13" t="str">
        <f t="shared" si="20"/>
        <v/>
      </c>
      <c r="AL455" s="18" t="str">
        <f t="shared" si="21"/>
        <v/>
      </c>
    </row>
    <row r="456" ht="15.75" customHeight="1">
      <c r="A456" s="11" t="s">
        <v>862</v>
      </c>
      <c r="B456" s="11">
        <v>2015.0</v>
      </c>
      <c r="C456" s="12" t="str">
        <f>VLOOKUP(A456, Regions!A:B, 2, FALSE)
</f>
        <v>Europe &amp; Central Asia</v>
      </c>
      <c r="D456" s="13">
        <f t="shared" si="1"/>
        <v>5</v>
      </c>
      <c r="E456" s="14">
        <f t="shared" si="2"/>
        <v>2017.5</v>
      </c>
      <c r="F456" s="11" t="s">
        <v>863</v>
      </c>
      <c r="G456" s="11">
        <v>75.36799622</v>
      </c>
      <c r="H456" s="11">
        <v>96.37985671</v>
      </c>
      <c r="I456" s="15">
        <f t="shared" si="3"/>
        <v>96</v>
      </c>
      <c r="J456" s="16" t="str">
        <f t="shared" si="4"/>
        <v/>
      </c>
      <c r="K456" s="16" t="str">
        <f t="shared" si="5"/>
        <v/>
      </c>
      <c r="L456" s="16" t="str">
        <f t="shared" si="6"/>
        <v/>
      </c>
      <c r="M456" s="16" t="str">
        <f t="shared" si="7"/>
        <v>ARC&gt;0</v>
      </c>
      <c r="N456" s="13">
        <f t="shared" si="8"/>
        <v>0.300108102</v>
      </c>
      <c r="O456" s="11">
        <v>0.5875346644</v>
      </c>
      <c r="P456" s="11">
        <v>3.032608622</v>
      </c>
      <c r="R456" s="11">
        <v>95.38114235</v>
      </c>
      <c r="S456" s="15">
        <f t="shared" si="9"/>
        <v>95</v>
      </c>
      <c r="T456" s="17" t="str">
        <f t="shared" si="10"/>
        <v/>
      </c>
      <c r="U456" s="17" t="str">
        <f t="shared" si="11"/>
        <v/>
      </c>
      <c r="V456" s="17" t="str">
        <f t="shared" si="12"/>
        <v/>
      </c>
      <c r="W456" s="17" t="str">
        <f t="shared" si="13"/>
        <v>ARC&gt;0</v>
      </c>
      <c r="X456" s="13">
        <f t="shared" si="14"/>
        <v>0.666882814</v>
      </c>
      <c r="Y456" s="11">
        <v>0.9927312092</v>
      </c>
      <c r="Z456" s="11">
        <v>3.626126441</v>
      </c>
      <c r="AB456" s="11">
        <v>96.70625962</v>
      </c>
      <c r="AC456" s="15">
        <f t="shared" si="15"/>
        <v>97</v>
      </c>
      <c r="AD456" s="16" t="str">
        <f t="shared" si="16"/>
        <v/>
      </c>
      <c r="AE456" s="16" t="str">
        <f t="shared" si="17"/>
        <v/>
      </c>
      <c r="AF456" s="16" t="str">
        <f t="shared" si="18"/>
        <v/>
      </c>
      <c r="AG456" s="16" t="str">
        <f t="shared" si="19"/>
        <v>ARC&gt;0</v>
      </c>
      <c r="AH456" s="13">
        <f t="shared" si="20"/>
        <v>0.184140962</v>
      </c>
      <c r="AI456" s="11">
        <v>0.4551070803</v>
      </c>
      <c r="AJ456" s="11">
        <v>2.838633298</v>
      </c>
      <c r="AL456" s="18">
        <f t="shared" si="21"/>
        <v>0.482741852</v>
      </c>
    </row>
    <row r="457" ht="15.75" customHeight="1">
      <c r="A457" s="11" t="s">
        <v>862</v>
      </c>
      <c r="B457" s="11">
        <v>2020.0</v>
      </c>
      <c r="C457" s="12" t="str">
        <f>VLOOKUP(A457, Regions!A:B, 2, FALSE)
</f>
        <v>Europe &amp; Central Asia</v>
      </c>
      <c r="D457" s="13" t="str">
        <f t="shared" si="1"/>
        <v/>
      </c>
      <c r="E457" s="14" t="str">
        <f t="shared" si="2"/>
        <v/>
      </c>
      <c r="F457" s="11" t="s">
        <v>864</v>
      </c>
      <c r="G457" s="11">
        <v>76.71899414</v>
      </c>
      <c r="H457" s="11">
        <v>97.88039722</v>
      </c>
      <c r="I457" s="15">
        <f t="shared" si="3"/>
        <v>98</v>
      </c>
      <c r="J457" s="16" t="str">
        <f t="shared" si="4"/>
        <v/>
      </c>
      <c r="K457" s="16" t="str">
        <f t="shared" si="5"/>
        <v/>
      </c>
      <c r="L457" s="16" t="str">
        <f t="shared" si="6"/>
        <v/>
      </c>
      <c r="M457" s="16" t="str">
        <f t="shared" si="7"/>
        <v>ARC&gt;0</v>
      </c>
      <c r="N457" s="13" t="str">
        <f t="shared" si="8"/>
        <v/>
      </c>
      <c r="O457" s="11">
        <v>1.029979486</v>
      </c>
      <c r="P457" s="11">
        <v>1.089623295</v>
      </c>
      <c r="R457" s="11">
        <v>98.71555642</v>
      </c>
      <c r="S457" s="15">
        <f t="shared" si="9"/>
        <v>99</v>
      </c>
      <c r="T457" s="17" t="str">
        <f t="shared" si="10"/>
        <v/>
      </c>
      <c r="U457" s="17" t="str">
        <f t="shared" si="11"/>
        <v/>
      </c>
      <c r="V457" s="17" t="str">
        <f t="shared" si="12"/>
        <v/>
      </c>
      <c r="W457" s="17" t="str">
        <f t="shared" si="13"/>
        <v>ARC&gt;0</v>
      </c>
      <c r="X457" s="13" t="str">
        <f t="shared" si="14"/>
        <v/>
      </c>
      <c r="Y457" s="11">
        <v>0.3174006273</v>
      </c>
      <c r="Z457" s="11">
        <v>0.9670429576</v>
      </c>
      <c r="AB457" s="11">
        <v>97.62696443</v>
      </c>
      <c r="AC457" s="15">
        <f t="shared" si="15"/>
        <v>98</v>
      </c>
      <c r="AD457" s="16" t="str">
        <f t="shared" si="16"/>
        <v/>
      </c>
      <c r="AE457" s="16" t="str">
        <f t="shared" si="17"/>
        <v/>
      </c>
      <c r="AF457" s="16" t="str">
        <f t="shared" si="18"/>
        <v/>
      </c>
      <c r="AG457" s="16" t="str">
        <f t="shared" si="19"/>
        <v>ARC&gt;0</v>
      </c>
      <c r="AH457" s="13" t="str">
        <f t="shared" si="20"/>
        <v/>
      </c>
      <c r="AI457" s="11">
        <v>1.246217358</v>
      </c>
      <c r="AJ457" s="11">
        <v>1.126818208</v>
      </c>
      <c r="AL457" s="18" t="str">
        <f t="shared" si="21"/>
        <v/>
      </c>
    </row>
    <row r="458" ht="15.75" customHeight="1">
      <c r="A458" s="11" t="s">
        <v>865</v>
      </c>
      <c r="B458" s="11">
        <v>2015.0</v>
      </c>
      <c r="C458" s="12" t="str">
        <f>VLOOKUP(A458, Regions!A:B, 2, FALSE)
</f>
        <v>Europe &amp; Central Asia</v>
      </c>
      <c r="D458" s="13">
        <f t="shared" si="1"/>
        <v>5</v>
      </c>
      <c r="E458" s="14">
        <f t="shared" si="2"/>
        <v>2017.5</v>
      </c>
      <c r="F458" s="11" t="s">
        <v>866</v>
      </c>
      <c r="G458" s="11">
        <v>34.77700043</v>
      </c>
      <c r="H458" s="11">
        <v>55.77886863</v>
      </c>
      <c r="I458" s="15">
        <f t="shared" si="3"/>
        <v>56</v>
      </c>
      <c r="J458" s="16" t="str">
        <f t="shared" si="4"/>
        <v/>
      </c>
      <c r="K458" s="16" t="str">
        <f t="shared" si="5"/>
        <v/>
      </c>
      <c r="L458" s="16" t="str">
        <f t="shared" si="6"/>
        <v/>
      </c>
      <c r="M458" s="16" t="str">
        <f t="shared" si="7"/>
        <v>ARC&gt;0</v>
      </c>
      <c r="N458" s="13">
        <f t="shared" si="8"/>
        <v>0.976940242</v>
      </c>
      <c r="O458" s="11">
        <v>26.0356066</v>
      </c>
      <c r="P458" s="11">
        <v>14.70974567</v>
      </c>
      <c r="Q458" s="11">
        <v>3.475779098</v>
      </c>
      <c r="R458" s="11">
        <v>44.95826816</v>
      </c>
      <c r="S458" s="15">
        <f t="shared" si="9"/>
        <v>45</v>
      </c>
      <c r="T458" s="17" t="str">
        <f t="shared" si="10"/>
        <v/>
      </c>
      <c r="U458" s="17" t="str">
        <f t="shared" si="11"/>
        <v/>
      </c>
      <c r="V458" s="17" t="str">
        <f t="shared" si="12"/>
        <v/>
      </c>
      <c r="W458" s="17" t="str">
        <f t="shared" si="13"/>
        <v>ARC&gt;0</v>
      </c>
      <c r="X458" s="13">
        <f t="shared" si="14"/>
        <v>1.144613242</v>
      </c>
      <c r="Y458" s="11">
        <v>28.79461102</v>
      </c>
      <c r="Z458" s="11">
        <v>21.10381293</v>
      </c>
      <c r="AA458" s="11">
        <v>5.143307896</v>
      </c>
      <c r="AB458" s="11">
        <v>76.0725119</v>
      </c>
      <c r="AC458" s="15">
        <f t="shared" si="15"/>
        <v>76</v>
      </c>
      <c r="AD458" s="16" t="str">
        <f t="shared" si="16"/>
        <v/>
      </c>
      <c r="AE458" s="16" t="str">
        <f t="shared" si="17"/>
        <v/>
      </c>
      <c r="AF458" s="16" t="str">
        <f t="shared" si="18"/>
        <v/>
      </c>
      <c r="AG458" s="16" t="str">
        <f t="shared" si="19"/>
        <v>ARC&gt;0</v>
      </c>
      <c r="AH458" s="13">
        <f t="shared" si="20"/>
        <v>0.188323488</v>
      </c>
      <c r="AI458" s="11">
        <v>20.86119401</v>
      </c>
      <c r="AJ458" s="11">
        <v>2.717904704</v>
      </c>
      <c r="AK458" s="11" t="s">
        <v>867</v>
      </c>
      <c r="AL458" s="18">
        <f t="shared" si="21"/>
        <v>0.956289754</v>
      </c>
    </row>
    <row r="459" ht="15.75" customHeight="1">
      <c r="A459" s="11" t="s">
        <v>865</v>
      </c>
      <c r="B459" s="11">
        <v>2020.0</v>
      </c>
      <c r="C459" s="12" t="str">
        <f>VLOOKUP(A459, Regions!A:B, 2, FALSE)
</f>
        <v>Europe &amp; Central Asia</v>
      </c>
      <c r="D459" s="13" t="str">
        <f t="shared" si="1"/>
        <v/>
      </c>
      <c r="E459" s="14" t="str">
        <f t="shared" si="2"/>
        <v/>
      </c>
      <c r="F459" s="11" t="s">
        <v>868</v>
      </c>
      <c r="G459" s="11">
        <v>37.90799713</v>
      </c>
      <c r="H459" s="11">
        <v>60.66356984</v>
      </c>
      <c r="I459" s="15">
        <f t="shared" si="3"/>
        <v>61</v>
      </c>
      <c r="J459" s="16" t="str">
        <f t="shared" si="4"/>
        <v/>
      </c>
      <c r="K459" s="16" t="str">
        <f t="shared" si="5"/>
        <v/>
      </c>
      <c r="L459" s="16" t="str">
        <f t="shared" si="6"/>
        <v/>
      </c>
      <c r="M459" s="16" t="str">
        <f t="shared" si="7"/>
        <v>ARC&gt;0</v>
      </c>
      <c r="N459" s="13" t="str">
        <f t="shared" si="8"/>
        <v/>
      </c>
      <c r="O459" s="11">
        <v>28.9627418</v>
      </c>
      <c r="P459" s="11">
        <v>7.77785276</v>
      </c>
      <c r="Q459" s="11">
        <v>2.595835594</v>
      </c>
      <c r="R459" s="11">
        <v>50.68133437</v>
      </c>
      <c r="S459" s="15">
        <f t="shared" si="9"/>
        <v>51</v>
      </c>
      <c r="T459" s="17" t="str">
        <f t="shared" si="10"/>
        <v/>
      </c>
      <c r="U459" s="17" t="str">
        <f t="shared" si="11"/>
        <v/>
      </c>
      <c r="V459" s="17" t="str">
        <f t="shared" si="12"/>
        <v/>
      </c>
      <c r="W459" s="17" t="str">
        <f t="shared" si="13"/>
        <v>ARC&gt;0</v>
      </c>
      <c r="X459" s="13" t="str">
        <f t="shared" si="14"/>
        <v/>
      </c>
      <c r="Y459" s="11">
        <v>33.53021373</v>
      </c>
      <c r="Z459" s="11">
        <v>11.60782393</v>
      </c>
      <c r="AA459" s="11">
        <v>4.180627978</v>
      </c>
      <c r="AB459" s="11">
        <v>77.01412934</v>
      </c>
      <c r="AC459" s="15">
        <f t="shared" si="15"/>
        <v>77</v>
      </c>
      <c r="AD459" s="16" t="str">
        <f t="shared" si="16"/>
        <v/>
      </c>
      <c r="AE459" s="16" t="str">
        <f t="shared" si="17"/>
        <v/>
      </c>
      <c r="AF459" s="16" t="str">
        <f t="shared" si="18"/>
        <v/>
      </c>
      <c r="AG459" s="16" t="str">
        <f t="shared" si="19"/>
        <v>ARC&gt;0</v>
      </c>
      <c r="AH459" s="13" t="str">
        <f t="shared" si="20"/>
        <v/>
      </c>
      <c r="AI459" s="11">
        <v>21.48137937</v>
      </c>
      <c r="AJ459" s="11">
        <v>1.504491286</v>
      </c>
      <c r="AK459" s="11" t="s">
        <v>43</v>
      </c>
      <c r="AL459" s="18" t="str">
        <f t="shared" si="21"/>
        <v/>
      </c>
    </row>
    <row r="460" ht="15.75" customHeight="1">
      <c r="A460" s="11" t="s">
        <v>869</v>
      </c>
      <c r="B460" s="11">
        <v>2015.0</v>
      </c>
      <c r="C460" s="12" t="str">
        <f>VLOOKUP(A460, Regions!A:B, 2, FALSE)
</f>
        <v>Sub-Saharan Africa</v>
      </c>
      <c r="D460" s="13">
        <f t="shared" si="1"/>
        <v>5</v>
      </c>
      <c r="E460" s="14">
        <f t="shared" si="2"/>
        <v>2017.5</v>
      </c>
      <c r="F460" s="11" t="s">
        <v>870</v>
      </c>
      <c r="G460" s="11">
        <v>41.9070015</v>
      </c>
      <c r="H460" s="11">
        <v>61.33874628</v>
      </c>
      <c r="I460" s="15">
        <f t="shared" si="3"/>
        <v>61</v>
      </c>
      <c r="J460" s="16" t="str">
        <f t="shared" si="4"/>
        <v/>
      </c>
      <c r="K460" s="16" t="str">
        <f t="shared" si="5"/>
        <v/>
      </c>
      <c r="L460" s="16" t="str">
        <f t="shared" si="6"/>
        <v/>
      </c>
      <c r="M460" s="16" t="str">
        <f t="shared" si="7"/>
        <v>ARC&gt;0</v>
      </c>
      <c r="N460" s="13">
        <f t="shared" si="8"/>
        <v>0.814727458</v>
      </c>
      <c r="O460" s="11">
        <v>5.65391723</v>
      </c>
      <c r="P460" s="11">
        <v>23.3359001</v>
      </c>
      <c r="Q460" s="11">
        <v>9.671436392</v>
      </c>
      <c r="R460" s="11">
        <v>43.61683432</v>
      </c>
      <c r="S460" s="15">
        <f t="shared" si="9"/>
        <v>44</v>
      </c>
      <c r="T460" s="17" t="str">
        <f t="shared" si="10"/>
        <v/>
      </c>
      <c r="U460" s="17" t="str">
        <f t="shared" si="11"/>
        <v/>
      </c>
      <c r="V460" s="17" t="str">
        <f t="shared" si="12"/>
        <v/>
      </c>
      <c r="W460" s="17" t="str">
        <f t="shared" si="13"/>
        <v>ARC&gt;0</v>
      </c>
      <c r="X460" s="13">
        <f t="shared" si="14"/>
        <v>0.922090802</v>
      </c>
      <c r="Y460" s="11">
        <v>7.210864868</v>
      </c>
      <c r="Z460" s="11">
        <v>33.25721949</v>
      </c>
      <c r="AA460" s="11">
        <v>15.91508132</v>
      </c>
      <c r="AB460" s="11">
        <v>85.90549729</v>
      </c>
      <c r="AC460" s="15">
        <f t="shared" si="15"/>
        <v>86</v>
      </c>
      <c r="AD460" s="16" t="str">
        <f t="shared" si="16"/>
        <v/>
      </c>
      <c r="AE460" s="16" t="str">
        <f t="shared" si="17"/>
        <v/>
      </c>
      <c r="AF460" s="16" t="str">
        <f t="shared" si="18"/>
        <v/>
      </c>
      <c r="AG460" s="16" t="str">
        <f t="shared" si="19"/>
        <v>ARC&gt;0</v>
      </c>
      <c r="AH460" s="13">
        <f t="shared" si="20"/>
        <v>0.165671474</v>
      </c>
      <c r="AI460" s="11">
        <v>3.495619671</v>
      </c>
      <c r="AJ460" s="11">
        <v>9.582613847</v>
      </c>
      <c r="AK460" s="11" t="s">
        <v>871</v>
      </c>
      <c r="AL460" s="18">
        <f t="shared" si="21"/>
        <v>0.756419328</v>
      </c>
    </row>
    <row r="461" ht="15.75" customHeight="1">
      <c r="A461" s="11" t="s">
        <v>869</v>
      </c>
      <c r="B461" s="11">
        <v>2020.0</v>
      </c>
      <c r="C461" s="12" t="str">
        <f>VLOOKUP(A461, Regions!A:B, 2, FALSE)
</f>
        <v>Sub-Saharan Africa</v>
      </c>
      <c r="D461" s="13" t="str">
        <f t="shared" si="1"/>
        <v/>
      </c>
      <c r="E461" s="14" t="str">
        <f t="shared" si="2"/>
        <v/>
      </c>
      <c r="F461" s="11" t="s">
        <v>872</v>
      </c>
      <c r="G461" s="11">
        <v>44.6289978</v>
      </c>
      <c r="H461" s="11">
        <v>65.41238357</v>
      </c>
      <c r="I461" s="15">
        <f t="shared" si="3"/>
        <v>65</v>
      </c>
      <c r="J461" s="16" t="str">
        <f t="shared" si="4"/>
        <v/>
      </c>
      <c r="K461" s="16" t="str">
        <f t="shared" si="5"/>
        <v/>
      </c>
      <c r="L461" s="16" t="str">
        <f t="shared" si="6"/>
        <v/>
      </c>
      <c r="M461" s="16" t="str">
        <f t="shared" si="7"/>
        <v>ARC&gt;0</v>
      </c>
      <c r="N461" s="13" t="str">
        <f t="shared" si="8"/>
        <v/>
      </c>
      <c r="O461" s="11">
        <v>6.15393902</v>
      </c>
      <c r="P461" s="11">
        <v>21.57684071</v>
      </c>
      <c r="Q461" s="11">
        <v>6.856836706</v>
      </c>
      <c r="R461" s="11">
        <v>48.22728833</v>
      </c>
      <c r="S461" s="15">
        <f t="shared" si="9"/>
        <v>48</v>
      </c>
      <c r="T461" s="17" t="str">
        <f t="shared" si="10"/>
        <v/>
      </c>
      <c r="U461" s="17" t="str">
        <f t="shared" si="11"/>
        <v/>
      </c>
      <c r="V461" s="17" t="str">
        <f t="shared" si="12"/>
        <v/>
      </c>
      <c r="W461" s="17" t="str">
        <f t="shared" si="13"/>
        <v>ARC&gt;0</v>
      </c>
      <c r="X461" s="13" t="str">
        <f t="shared" si="14"/>
        <v/>
      </c>
      <c r="Y461" s="11">
        <v>8.331703613</v>
      </c>
      <c r="Z461" s="11">
        <v>31.60865444</v>
      </c>
      <c r="AA461" s="11">
        <v>11.83235362</v>
      </c>
      <c r="AB461" s="11">
        <v>86.73385466</v>
      </c>
      <c r="AC461" s="15">
        <f t="shared" si="15"/>
        <v>87</v>
      </c>
      <c r="AD461" s="16" t="str">
        <f t="shared" si="16"/>
        <v/>
      </c>
      <c r="AE461" s="16" t="str">
        <f t="shared" si="17"/>
        <v/>
      </c>
      <c r="AF461" s="16" t="str">
        <f t="shared" si="18"/>
        <v/>
      </c>
      <c r="AG461" s="16" t="str">
        <f t="shared" si="19"/>
        <v>ARC&gt;0</v>
      </c>
      <c r="AH461" s="13" t="str">
        <f t="shared" si="20"/>
        <v/>
      </c>
      <c r="AI461" s="11">
        <v>3.451996194</v>
      </c>
      <c r="AJ461" s="11">
        <v>9.130414105</v>
      </c>
      <c r="AK461" s="11" t="s">
        <v>873</v>
      </c>
      <c r="AL461" s="18" t="str">
        <f t="shared" si="21"/>
        <v/>
      </c>
    </row>
    <row r="462" ht="15.75" customHeight="1">
      <c r="A462" s="11" t="s">
        <v>874</v>
      </c>
      <c r="B462" s="11">
        <v>2015.0</v>
      </c>
      <c r="C462" s="12" t="str">
        <f>VLOOKUP(A462, Regions!A:B, 2, FALSE)
</f>
        <v>Sub-Saharan Africa</v>
      </c>
      <c r="D462" s="13">
        <f t="shared" si="1"/>
        <v>5</v>
      </c>
      <c r="E462" s="14">
        <f t="shared" si="2"/>
        <v>2017.5</v>
      </c>
      <c r="F462" s="11" t="s">
        <v>875</v>
      </c>
      <c r="G462" s="11">
        <v>32.38499832</v>
      </c>
      <c r="H462" s="11">
        <v>64.95492911</v>
      </c>
      <c r="I462" s="15">
        <f t="shared" si="3"/>
        <v>65</v>
      </c>
      <c r="J462" s="16" t="str">
        <f t="shared" si="4"/>
        <v/>
      </c>
      <c r="K462" s="16" t="str">
        <f t="shared" si="5"/>
        <v/>
      </c>
      <c r="L462" s="16" t="str">
        <f t="shared" si="6"/>
        <v/>
      </c>
      <c r="M462" s="16" t="str">
        <f t="shared" si="7"/>
        <v>ARC&gt;0</v>
      </c>
      <c r="N462" s="13">
        <f t="shared" si="8"/>
        <v>-0.4576943</v>
      </c>
      <c r="O462" s="11">
        <v>12.45676477</v>
      </c>
      <c r="P462" s="11">
        <v>15.89884206</v>
      </c>
      <c r="Q462" s="11">
        <v>6.689464055</v>
      </c>
      <c r="R462" s="11">
        <v>51.25006071</v>
      </c>
      <c r="S462" s="15">
        <f t="shared" si="9"/>
        <v>51</v>
      </c>
      <c r="T462" s="17" t="str">
        <f t="shared" si="10"/>
        <v/>
      </c>
      <c r="U462" s="17" t="str">
        <f t="shared" si="11"/>
        <v/>
      </c>
      <c r="V462" s="17" t="str">
        <f t="shared" si="12"/>
        <v/>
      </c>
      <c r="W462" s="17" t="str">
        <f t="shared" si="13"/>
        <v>ARC&gt;0</v>
      </c>
      <c r="X462" s="13">
        <f t="shared" si="14"/>
        <v>-0.593526372</v>
      </c>
      <c r="Y462" s="11">
        <v>16.39672658</v>
      </c>
      <c r="Z462" s="11">
        <v>22.51446862</v>
      </c>
      <c r="AA462" s="11">
        <v>9.838744088</v>
      </c>
      <c r="AB462" s="11">
        <v>93.56863574</v>
      </c>
      <c r="AC462" s="15">
        <f t="shared" si="15"/>
        <v>94</v>
      </c>
      <c r="AD462" s="16" t="str">
        <f t="shared" si="16"/>
        <v/>
      </c>
      <c r="AE462" s="16" t="str">
        <f t="shared" si="17"/>
        <v/>
      </c>
      <c r="AF462" s="16" t="str">
        <f t="shared" si="18"/>
        <v/>
      </c>
      <c r="AG462" s="16" t="str">
        <f t="shared" si="19"/>
        <v>ARC&gt;0</v>
      </c>
      <c r="AH462" s="13">
        <f t="shared" si="20"/>
        <v>-0.134701358</v>
      </c>
      <c r="AI462" s="11">
        <v>4.23071973</v>
      </c>
      <c r="AJ462" s="11">
        <v>2.086401773</v>
      </c>
      <c r="AK462" s="11" t="s">
        <v>876</v>
      </c>
      <c r="AL462" s="18">
        <f t="shared" si="21"/>
        <v>-0.458825014</v>
      </c>
    </row>
    <row r="463" ht="15.75" customHeight="1">
      <c r="A463" s="11" t="s">
        <v>874</v>
      </c>
      <c r="B463" s="11">
        <v>2020.0</v>
      </c>
      <c r="C463" s="12" t="str">
        <f>VLOOKUP(A463, Regions!A:B, 2, FALSE)
</f>
        <v>Sub-Saharan Africa</v>
      </c>
      <c r="D463" s="13" t="str">
        <f t="shared" si="1"/>
        <v/>
      </c>
      <c r="E463" s="14" t="str">
        <f t="shared" si="2"/>
        <v/>
      </c>
      <c r="F463" s="11" t="s">
        <v>877</v>
      </c>
      <c r="G463" s="11">
        <v>32.24200058</v>
      </c>
      <c r="H463" s="11">
        <v>62.66645761</v>
      </c>
      <c r="I463" s="15">
        <f t="shared" si="3"/>
        <v>63</v>
      </c>
      <c r="J463" s="16" t="str">
        <f t="shared" si="4"/>
        <v/>
      </c>
      <c r="K463" s="16" t="str">
        <f t="shared" si="5"/>
        <v/>
      </c>
      <c r="L463" s="16" t="str">
        <f t="shared" si="6"/>
        <v/>
      </c>
      <c r="M463" s="16" t="str">
        <f t="shared" si="7"/>
        <v>ARC&gt;0</v>
      </c>
      <c r="N463" s="13" t="str">
        <f t="shared" si="8"/>
        <v/>
      </c>
      <c r="O463" s="11">
        <v>14.1975397</v>
      </c>
      <c r="P463" s="11">
        <v>16.27785545</v>
      </c>
      <c r="Q463" s="11">
        <v>6.858147242</v>
      </c>
      <c r="R463" s="11">
        <v>48.28242885</v>
      </c>
      <c r="S463" s="15">
        <f t="shared" si="9"/>
        <v>48</v>
      </c>
      <c r="T463" s="17" t="str">
        <f t="shared" si="10"/>
        <v/>
      </c>
      <c r="U463" s="17" t="str">
        <f t="shared" si="11"/>
        <v/>
      </c>
      <c r="V463" s="17" t="str">
        <f t="shared" si="12"/>
        <v/>
      </c>
      <c r="W463" s="17" t="str">
        <f t="shared" si="13"/>
        <v>ARC&gt;0</v>
      </c>
      <c r="X463" s="13" t="str">
        <f t="shared" si="14"/>
        <v/>
      </c>
      <c r="Y463" s="11">
        <v>18.59098467</v>
      </c>
      <c r="Z463" s="11">
        <v>23.01364655</v>
      </c>
      <c r="AA463" s="11">
        <v>10.11293992</v>
      </c>
      <c r="AB463" s="11">
        <v>92.89512895</v>
      </c>
      <c r="AC463" s="15">
        <f t="shared" si="15"/>
        <v>93</v>
      </c>
      <c r="AD463" s="16" t="str">
        <f t="shared" si="16"/>
        <v/>
      </c>
      <c r="AE463" s="16" t="str">
        <f t="shared" si="17"/>
        <v/>
      </c>
      <c r="AF463" s="16" t="str">
        <f t="shared" si="18"/>
        <v/>
      </c>
      <c r="AG463" s="16" t="str">
        <f t="shared" si="19"/>
        <v>ARC&gt;0</v>
      </c>
      <c r="AH463" s="13" t="str">
        <f t="shared" si="20"/>
        <v/>
      </c>
      <c r="AI463" s="11">
        <v>4.964517757</v>
      </c>
      <c r="AJ463" s="11">
        <v>2.122298674</v>
      </c>
      <c r="AK463" s="11" t="s">
        <v>878</v>
      </c>
      <c r="AL463" s="18" t="str">
        <f t="shared" si="21"/>
        <v/>
      </c>
    </row>
    <row r="464" ht="15.75" customHeight="1">
      <c r="C464" s="12"/>
      <c r="D464" s="13"/>
      <c r="E464" s="14"/>
      <c r="I464" s="15"/>
      <c r="J464" s="16"/>
      <c r="K464" s="16"/>
      <c r="L464" s="16"/>
      <c r="M464" s="16"/>
      <c r="N464" s="13"/>
      <c r="S464" s="15"/>
      <c r="T464" s="17"/>
      <c r="U464" s="17"/>
      <c r="V464" s="17"/>
      <c r="W464" s="17"/>
      <c r="X464" s="13"/>
      <c r="AC464" s="15"/>
      <c r="AD464" s="16"/>
      <c r="AE464" s="16"/>
      <c r="AF464" s="16"/>
      <c r="AG464" s="16"/>
      <c r="AH464" s="13"/>
      <c r="AL464" s="18"/>
    </row>
    <row r="465" ht="15.75" customHeight="1">
      <c r="C465" s="12"/>
      <c r="D465" s="13"/>
      <c r="E465" s="14"/>
      <c r="I465" s="15"/>
      <c r="J465" s="16"/>
      <c r="K465" s="16"/>
      <c r="L465" s="16"/>
      <c r="M465" s="16"/>
      <c r="N465" s="13"/>
      <c r="S465" s="15"/>
      <c r="T465" s="17"/>
      <c r="U465" s="17"/>
      <c r="V465" s="17"/>
      <c r="W465" s="17"/>
      <c r="X465" s="13"/>
      <c r="AC465" s="15"/>
      <c r="AD465" s="16"/>
      <c r="AE465" s="16"/>
      <c r="AF465" s="16"/>
      <c r="AG465" s="16"/>
      <c r="AH465" s="13"/>
      <c r="AL465" s="18"/>
    </row>
    <row r="466" ht="15.75" customHeight="1">
      <c r="C466" s="12"/>
      <c r="D466" s="13"/>
      <c r="E466" s="14"/>
      <c r="I466" s="15"/>
      <c r="J466" s="16"/>
      <c r="K466" s="16"/>
      <c r="L466" s="16"/>
      <c r="M466" s="16"/>
      <c r="N466" s="13"/>
      <c r="S466" s="15"/>
      <c r="T466" s="17"/>
      <c r="U466" s="17"/>
      <c r="V466" s="17"/>
      <c r="W466" s="17"/>
      <c r="X466" s="13"/>
      <c r="AC466" s="15"/>
      <c r="AD466" s="16"/>
      <c r="AE466" s="16"/>
      <c r="AF466" s="16"/>
      <c r="AG466" s="16"/>
      <c r="AH466" s="13"/>
      <c r="AL466" s="18"/>
    </row>
    <row r="467" ht="15.75" customHeight="1">
      <c r="C467" s="12"/>
      <c r="D467" s="13"/>
      <c r="E467" s="14"/>
      <c r="I467" s="15"/>
      <c r="J467" s="16"/>
      <c r="K467" s="16"/>
      <c r="L467" s="16"/>
      <c r="M467" s="16"/>
      <c r="N467" s="13"/>
      <c r="S467" s="15"/>
      <c r="T467" s="17"/>
      <c r="U467" s="17"/>
      <c r="V467" s="17"/>
      <c r="W467" s="17"/>
      <c r="X467" s="13"/>
      <c r="AC467" s="15"/>
      <c r="AD467" s="16"/>
      <c r="AE467" s="16"/>
      <c r="AF467" s="16"/>
      <c r="AG467" s="16"/>
      <c r="AH467" s="13"/>
      <c r="AL467" s="18"/>
    </row>
    <row r="468" ht="15.75" customHeight="1">
      <c r="C468" s="12"/>
      <c r="D468" s="13"/>
      <c r="E468" s="14"/>
      <c r="I468" s="15"/>
      <c r="J468" s="16"/>
      <c r="K468" s="16"/>
      <c r="L468" s="16"/>
      <c r="M468" s="16"/>
      <c r="N468" s="13"/>
      <c r="S468" s="15"/>
      <c r="T468" s="17"/>
      <c r="U468" s="17"/>
      <c r="V468" s="17"/>
      <c r="W468" s="17"/>
      <c r="X468" s="13"/>
      <c r="AC468" s="15"/>
      <c r="AD468" s="16"/>
      <c r="AE468" s="16"/>
      <c r="AF468" s="16"/>
      <c r="AG468" s="16"/>
      <c r="AH468" s="13"/>
      <c r="AL468" s="18"/>
    </row>
    <row r="469" ht="15.75" customHeight="1">
      <c r="C469" s="12"/>
      <c r="D469" s="13"/>
      <c r="E469" s="14"/>
      <c r="I469" s="15"/>
      <c r="J469" s="16"/>
      <c r="K469" s="16"/>
      <c r="L469" s="16"/>
      <c r="M469" s="16"/>
      <c r="N469" s="13"/>
      <c r="S469" s="15"/>
      <c r="T469" s="17"/>
      <c r="U469" s="17"/>
      <c r="V469" s="17"/>
      <c r="W469" s="17"/>
      <c r="X469" s="13"/>
      <c r="AC469" s="15"/>
      <c r="AD469" s="16"/>
      <c r="AE469" s="16"/>
      <c r="AF469" s="16"/>
      <c r="AG469" s="16"/>
      <c r="AH469" s="13"/>
      <c r="AL469" s="18"/>
    </row>
    <row r="470" ht="15.75" customHeight="1">
      <c r="C470" s="12"/>
      <c r="D470" s="13"/>
      <c r="E470" s="14"/>
      <c r="I470" s="15"/>
      <c r="J470" s="16"/>
      <c r="K470" s="16"/>
      <c r="L470" s="16"/>
      <c r="M470" s="16"/>
      <c r="N470" s="13"/>
      <c r="S470" s="15"/>
      <c r="T470" s="17"/>
      <c r="U470" s="17"/>
      <c r="V470" s="17"/>
      <c r="W470" s="17"/>
      <c r="X470" s="13"/>
      <c r="AC470" s="15"/>
      <c r="AD470" s="16"/>
      <c r="AE470" s="16"/>
      <c r="AF470" s="16"/>
      <c r="AG470" s="16"/>
      <c r="AH470" s="13"/>
      <c r="AL470" s="18"/>
    </row>
    <row r="471" ht="15.75" customHeight="1">
      <c r="C471" s="12"/>
      <c r="D471" s="13"/>
      <c r="E471" s="14"/>
      <c r="I471" s="15"/>
      <c r="J471" s="16"/>
      <c r="K471" s="16"/>
      <c r="L471" s="16"/>
      <c r="M471" s="16"/>
      <c r="N471" s="13"/>
      <c r="S471" s="15"/>
      <c r="T471" s="17"/>
      <c r="U471" s="17"/>
      <c r="V471" s="17"/>
      <c r="W471" s="17"/>
      <c r="X471" s="13"/>
      <c r="AC471" s="15"/>
      <c r="AD471" s="16"/>
      <c r="AE471" s="16"/>
      <c r="AF471" s="16"/>
      <c r="AG471" s="16"/>
      <c r="AH471" s="13"/>
      <c r="AL471" s="18"/>
    </row>
    <row r="472" ht="15.75" customHeight="1">
      <c r="C472" s="12"/>
      <c r="D472" s="13"/>
      <c r="E472" s="14"/>
      <c r="I472" s="15"/>
      <c r="J472" s="16"/>
      <c r="K472" s="16"/>
      <c r="L472" s="16"/>
      <c r="M472" s="16"/>
      <c r="N472" s="13"/>
      <c r="S472" s="15"/>
      <c r="T472" s="17"/>
      <c r="U472" s="17"/>
      <c r="V472" s="17"/>
      <c r="W472" s="17"/>
      <c r="X472" s="13"/>
      <c r="AC472" s="15"/>
      <c r="AD472" s="16"/>
      <c r="AE472" s="16"/>
      <c r="AF472" s="16"/>
      <c r="AG472" s="16"/>
      <c r="AH472" s="13"/>
      <c r="AL472" s="18"/>
    </row>
    <row r="473" ht="15.75" customHeight="1">
      <c r="C473" s="12"/>
      <c r="D473" s="13"/>
      <c r="E473" s="14"/>
      <c r="I473" s="15"/>
      <c r="J473" s="16"/>
      <c r="K473" s="16"/>
      <c r="L473" s="16"/>
      <c r="M473" s="16"/>
      <c r="N473" s="13"/>
      <c r="S473" s="15"/>
      <c r="T473" s="17"/>
      <c r="U473" s="17"/>
      <c r="V473" s="17"/>
      <c r="W473" s="17"/>
      <c r="X473" s="13"/>
      <c r="AC473" s="15"/>
      <c r="AD473" s="16"/>
      <c r="AE473" s="16"/>
      <c r="AF473" s="16"/>
      <c r="AG473" s="16"/>
      <c r="AH473" s="13"/>
      <c r="AL473" s="18"/>
    </row>
    <row r="474" ht="15.75" customHeight="1">
      <c r="C474" s="12"/>
      <c r="D474" s="13"/>
      <c r="E474" s="14"/>
      <c r="I474" s="15"/>
      <c r="J474" s="16"/>
      <c r="K474" s="16"/>
      <c r="L474" s="16"/>
      <c r="M474" s="16"/>
      <c r="N474" s="13"/>
      <c r="S474" s="15"/>
      <c r="T474" s="17"/>
      <c r="U474" s="17"/>
      <c r="V474" s="17"/>
      <c r="W474" s="17"/>
      <c r="X474" s="13"/>
      <c r="AC474" s="15"/>
      <c r="AD474" s="16"/>
      <c r="AE474" s="16"/>
      <c r="AF474" s="16"/>
      <c r="AG474" s="16"/>
      <c r="AH474" s="13"/>
      <c r="AL474" s="18"/>
    </row>
    <row r="475" ht="15.75" customHeight="1">
      <c r="C475" s="12"/>
      <c r="D475" s="13"/>
      <c r="E475" s="14"/>
      <c r="I475" s="15"/>
      <c r="J475" s="16"/>
      <c r="K475" s="16"/>
      <c r="L475" s="16"/>
      <c r="M475" s="16"/>
      <c r="N475" s="13"/>
      <c r="S475" s="15"/>
      <c r="T475" s="17"/>
      <c r="U475" s="17"/>
      <c r="V475" s="17"/>
      <c r="W475" s="17"/>
      <c r="X475" s="13"/>
      <c r="AC475" s="15"/>
      <c r="AD475" s="16"/>
      <c r="AE475" s="16"/>
      <c r="AF475" s="16"/>
      <c r="AG475" s="16"/>
      <c r="AH475" s="13"/>
      <c r="AL475" s="18"/>
    </row>
    <row r="476" ht="15.75" customHeight="1">
      <c r="C476" s="12"/>
      <c r="D476" s="13"/>
      <c r="E476" s="14"/>
      <c r="I476" s="15"/>
      <c r="J476" s="16"/>
      <c r="K476" s="16"/>
      <c r="L476" s="16"/>
      <c r="M476" s="16"/>
      <c r="N476" s="13"/>
      <c r="S476" s="15"/>
      <c r="T476" s="17"/>
      <c r="U476" s="17"/>
      <c r="V476" s="17"/>
      <c r="W476" s="17"/>
      <c r="X476" s="13"/>
      <c r="AC476" s="15"/>
      <c r="AD476" s="16"/>
      <c r="AE476" s="16"/>
      <c r="AF476" s="16"/>
      <c r="AG476" s="16"/>
      <c r="AH476" s="13"/>
      <c r="AL476" s="18"/>
    </row>
    <row r="477" ht="15.75" customHeight="1">
      <c r="C477" s="12"/>
      <c r="D477" s="13"/>
      <c r="E477" s="14"/>
      <c r="I477" s="15"/>
      <c r="J477" s="16"/>
      <c r="K477" s="16"/>
      <c r="L477" s="16"/>
      <c r="M477" s="16"/>
      <c r="N477" s="13"/>
      <c r="S477" s="15"/>
      <c r="T477" s="17"/>
      <c r="U477" s="17"/>
      <c r="V477" s="17"/>
      <c r="W477" s="17"/>
      <c r="X477" s="13"/>
      <c r="AC477" s="15"/>
      <c r="AD477" s="16"/>
      <c r="AE477" s="16"/>
      <c r="AF477" s="16"/>
      <c r="AG477" s="16"/>
      <c r="AH477" s="13"/>
      <c r="AL477" s="18"/>
    </row>
    <row r="478" ht="15.75" customHeight="1">
      <c r="C478" s="12"/>
      <c r="D478" s="13"/>
      <c r="E478" s="14"/>
      <c r="I478" s="15"/>
      <c r="J478" s="16"/>
      <c r="K478" s="16"/>
      <c r="L478" s="16"/>
      <c r="M478" s="16"/>
      <c r="N478" s="13"/>
      <c r="S478" s="15"/>
      <c r="T478" s="17"/>
      <c r="U478" s="17"/>
      <c r="V478" s="17"/>
      <c r="W478" s="17"/>
      <c r="X478" s="13"/>
      <c r="AC478" s="15"/>
      <c r="AD478" s="16"/>
      <c r="AE478" s="16"/>
      <c r="AF478" s="16"/>
      <c r="AG478" s="16"/>
      <c r="AH478" s="13"/>
      <c r="AL478" s="18"/>
    </row>
    <row r="479" ht="15.75" customHeight="1">
      <c r="C479" s="12"/>
      <c r="D479" s="13"/>
      <c r="E479" s="14"/>
      <c r="I479" s="15"/>
      <c r="J479" s="16"/>
      <c r="K479" s="16"/>
      <c r="L479" s="16"/>
      <c r="M479" s="16"/>
      <c r="N479" s="13"/>
      <c r="S479" s="15"/>
      <c r="T479" s="17"/>
      <c r="U479" s="17"/>
      <c r="V479" s="17"/>
      <c r="W479" s="17"/>
      <c r="X479" s="13"/>
      <c r="AC479" s="15"/>
      <c r="AD479" s="16"/>
      <c r="AE479" s="16"/>
      <c r="AF479" s="16"/>
      <c r="AG479" s="16"/>
      <c r="AH479" s="13"/>
      <c r="AL479" s="18"/>
    </row>
    <row r="480" ht="15.75" customHeight="1">
      <c r="C480" s="12"/>
      <c r="D480" s="13"/>
      <c r="E480" s="14"/>
      <c r="I480" s="15"/>
      <c r="J480" s="16"/>
      <c r="K480" s="16"/>
      <c r="L480" s="16"/>
      <c r="M480" s="16"/>
      <c r="N480" s="13"/>
      <c r="S480" s="15"/>
      <c r="T480" s="17"/>
      <c r="U480" s="17"/>
      <c r="V480" s="17"/>
      <c r="W480" s="17"/>
      <c r="X480" s="13"/>
      <c r="AC480" s="15"/>
      <c r="AD480" s="16"/>
      <c r="AE480" s="16"/>
      <c r="AF480" s="16"/>
      <c r="AG480" s="16"/>
      <c r="AH480" s="13"/>
      <c r="AL480" s="18"/>
    </row>
    <row r="481" ht="15.75" customHeight="1">
      <c r="C481" s="12"/>
      <c r="D481" s="13"/>
      <c r="E481" s="14"/>
      <c r="I481" s="15"/>
      <c r="J481" s="16"/>
      <c r="K481" s="16"/>
      <c r="L481" s="16"/>
      <c r="M481" s="16"/>
      <c r="N481" s="13"/>
      <c r="S481" s="15"/>
      <c r="T481" s="17"/>
      <c r="U481" s="17"/>
      <c r="V481" s="17"/>
      <c r="W481" s="17"/>
      <c r="X481" s="13"/>
      <c r="AC481" s="15"/>
      <c r="AD481" s="16"/>
      <c r="AE481" s="16"/>
      <c r="AF481" s="16"/>
      <c r="AG481" s="16"/>
      <c r="AH481" s="13"/>
      <c r="AL481" s="18"/>
    </row>
    <row r="482" ht="15.75" customHeight="1">
      <c r="C482" s="12"/>
      <c r="D482" s="13"/>
      <c r="E482" s="14"/>
      <c r="I482" s="15"/>
      <c r="J482" s="16"/>
      <c r="K482" s="16"/>
      <c r="L482" s="16"/>
      <c r="M482" s="16"/>
      <c r="N482" s="13"/>
      <c r="S482" s="15"/>
      <c r="T482" s="17"/>
      <c r="U482" s="17"/>
      <c r="V482" s="17"/>
      <c r="W482" s="17"/>
      <c r="X482" s="13"/>
      <c r="AC482" s="15"/>
      <c r="AD482" s="16"/>
      <c r="AE482" s="16"/>
      <c r="AF482" s="16"/>
      <c r="AG482" s="16"/>
      <c r="AH482" s="13"/>
      <c r="AL482" s="18"/>
    </row>
    <row r="483" ht="15.75" customHeight="1">
      <c r="C483" s="12"/>
      <c r="D483" s="13"/>
      <c r="E483" s="14"/>
      <c r="I483" s="15"/>
      <c r="J483" s="16"/>
      <c r="K483" s="16"/>
      <c r="L483" s="16"/>
      <c r="M483" s="16"/>
      <c r="N483" s="13"/>
      <c r="S483" s="15"/>
      <c r="T483" s="17"/>
      <c r="U483" s="17"/>
      <c r="V483" s="17"/>
      <c r="W483" s="17"/>
      <c r="X483" s="13"/>
      <c r="AC483" s="15"/>
      <c r="AD483" s="16"/>
      <c r="AE483" s="16"/>
      <c r="AF483" s="16"/>
      <c r="AG483" s="16"/>
      <c r="AH483" s="13"/>
      <c r="AL483" s="18"/>
    </row>
    <row r="484" ht="15.75" customHeight="1">
      <c r="C484" s="12"/>
      <c r="D484" s="13"/>
      <c r="E484" s="14"/>
      <c r="I484" s="15"/>
      <c r="J484" s="16"/>
      <c r="K484" s="16"/>
      <c r="L484" s="16"/>
      <c r="M484" s="16"/>
      <c r="N484" s="13"/>
      <c r="S484" s="15"/>
      <c r="T484" s="17"/>
      <c r="U484" s="17"/>
      <c r="V484" s="17"/>
      <c r="W484" s="17"/>
      <c r="X484" s="13"/>
      <c r="AC484" s="15"/>
      <c r="AD484" s="16"/>
      <c r="AE484" s="16"/>
      <c r="AF484" s="16"/>
      <c r="AG484" s="16"/>
      <c r="AH484" s="13"/>
      <c r="AL484" s="18"/>
    </row>
    <row r="485" ht="15.75" customHeight="1">
      <c r="C485" s="12"/>
      <c r="D485" s="13"/>
      <c r="E485" s="14"/>
      <c r="I485" s="15"/>
      <c r="J485" s="16"/>
      <c r="K485" s="16"/>
      <c r="L485" s="16"/>
      <c r="M485" s="16"/>
      <c r="N485" s="13"/>
      <c r="S485" s="15"/>
      <c r="T485" s="17"/>
      <c r="U485" s="17"/>
      <c r="V485" s="17"/>
      <c r="W485" s="17"/>
      <c r="X485" s="13"/>
      <c r="AC485" s="15"/>
      <c r="AD485" s="16"/>
      <c r="AE485" s="16"/>
      <c r="AF485" s="16"/>
      <c r="AG485" s="16"/>
      <c r="AH485" s="13"/>
      <c r="AL485" s="18"/>
    </row>
    <row r="486" ht="15.75" customHeight="1">
      <c r="C486" s="12"/>
      <c r="D486" s="13"/>
      <c r="E486" s="14"/>
      <c r="I486" s="15"/>
      <c r="J486" s="16"/>
      <c r="K486" s="16"/>
      <c r="L486" s="16"/>
      <c r="M486" s="16"/>
      <c r="N486" s="13"/>
      <c r="S486" s="15"/>
      <c r="T486" s="17"/>
      <c r="U486" s="17"/>
      <c r="V486" s="17"/>
      <c r="W486" s="17"/>
      <c r="X486" s="13"/>
      <c r="AC486" s="15"/>
      <c r="AD486" s="16"/>
      <c r="AE486" s="16"/>
      <c r="AF486" s="16"/>
      <c r="AG486" s="16"/>
      <c r="AH486" s="13"/>
      <c r="AL486" s="18"/>
    </row>
    <row r="487" ht="15.75" customHeight="1">
      <c r="C487" s="12"/>
      <c r="D487" s="13"/>
      <c r="E487" s="14"/>
      <c r="I487" s="15"/>
      <c r="J487" s="16"/>
      <c r="K487" s="16"/>
      <c r="L487" s="16"/>
      <c r="M487" s="16"/>
      <c r="N487" s="13"/>
      <c r="S487" s="15"/>
      <c r="T487" s="17"/>
      <c r="U487" s="17"/>
      <c r="V487" s="17"/>
      <c r="W487" s="17"/>
      <c r="X487" s="13"/>
      <c r="AC487" s="15"/>
      <c r="AD487" s="16"/>
      <c r="AE487" s="16"/>
      <c r="AF487" s="16"/>
      <c r="AG487" s="16"/>
      <c r="AH487" s="13"/>
      <c r="AL487" s="18"/>
    </row>
    <row r="488" ht="15.75" customHeight="1">
      <c r="C488" s="12"/>
      <c r="D488" s="13"/>
      <c r="E488" s="14"/>
      <c r="I488" s="15"/>
      <c r="J488" s="16"/>
      <c r="K488" s="16"/>
      <c r="L488" s="16"/>
      <c r="M488" s="16"/>
      <c r="N488" s="13"/>
      <c r="S488" s="15"/>
      <c r="T488" s="17"/>
      <c r="U488" s="17"/>
      <c r="V488" s="17"/>
      <c r="W488" s="17"/>
      <c r="X488" s="13"/>
      <c r="AC488" s="15"/>
      <c r="AD488" s="16"/>
      <c r="AE488" s="16"/>
      <c r="AF488" s="16"/>
      <c r="AG488" s="16"/>
      <c r="AH488" s="13"/>
      <c r="AL488" s="18"/>
    </row>
    <row r="489" ht="15.75" customHeight="1">
      <c r="C489" s="12"/>
      <c r="D489" s="13"/>
      <c r="E489" s="14"/>
      <c r="I489" s="15"/>
      <c r="J489" s="16"/>
      <c r="K489" s="16"/>
      <c r="L489" s="16"/>
      <c r="M489" s="16"/>
      <c r="N489" s="13"/>
      <c r="S489" s="15"/>
      <c r="T489" s="17"/>
      <c r="U489" s="17"/>
      <c r="V489" s="17"/>
      <c r="W489" s="17"/>
      <c r="X489" s="13"/>
      <c r="AC489" s="15"/>
      <c r="AD489" s="16"/>
      <c r="AE489" s="16"/>
      <c r="AF489" s="16"/>
      <c r="AG489" s="16"/>
      <c r="AH489" s="13"/>
      <c r="AL489" s="18"/>
    </row>
    <row r="490" ht="15.75" customHeight="1">
      <c r="C490" s="12"/>
      <c r="D490" s="13"/>
      <c r="E490" s="14"/>
      <c r="I490" s="15"/>
      <c r="J490" s="16"/>
      <c r="K490" s="16"/>
      <c r="L490" s="16"/>
      <c r="M490" s="16"/>
      <c r="N490" s="13"/>
      <c r="S490" s="15"/>
      <c r="T490" s="17"/>
      <c r="U490" s="17"/>
      <c r="V490" s="17"/>
      <c r="W490" s="17"/>
      <c r="X490" s="13"/>
      <c r="AC490" s="15"/>
      <c r="AD490" s="16"/>
      <c r="AE490" s="16"/>
      <c r="AF490" s="16"/>
      <c r="AG490" s="16"/>
      <c r="AH490" s="13"/>
      <c r="AL490" s="18"/>
    </row>
    <row r="491" ht="15.75" customHeight="1">
      <c r="C491" s="12"/>
      <c r="D491" s="13"/>
      <c r="E491" s="14"/>
      <c r="I491" s="15"/>
      <c r="J491" s="16"/>
      <c r="K491" s="16"/>
      <c r="L491" s="16"/>
      <c r="M491" s="16"/>
      <c r="N491" s="13"/>
      <c r="S491" s="15"/>
      <c r="T491" s="17"/>
      <c r="U491" s="17"/>
      <c r="V491" s="17"/>
      <c r="W491" s="17"/>
      <c r="X491" s="13"/>
      <c r="AC491" s="15"/>
      <c r="AD491" s="16"/>
      <c r="AE491" s="16"/>
      <c r="AF491" s="16"/>
      <c r="AG491" s="16"/>
      <c r="AH491" s="13"/>
      <c r="AL491" s="18"/>
    </row>
    <row r="492" ht="15.75" customHeight="1">
      <c r="C492" s="12"/>
      <c r="D492" s="13"/>
      <c r="E492" s="14"/>
      <c r="I492" s="15"/>
      <c r="J492" s="16"/>
      <c r="K492" s="16"/>
      <c r="L492" s="16"/>
      <c r="M492" s="16"/>
      <c r="N492" s="13"/>
      <c r="S492" s="15"/>
      <c r="T492" s="17"/>
      <c r="U492" s="17"/>
      <c r="V492" s="17"/>
      <c r="W492" s="17"/>
      <c r="X492" s="13"/>
      <c r="AC492" s="15"/>
      <c r="AD492" s="16"/>
      <c r="AE492" s="16"/>
      <c r="AF492" s="16"/>
      <c r="AG492" s="16"/>
      <c r="AH492" s="13"/>
      <c r="AL492" s="18"/>
    </row>
    <row r="493" ht="15.75" customHeight="1">
      <c r="C493" s="12"/>
      <c r="D493" s="13"/>
      <c r="E493" s="14"/>
      <c r="I493" s="15"/>
      <c r="J493" s="16"/>
      <c r="K493" s="16"/>
      <c r="L493" s="16"/>
      <c r="M493" s="16"/>
      <c r="N493" s="13"/>
      <c r="S493" s="15"/>
      <c r="T493" s="17"/>
      <c r="U493" s="17"/>
      <c r="V493" s="17"/>
      <c r="W493" s="17"/>
      <c r="X493" s="13"/>
      <c r="AC493" s="15"/>
      <c r="AD493" s="16"/>
      <c r="AE493" s="16"/>
      <c r="AF493" s="16"/>
      <c r="AG493" s="16"/>
      <c r="AH493" s="13"/>
      <c r="AL493" s="18"/>
    </row>
    <row r="494" ht="15.75" customHeight="1">
      <c r="C494" s="12"/>
      <c r="D494" s="13"/>
      <c r="E494" s="14"/>
      <c r="I494" s="15"/>
      <c r="J494" s="16"/>
      <c r="K494" s="16"/>
      <c r="L494" s="16"/>
      <c r="M494" s="16"/>
      <c r="N494" s="13"/>
      <c r="S494" s="15"/>
      <c r="T494" s="17"/>
      <c r="U494" s="17"/>
      <c r="V494" s="17"/>
      <c r="W494" s="17"/>
      <c r="X494" s="13"/>
      <c r="AC494" s="15"/>
      <c r="AD494" s="16"/>
      <c r="AE494" s="16"/>
      <c r="AF494" s="16"/>
      <c r="AG494" s="16"/>
      <c r="AH494" s="13"/>
      <c r="AL494" s="18"/>
    </row>
    <row r="495" ht="15.75" customHeight="1">
      <c r="C495" s="12"/>
      <c r="D495" s="13"/>
      <c r="E495" s="14"/>
      <c r="I495" s="15"/>
      <c r="J495" s="16"/>
      <c r="K495" s="16"/>
      <c r="L495" s="16"/>
      <c r="M495" s="16"/>
      <c r="N495" s="13"/>
      <c r="S495" s="15"/>
      <c r="T495" s="17"/>
      <c r="U495" s="17"/>
      <c r="V495" s="17"/>
      <c r="W495" s="17"/>
      <c r="X495" s="13"/>
      <c r="AC495" s="15"/>
      <c r="AD495" s="16"/>
      <c r="AE495" s="16"/>
      <c r="AF495" s="16"/>
      <c r="AG495" s="16"/>
      <c r="AH495" s="13"/>
      <c r="AL495" s="18"/>
    </row>
    <row r="496" ht="15.75" customHeight="1">
      <c r="C496" s="12"/>
      <c r="D496" s="13"/>
      <c r="E496" s="14"/>
      <c r="I496" s="15"/>
      <c r="J496" s="16"/>
      <c r="K496" s="16"/>
      <c r="L496" s="16"/>
      <c r="M496" s="16"/>
      <c r="N496" s="13"/>
      <c r="S496" s="15"/>
      <c r="T496" s="17"/>
      <c r="U496" s="17"/>
      <c r="V496" s="17"/>
      <c r="W496" s="17"/>
      <c r="X496" s="13"/>
      <c r="AC496" s="15"/>
      <c r="AD496" s="16"/>
      <c r="AE496" s="16"/>
      <c r="AF496" s="16"/>
      <c r="AG496" s="16"/>
      <c r="AH496" s="13"/>
      <c r="AL496" s="18"/>
    </row>
    <row r="497" ht="15.75" customHeight="1">
      <c r="C497" s="12"/>
      <c r="D497" s="13"/>
      <c r="E497" s="14"/>
      <c r="I497" s="15"/>
      <c r="J497" s="16"/>
      <c r="K497" s="16"/>
      <c r="L497" s="16"/>
      <c r="M497" s="16"/>
      <c r="N497" s="13"/>
      <c r="S497" s="15"/>
      <c r="T497" s="17"/>
      <c r="U497" s="17"/>
      <c r="V497" s="17"/>
      <c r="W497" s="17"/>
      <c r="X497" s="13"/>
      <c r="AC497" s="15"/>
      <c r="AD497" s="16"/>
      <c r="AE497" s="16"/>
      <c r="AF497" s="16"/>
      <c r="AG497" s="16"/>
      <c r="AH497" s="13"/>
      <c r="AL497" s="18"/>
    </row>
    <row r="498" ht="15.75" customHeight="1">
      <c r="C498" s="12"/>
      <c r="D498" s="13"/>
      <c r="E498" s="14"/>
      <c r="I498" s="15"/>
      <c r="J498" s="16"/>
      <c r="K498" s="16"/>
      <c r="L498" s="16"/>
      <c r="M498" s="16"/>
      <c r="N498" s="13"/>
      <c r="S498" s="15"/>
      <c r="T498" s="17"/>
      <c r="U498" s="17"/>
      <c r="V498" s="17"/>
      <c r="W498" s="17"/>
      <c r="X498" s="13"/>
      <c r="AC498" s="15"/>
      <c r="AD498" s="16"/>
      <c r="AE498" s="16"/>
      <c r="AF498" s="16"/>
      <c r="AG498" s="16"/>
      <c r="AH498" s="13"/>
      <c r="AL498" s="18"/>
    </row>
    <row r="499" ht="15.75" customHeight="1">
      <c r="C499" s="12"/>
      <c r="D499" s="13"/>
      <c r="E499" s="14"/>
      <c r="I499" s="15"/>
      <c r="J499" s="16"/>
      <c r="K499" s="16"/>
      <c r="L499" s="16"/>
      <c r="M499" s="16"/>
      <c r="N499" s="13"/>
      <c r="S499" s="15"/>
      <c r="T499" s="17"/>
      <c r="U499" s="17"/>
      <c r="V499" s="17"/>
      <c r="W499" s="17"/>
      <c r="X499" s="13"/>
      <c r="AC499" s="15"/>
      <c r="AD499" s="16"/>
      <c r="AE499" s="16"/>
      <c r="AF499" s="16"/>
      <c r="AG499" s="16"/>
      <c r="AH499" s="13"/>
      <c r="AL499" s="18"/>
    </row>
    <row r="500" ht="15.75" customHeight="1">
      <c r="C500" s="12"/>
      <c r="D500" s="13"/>
      <c r="E500" s="14"/>
      <c r="I500" s="15"/>
      <c r="J500" s="16"/>
      <c r="K500" s="16"/>
      <c r="L500" s="16"/>
      <c r="M500" s="16"/>
      <c r="N500" s="13"/>
      <c r="S500" s="15"/>
      <c r="T500" s="17"/>
      <c r="U500" s="17"/>
      <c r="V500" s="17"/>
      <c r="W500" s="17"/>
      <c r="X500" s="13"/>
      <c r="AC500" s="15"/>
      <c r="AD500" s="16"/>
      <c r="AE500" s="16"/>
      <c r="AF500" s="16"/>
      <c r="AG500" s="16"/>
      <c r="AH500" s="13"/>
      <c r="AL500" s="18"/>
    </row>
    <row r="501" ht="15.75" customHeight="1">
      <c r="C501" s="12"/>
      <c r="D501" s="13"/>
      <c r="E501" s="14"/>
      <c r="I501" s="15"/>
      <c r="J501" s="16"/>
      <c r="K501" s="16"/>
      <c r="L501" s="16"/>
      <c r="M501" s="16"/>
      <c r="N501" s="13"/>
      <c r="S501" s="15"/>
      <c r="T501" s="17"/>
      <c r="U501" s="17"/>
      <c r="V501" s="17"/>
      <c r="W501" s="17"/>
      <c r="X501" s="13"/>
      <c r="AC501" s="15"/>
      <c r="AD501" s="16"/>
      <c r="AE501" s="16"/>
      <c r="AF501" s="16"/>
      <c r="AG501" s="16"/>
      <c r="AH501" s="13"/>
      <c r="AL501" s="18"/>
    </row>
    <row r="502" ht="15.75" customHeight="1">
      <c r="C502" s="12"/>
      <c r="D502" s="13"/>
      <c r="E502" s="14"/>
      <c r="I502" s="15"/>
      <c r="J502" s="16"/>
      <c r="K502" s="16"/>
      <c r="L502" s="16"/>
      <c r="M502" s="16"/>
      <c r="N502" s="13"/>
      <c r="S502" s="15"/>
      <c r="T502" s="17"/>
      <c r="U502" s="17"/>
      <c r="V502" s="17"/>
      <c r="W502" s="17"/>
      <c r="X502" s="13"/>
      <c r="AC502" s="15"/>
      <c r="AD502" s="16"/>
      <c r="AE502" s="16"/>
      <c r="AF502" s="16"/>
      <c r="AG502" s="16"/>
      <c r="AH502" s="13"/>
      <c r="AL502" s="18"/>
    </row>
    <row r="503" ht="15.75" customHeight="1">
      <c r="C503" s="12"/>
      <c r="D503" s="13"/>
      <c r="E503" s="14"/>
      <c r="I503" s="15"/>
      <c r="J503" s="16"/>
      <c r="K503" s="16"/>
      <c r="L503" s="16"/>
      <c r="M503" s="16"/>
      <c r="N503" s="13"/>
      <c r="S503" s="15"/>
      <c r="T503" s="17"/>
      <c r="U503" s="17"/>
      <c r="V503" s="17"/>
      <c r="W503" s="17"/>
      <c r="X503" s="13"/>
      <c r="AC503" s="15"/>
      <c r="AD503" s="16"/>
      <c r="AE503" s="16"/>
      <c r="AF503" s="16"/>
      <c r="AG503" s="16"/>
      <c r="AH503" s="13"/>
      <c r="AL503" s="18"/>
    </row>
    <row r="504" ht="15.75" customHeight="1">
      <c r="C504" s="12"/>
      <c r="D504" s="13"/>
      <c r="E504" s="14"/>
      <c r="I504" s="15"/>
      <c r="J504" s="16"/>
      <c r="K504" s="16"/>
      <c r="L504" s="16"/>
      <c r="M504" s="16"/>
      <c r="N504" s="13"/>
      <c r="S504" s="15"/>
      <c r="T504" s="17"/>
      <c r="U504" s="17"/>
      <c r="V504" s="17"/>
      <c r="W504" s="17"/>
      <c r="X504" s="13"/>
      <c r="AC504" s="15"/>
      <c r="AD504" s="16"/>
      <c r="AE504" s="16"/>
      <c r="AF504" s="16"/>
      <c r="AG504" s="16"/>
      <c r="AH504" s="13"/>
      <c r="AL504" s="18"/>
    </row>
    <row r="505" ht="15.75" customHeight="1">
      <c r="C505" s="12"/>
      <c r="D505" s="13"/>
      <c r="E505" s="14"/>
      <c r="I505" s="15"/>
      <c r="J505" s="16"/>
      <c r="K505" s="16"/>
      <c r="L505" s="16"/>
      <c r="M505" s="16"/>
      <c r="N505" s="13"/>
      <c r="S505" s="15"/>
      <c r="T505" s="17"/>
      <c r="U505" s="17"/>
      <c r="V505" s="17"/>
      <c r="W505" s="17"/>
      <c r="X505" s="13"/>
      <c r="AC505" s="15"/>
      <c r="AD505" s="16"/>
      <c r="AE505" s="16"/>
      <c r="AF505" s="16"/>
      <c r="AG505" s="16"/>
      <c r="AH505" s="13"/>
      <c r="AL505" s="18"/>
    </row>
    <row r="506" ht="15.75" customHeight="1">
      <c r="C506" s="12"/>
      <c r="D506" s="13"/>
      <c r="E506" s="14"/>
      <c r="I506" s="15"/>
      <c r="J506" s="16"/>
      <c r="K506" s="16"/>
      <c r="L506" s="16"/>
      <c r="M506" s="16"/>
      <c r="N506" s="13"/>
      <c r="S506" s="15"/>
      <c r="T506" s="17"/>
      <c r="U506" s="17"/>
      <c r="V506" s="17"/>
      <c r="W506" s="17"/>
      <c r="X506" s="13"/>
      <c r="AC506" s="15"/>
      <c r="AD506" s="16"/>
      <c r="AE506" s="16"/>
      <c r="AF506" s="16"/>
      <c r="AG506" s="16"/>
      <c r="AH506" s="13"/>
      <c r="AL506" s="18"/>
    </row>
    <row r="507" ht="15.75" customHeight="1">
      <c r="C507" s="12"/>
      <c r="D507" s="13"/>
      <c r="E507" s="14"/>
      <c r="I507" s="15"/>
      <c r="J507" s="16"/>
      <c r="K507" s="16"/>
      <c r="L507" s="16"/>
      <c r="M507" s="16"/>
      <c r="N507" s="13"/>
      <c r="S507" s="15"/>
      <c r="T507" s="17"/>
      <c r="U507" s="17"/>
      <c r="V507" s="17"/>
      <c r="W507" s="17"/>
      <c r="X507" s="13"/>
      <c r="AC507" s="15"/>
      <c r="AD507" s="16"/>
      <c r="AE507" s="16"/>
      <c r="AF507" s="16"/>
      <c r="AG507" s="16"/>
      <c r="AH507" s="13"/>
      <c r="AL507" s="18"/>
    </row>
    <row r="508" ht="15.75" customHeight="1">
      <c r="C508" s="12"/>
      <c r="D508" s="13"/>
      <c r="E508" s="14"/>
      <c r="I508" s="15"/>
      <c r="J508" s="16"/>
      <c r="K508" s="16"/>
      <c r="L508" s="16"/>
      <c r="M508" s="16"/>
      <c r="N508" s="13"/>
      <c r="S508" s="15"/>
      <c r="T508" s="17"/>
      <c r="U508" s="17"/>
      <c r="V508" s="17"/>
      <c r="W508" s="17"/>
      <c r="X508" s="13"/>
      <c r="AC508" s="15"/>
      <c r="AD508" s="16"/>
      <c r="AE508" s="16"/>
      <c r="AF508" s="16"/>
      <c r="AG508" s="16"/>
      <c r="AH508" s="13"/>
      <c r="AL508" s="18"/>
    </row>
    <row r="509" ht="15.75" customHeight="1">
      <c r="C509" s="12"/>
      <c r="D509" s="13"/>
      <c r="E509" s="14"/>
      <c r="I509" s="15"/>
      <c r="J509" s="16"/>
      <c r="K509" s="16"/>
      <c r="L509" s="16"/>
      <c r="M509" s="16"/>
      <c r="N509" s="13"/>
      <c r="S509" s="15"/>
      <c r="T509" s="17"/>
      <c r="U509" s="17"/>
      <c r="V509" s="17"/>
      <c r="W509" s="17"/>
      <c r="X509" s="13"/>
      <c r="AC509" s="15"/>
      <c r="AD509" s="16"/>
      <c r="AE509" s="16"/>
      <c r="AF509" s="16"/>
      <c r="AG509" s="16"/>
      <c r="AH509" s="13"/>
      <c r="AL509" s="18"/>
    </row>
    <row r="510" ht="15.75" customHeight="1">
      <c r="C510" s="12"/>
      <c r="D510" s="13"/>
      <c r="E510" s="14"/>
      <c r="I510" s="15"/>
      <c r="J510" s="16"/>
      <c r="K510" s="16"/>
      <c r="L510" s="16"/>
      <c r="M510" s="16"/>
      <c r="N510" s="13"/>
      <c r="S510" s="15"/>
      <c r="T510" s="17"/>
      <c r="U510" s="17"/>
      <c r="V510" s="17"/>
      <c r="W510" s="17"/>
      <c r="X510" s="13"/>
      <c r="AC510" s="15"/>
      <c r="AD510" s="16"/>
      <c r="AE510" s="16"/>
      <c r="AF510" s="16"/>
      <c r="AG510" s="16"/>
      <c r="AH510" s="13"/>
      <c r="AL510" s="18"/>
    </row>
    <row r="511" ht="15.75" customHeight="1">
      <c r="C511" s="12"/>
      <c r="D511" s="13"/>
      <c r="E511" s="14"/>
      <c r="I511" s="15"/>
      <c r="J511" s="16"/>
      <c r="K511" s="16"/>
      <c r="L511" s="16"/>
      <c r="M511" s="16"/>
      <c r="N511" s="13"/>
      <c r="S511" s="15"/>
      <c r="T511" s="17"/>
      <c r="U511" s="17"/>
      <c r="V511" s="17"/>
      <c r="W511" s="17"/>
      <c r="X511" s="13"/>
      <c r="AC511" s="15"/>
      <c r="AD511" s="16"/>
      <c r="AE511" s="16"/>
      <c r="AF511" s="16"/>
      <c r="AG511" s="16"/>
      <c r="AH511" s="13"/>
      <c r="AL511" s="18"/>
    </row>
    <row r="512" ht="15.75" customHeight="1">
      <c r="C512" s="12"/>
      <c r="D512" s="13"/>
      <c r="E512" s="14"/>
      <c r="I512" s="15"/>
      <c r="J512" s="16"/>
      <c r="K512" s="16"/>
      <c r="L512" s="16"/>
      <c r="M512" s="16"/>
      <c r="N512" s="13"/>
      <c r="S512" s="15"/>
      <c r="T512" s="17"/>
      <c r="U512" s="17"/>
      <c r="V512" s="17"/>
      <c r="W512" s="17"/>
      <c r="X512" s="13"/>
      <c r="AC512" s="15"/>
      <c r="AD512" s="16"/>
      <c r="AE512" s="16"/>
      <c r="AF512" s="16"/>
      <c r="AG512" s="16"/>
      <c r="AH512" s="13"/>
      <c r="AL512" s="18"/>
    </row>
    <row r="513" ht="15.75" customHeight="1">
      <c r="C513" s="12"/>
      <c r="D513" s="13"/>
      <c r="E513" s="14"/>
      <c r="I513" s="15"/>
      <c r="J513" s="16"/>
      <c r="K513" s="16"/>
      <c r="L513" s="16"/>
      <c r="M513" s="16"/>
      <c r="N513" s="13"/>
      <c r="S513" s="15"/>
      <c r="T513" s="17"/>
      <c r="U513" s="17"/>
      <c r="V513" s="17"/>
      <c r="W513" s="17"/>
      <c r="X513" s="13"/>
      <c r="AC513" s="15"/>
      <c r="AD513" s="16"/>
      <c r="AE513" s="16"/>
      <c r="AF513" s="16"/>
      <c r="AG513" s="16"/>
      <c r="AH513" s="13"/>
      <c r="AL513" s="18"/>
    </row>
    <row r="514" ht="15.75" customHeight="1">
      <c r="C514" s="12"/>
      <c r="D514" s="13"/>
      <c r="E514" s="14"/>
      <c r="I514" s="15"/>
      <c r="J514" s="16"/>
      <c r="K514" s="16"/>
      <c r="L514" s="16"/>
      <c r="M514" s="16"/>
      <c r="N514" s="13"/>
      <c r="S514" s="15"/>
      <c r="T514" s="17"/>
      <c r="U514" s="17"/>
      <c r="V514" s="17"/>
      <c r="W514" s="17"/>
      <c r="X514" s="13"/>
      <c r="AC514" s="15"/>
      <c r="AD514" s="16"/>
      <c r="AE514" s="16"/>
      <c r="AF514" s="16"/>
      <c r="AG514" s="16"/>
      <c r="AH514" s="13"/>
      <c r="AL514" s="18"/>
    </row>
    <row r="515" ht="15.75" customHeight="1">
      <c r="C515" s="12"/>
      <c r="D515" s="13"/>
      <c r="E515" s="14"/>
      <c r="I515" s="15"/>
      <c r="J515" s="16"/>
      <c r="K515" s="16"/>
      <c r="L515" s="16"/>
      <c r="M515" s="16"/>
      <c r="N515" s="13"/>
      <c r="S515" s="15"/>
      <c r="T515" s="17"/>
      <c r="U515" s="17"/>
      <c r="V515" s="17"/>
      <c r="W515" s="17"/>
      <c r="X515" s="13"/>
      <c r="AC515" s="15"/>
      <c r="AD515" s="16"/>
      <c r="AE515" s="16"/>
      <c r="AF515" s="16"/>
      <c r="AG515" s="16"/>
      <c r="AH515" s="13"/>
      <c r="AL515" s="18"/>
    </row>
    <row r="516" ht="15.75" customHeight="1">
      <c r="C516" s="12"/>
      <c r="D516" s="13"/>
      <c r="E516" s="14"/>
      <c r="I516" s="15"/>
      <c r="J516" s="16"/>
      <c r="K516" s="16"/>
      <c r="L516" s="16"/>
      <c r="M516" s="16"/>
      <c r="N516" s="13"/>
      <c r="S516" s="15"/>
      <c r="T516" s="17"/>
      <c r="U516" s="17"/>
      <c r="V516" s="17"/>
      <c r="W516" s="17"/>
      <c r="X516" s="13"/>
      <c r="AC516" s="15"/>
      <c r="AD516" s="16"/>
      <c r="AE516" s="16"/>
      <c r="AF516" s="16"/>
      <c r="AG516" s="16"/>
      <c r="AH516" s="13"/>
      <c r="AL516" s="18"/>
    </row>
    <row r="517" ht="15.75" customHeight="1">
      <c r="C517" s="12"/>
      <c r="D517" s="13"/>
      <c r="E517" s="14"/>
      <c r="I517" s="15"/>
      <c r="J517" s="16"/>
      <c r="K517" s="16"/>
      <c r="L517" s="16"/>
      <c r="M517" s="16"/>
      <c r="N517" s="13"/>
      <c r="S517" s="15"/>
      <c r="T517" s="17"/>
      <c r="U517" s="17"/>
      <c r="V517" s="17"/>
      <c r="W517" s="17"/>
      <c r="X517" s="13"/>
      <c r="AC517" s="15"/>
      <c r="AD517" s="16"/>
      <c r="AE517" s="16"/>
      <c r="AF517" s="16"/>
      <c r="AG517" s="16"/>
      <c r="AH517" s="13"/>
      <c r="AL517" s="18"/>
    </row>
    <row r="518" ht="15.75" customHeight="1">
      <c r="C518" s="12"/>
      <c r="D518" s="13"/>
      <c r="E518" s="14"/>
      <c r="I518" s="15"/>
      <c r="J518" s="16"/>
      <c r="K518" s="16"/>
      <c r="L518" s="16"/>
      <c r="M518" s="16"/>
      <c r="N518" s="13"/>
      <c r="S518" s="15"/>
      <c r="T518" s="17"/>
      <c r="U518" s="17"/>
      <c r="V518" s="17"/>
      <c r="W518" s="17"/>
      <c r="X518" s="13"/>
      <c r="AC518" s="15"/>
      <c r="AD518" s="16"/>
      <c r="AE518" s="16"/>
      <c r="AF518" s="16"/>
      <c r="AG518" s="16"/>
      <c r="AH518" s="13"/>
      <c r="AL518" s="18"/>
    </row>
    <row r="519" ht="15.75" customHeight="1">
      <c r="C519" s="12"/>
      <c r="D519" s="13"/>
      <c r="E519" s="14"/>
      <c r="I519" s="15"/>
      <c r="J519" s="16"/>
      <c r="K519" s="16"/>
      <c r="L519" s="16"/>
      <c r="M519" s="16"/>
      <c r="N519" s="13"/>
      <c r="S519" s="15"/>
      <c r="T519" s="17"/>
      <c r="U519" s="17"/>
      <c r="V519" s="17"/>
      <c r="W519" s="17"/>
      <c r="X519" s="13"/>
      <c r="AC519" s="15"/>
      <c r="AD519" s="16"/>
      <c r="AE519" s="16"/>
      <c r="AF519" s="16"/>
      <c r="AG519" s="16"/>
      <c r="AH519" s="13"/>
      <c r="AL519" s="18"/>
    </row>
    <row r="520" ht="15.75" customHeight="1">
      <c r="C520" s="12"/>
      <c r="D520" s="13"/>
      <c r="E520" s="14"/>
      <c r="I520" s="15"/>
      <c r="J520" s="16"/>
      <c r="K520" s="16"/>
      <c r="L520" s="16"/>
      <c r="M520" s="16"/>
      <c r="N520" s="13"/>
      <c r="S520" s="15"/>
      <c r="T520" s="17"/>
      <c r="U520" s="17"/>
      <c r="V520" s="17"/>
      <c r="W520" s="17"/>
      <c r="X520" s="13"/>
      <c r="AC520" s="15"/>
      <c r="AD520" s="16"/>
      <c r="AE520" s="16"/>
      <c r="AF520" s="16"/>
      <c r="AG520" s="16"/>
      <c r="AH520" s="13"/>
      <c r="AL520" s="18"/>
    </row>
    <row r="521" ht="15.75" customHeight="1">
      <c r="C521" s="12"/>
      <c r="D521" s="13"/>
      <c r="E521" s="14"/>
      <c r="I521" s="15"/>
      <c r="J521" s="16"/>
      <c r="K521" s="16"/>
      <c r="L521" s="16"/>
      <c r="M521" s="16"/>
      <c r="N521" s="13"/>
      <c r="S521" s="15"/>
      <c r="T521" s="17"/>
      <c r="U521" s="17"/>
      <c r="V521" s="17"/>
      <c r="W521" s="17"/>
      <c r="X521" s="13"/>
      <c r="AC521" s="15"/>
      <c r="AD521" s="16"/>
      <c r="AE521" s="16"/>
      <c r="AF521" s="16"/>
      <c r="AG521" s="16"/>
      <c r="AH521" s="13"/>
      <c r="AL521" s="18"/>
    </row>
    <row r="522" ht="15.75" customHeight="1">
      <c r="C522" s="12"/>
      <c r="D522" s="13"/>
      <c r="E522" s="14"/>
      <c r="I522" s="15"/>
      <c r="J522" s="16"/>
      <c r="K522" s="16"/>
      <c r="L522" s="16"/>
      <c r="M522" s="16"/>
      <c r="N522" s="13"/>
      <c r="S522" s="15"/>
      <c r="T522" s="17"/>
      <c r="U522" s="17"/>
      <c r="V522" s="17"/>
      <c r="W522" s="17"/>
      <c r="X522" s="13"/>
      <c r="AC522" s="15"/>
      <c r="AD522" s="16"/>
      <c r="AE522" s="16"/>
      <c r="AF522" s="16"/>
      <c r="AG522" s="16"/>
      <c r="AH522" s="13"/>
      <c r="AL522" s="18"/>
    </row>
    <row r="523" ht="15.75" customHeight="1">
      <c r="C523" s="12"/>
      <c r="D523" s="13"/>
      <c r="E523" s="14"/>
      <c r="I523" s="15"/>
      <c r="J523" s="16"/>
      <c r="K523" s="16"/>
      <c r="L523" s="16"/>
      <c r="M523" s="16"/>
      <c r="N523" s="13"/>
      <c r="S523" s="15"/>
      <c r="T523" s="17"/>
      <c r="U523" s="17"/>
      <c r="V523" s="17"/>
      <c r="W523" s="17"/>
      <c r="X523" s="13"/>
      <c r="AC523" s="15"/>
      <c r="AD523" s="16"/>
      <c r="AE523" s="16"/>
      <c r="AF523" s="16"/>
      <c r="AG523" s="16"/>
      <c r="AH523" s="13"/>
      <c r="AL523" s="18"/>
    </row>
    <row r="524" ht="15.75" customHeight="1">
      <c r="C524" s="12"/>
      <c r="D524" s="13"/>
      <c r="E524" s="14"/>
      <c r="I524" s="15"/>
      <c r="J524" s="16"/>
      <c r="K524" s="16"/>
      <c r="L524" s="16"/>
      <c r="M524" s="16"/>
      <c r="N524" s="13"/>
      <c r="S524" s="15"/>
      <c r="T524" s="17"/>
      <c r="U524" s="17"/>
      <c r="V524" s="17"/>
      <c r="W524" s="17"/>
      <c r="X524" s="13"/>
      <c r="AC524" s="15"/>
      <c r="AD524" s="16"/>
      <c r="AE524" s="16"/>
      <c r="AF524" s="16"/>
      <c r="AG524" s="16"/>
      <c r="AH524" s="13"/>
      <c r="AL524" s="18"/>
    </row>
    <row r="525" ht="15.75" customHeight="1">
      <c r="C525" s="12"/>
      <c r="D525" s="13"/>
      <c r="E525" s="14"/>
      <c r="I525" s="15"/>
      <c r="J525" s="16"/>
      <c r="K525" s="16"/>
      <c r="L525" s="16"/>
      <c r="M525" s="16"/>
      <c r="N525" s="13"/>
      <c r="S525" s="15"/>
      <c r="T525" s="17"/>
      <c r="U525" s="17"/>
      <c r="V525" s="17"/>
      <c r="W525" s="17"/>
      <c r="X525" s="13"/>
      <c r="AC525" s="15"/>
      <c r="AD525" s="16"/>
      <c r="AE525" s="16"/>
      <c r="AF525" s="16"/>
      <c r="AG525" s="16"/>
      <c r="AH525" s="13"/>
      <c r="AL525" s="18"/>
    </row>
    <row r="526" ht="15.75" customHeight="1">
      <c r="C526" s="12"/>
      <c r="D526" s="13"/>
      <c r="E526" s="14"/>
      <c r="I526" s="15"/>
      <c r="J526" s="16"/>
      <c r="K526" s="16"/>
      <c r="L526" s="16"/>
      <c r="M526" s="16"/>
      <c r="N526" s="13"/>
      <c r="S526" s="15"/>
      <c r="T526" s="17"/>
      <c r="U526" s="17"/>
      <c r="V526" s="17"/>
      <c r="W526" s="17"/>
      <c r="X526" s="13"/>
      <c r="AC526" s="15"/>
      <c r="AD526" s="16"/>
      <c r="AE526" s="16"/>
      <c r="AF526" s="16"/>
      <c r="AG526" s="16"/>
      <c r="AH526" s="13"/>
      <c r="AL526" s="18"/>
    </row>
    <row r="527" ht="15.75" customHeight="1">
      <c r="C527" s="12"/>
      <c r="D527" s="13"/>
      <c r="E527" s="14"/>
      <c r="I527" s="15"/>
      <c r="J527" s="16"/>
      <c r="K527" s="16"/>
      <c r="L527" s="16"/>
      <c r="M527" s="16"/>
      <c r="N527" s="13"/>
      <c r="S527" s="15"/>
      <c r="T527" s="17"/>
      <c r="U527" s="17"/>
      <c r="V527" s="17"/>
      <c r="W527" s="17"/>
      <c r="X527" s="13"/>
      <c r="AC527" s="15"/>
      <c r="AD527" s="16"/>
      <c r="AE527" s="16"/>
      <c r="AF527" s="16"/>
      <c r="AG527" s="16"/>
      <c r="AH527" s="13"/>
      <c r="AL527" s="18"/>
    </row>
    <row r="528" ht="15.75" customHeight="1">
      <c r="C528" s="12"/>
      <c r="D528" s="13"/>
      <c r="E528" s="14"/>
      <c r="I528" s="15"/>
      <c r="J528" s="16"/>
      <c r="K528" s="16"/>
      <c r="L528" s="16"/>
      <c r="M528" s="16"/>
      <c r="N528" s="13"/>
      <c r="S528" s="15"/>
      <c r="T528" s="17"/>
      <c r="U528" s="17"/>
      <c r="V528" s="17"/>
      <c r="W528" s="17"/>
      <c r="X528" s="13"/>
      <c r="AC528" s="15"/>
      <c r="AD528" s="16"/>
      <c r="AE528" s="16"/>
      <c r="AF528" s="16"/>
      <c r="AG528" s="16"/>
      <c r="AH528" s="13"/>
      <c r="AL528" s="18"/>
    </row>
    <row r="529" ht="15.75" customHeight="1">
      <c r="C529" s="12"/>
      <c r="D529" s="13"/>
      <c r="E529" s="14"/>
      <c r="I529" s="15"/>
      <c r="J529" s="16"/>
      <c r="K529" s="16"/>
      <c r="L529" s="16"/>
      <c r="M529" s="16"/>
      <c r="N529" s="13"/>
      <c r="S529" s="15"/>
      <c r="T529" s="17"/>
      <c r="U529" s="17"/>
      <c r="V529" s="17"/>
      <c r="W529" s="17"/>
      <c r="X529" s="13"/>
      <c r="AC529" s="15"/>
      <c r="AD529" s="16"/>
      <c r="AE529" s="16"/>
      <c r="AF529" s="16"/>
      <c r="AG529" s="16"/>
      <c r="AH529" s="13"/>
      <c r="AL529" s="18"/>
    </row>
    <row r="530" ht="15.75" customHeight="1">
      <c r="C530" s="12"/>
      <c r="D530" s="13"/>
      <c r="E530" s="14"/>
      <c r="I530" s="15"/>
      <c r="J530" s="16"/>
      <c r="K530" s="16"/>
      <c r="L530" s="16"/>
      <c r="M530" s="16"/>
      <c r="N530" s="13"/>
      <c r="S530" s="15"/>
      <c r="T530" s="17"/>
      <c r="U530" s="17"/>
      <c r="V530" s="17"/>
      <c r="W530" s="17"/>
      <c r="X530" s="13"/>
      <c r="AC530" s="15"/>
      <c r="AD530" s="16"/>
      <c r="AE530" s="16"/>
      <c r="AF530" s="16"/>
      <c r="AG530" s="16"/>
      <c r="AH530" s="13"/>
      <c r="AL530" s="18"/>
    </row>
    <row r="531" ht="15.75" customHeight="1">
      <c r="C531" s="12"/>
      <c r="D531" s="13"/>
      <c r="E531" s="14"/>
      <c r="I531" s="15"/>
      <c r="J531" s="16"/>
      <c r="K531" s="16"/>
      <c r="L531" s="16"/>
      <c r="M531" s="16"/>
      <c r="N531" s="13"/>
      <c r="S531" s="15"/>
      <c r="T531" s="17"/>
      <c r="U531" s="17"/>
      <c r="V531" s="17"/>
      <c r="W531" s="17"/>
      <c r="X531" s="13"/>
      <c r="AC531" s="15"/>
      <c r="AD531" s="16"/>
      <c r="AE531" s="16"/>
      <c r="AF531" s="16"/>
      <c r="AG531" s="16"/>
      <c r="AH531" s="13"/>
      <c r="AL531" s="18"/>
    </row>
    <row r="532" ht="15.75" customHeight="1">
      <c r="C532" s="12"/>
      <c r="D532" s="13"/>
      <c r="E532" s="14"/>
      <c r="I532" s="15"/>
      <c r="J532" s="16"/>
      <c r="K532" s="16"/>
      <c r="L532" s="16"/>
      <c r="M532" s="16"/>
      <c r="N532" s="13"/>
      <c r="S532" s="15"/>
      <c r="T532" s="17"/>
      <c r="U532" s="17"/>
      <c r="V532" s="17"/>
      <c r="W532" s="17"/>
      <c r="X532" s="13"/>
      <c r="AC532" s="15"/>
      <c r="AD532" s="16"/>
      <c r="AE532" s="16"/>
      <c r="AF532" s="16"/>
      <c r="AG532" s="16"/>
      <c r="AH532" s="13"/>
      <c r="AL532" s="18"/>
    </row>
    <row r="533" ht="15.75" customHeight="1">
      <c r="C533" s="12"/>
      <c r="D533" s="13"/>
      <c r="E533" s="14"/>
      <c r="I533" s="15"/>
      <c r="J533" s="16"/>
      <c r="K533" s="16"/>
      <c r="L533" s="16"/>
      <c r="M533" s="16"/>
      <c r="N533" s="13"/>
      <c r="S533" s="15"/>
      <c r="T533" s="17"/>
      <c r="U533" s="17"/>
      <c r="V533" s="17"/>
      <c r="W533" s="17"/>
      <c r="X533" s="13"/>
      <c r="AC533" s="15"/>
      <c r="AD533" s="16"/>
      <c r="AE533" s="16"/>
      <c r="AF533" s="16"/>
      <c r="AG533" s="16"/>
      <c r="AH533" s="13"/>
      <c r="AL533" s="18"/>
    </row>
    <row r="534" ht="15.75" customHeight="1">
      <c r="C534" s="12"/>
      <c r="D534" s="13"/>
      <c r="E534" s="14"/>
      <c r="I534" s="15"/>
      <c r="J534" s="16"/>
      <c r="K534" s="16"/>
      <c r="L534" s="16"/>
      <c r="M534" s="16"/>
      <c r="N534" s="13"/>
      <c r="S534" s="15"/>
      <c r="T534" s="17"/>
      <c r="U534" s="17"/>
      <c r="V534" s="17"/>
      <c r="W534" s="17"/>
      <c r="X534" s="13"/>
      <c r="AC534" s="15"/>
      <c r="AD534" s="16"/>
      <c r="AE534" s="16"/>
      <c r="AF534" s="16"/>
      <c r="AG534" s="16"/>
      <c r="AH534" s="13"/>
      <c r="AL534" s="18"/>
    </row>
    <row r="535" ht="15.75" customHeight="1">
      <c r="C535" s="12"/>
      <c r="D535" s="13"/>
      <c r="E535" s="14"/>
      <c r="I535" s="15"/>
      <c r="J535" s="16"/>
      <c r="K535" s="16"/>
      <c r="L535" s="16"/>
      <c r="M535" s="16"/>
      <c r="N535" s="13"/>
      <c r="S535" s="15"/>
      <c r="T535" s="17"/>
      <c r="U535" s="17"/>
      <c r="V535" s="17"/>
      <c r="W535" s="17"/>
      <c r="X535" s="13"/>
      <c r="AC535" s="15"/>
      <c r="AD535" s="16"/>
      <c r="AE535" s="16"/>
      <c r="AF535" s="16"/>
      <c r="AG535" s="16"/>
      <c r="AH535" s="13"/>
      <c r="AL535" s="18"/>
    </row>
    <row r="536" ht="15.75" customHeight="1">
      <c r="C536" s="12"/>
      <c r="D536" s="13"/>
      <c r="E536" s="14"/>
      <c r="I536" s="15"/>
      <c r="J536" s="16"/>
      <c r="K536" s="16"/>
      <c r="L536" s="16"/>
      <c r="M536" s="16"/>
      <c r="N536" s="13"/>
      <c r="S536" s="15"/>
      <c r="T536" s="17"/>
      <c r="U536" s="17"/>
      <c r="V536" s="17"/>
      <c r="W536" s="17"/>
      <c r="X536" s="13"/>
      <c r="AC536" s="15"/>
      <c r="AD536" s="16"/>
      <c r="AE536" s="16"/>
      <c r="AF536" s="16"/>
      <c r="AG536" s="16"/>
      <c r="AH536" s="13"/>
      <c r="AL536" s="18"/>
    </row>
    <row r="537" ht="15.75" customHeight="1">
      <c r="C537" s="12"/>
      <c r="D537" s="13"/>
      <c r="E537" s="14"/>
      <c r="I537" s="15"/>
      <c r="J537" s="16"/>
      <c r="K537" s="16"/>
      <c r="L537" s="16"/>
      <c r="M537" s="16"/>
      <c r="N537" s="13"/>
      <c r="S537" s="15"/>
      <c r="T537" s="17"/>
      <c r="U537" s="17"/>
      <c r="V537" s="17"/>
      <c r="W537" s="17"/>
      <c r="X537" s="13"/>
      <c r="AC537" s="15"/>
      <c r="AD537" s="16"/>
      <c r="AE537" s="16"/>
      <c r="AF537" s="16"/>
      <c r="AG537" s="16"/>
      <c r="AH537" s="13"/>
      <c r="AL537" s="18"/>
    </row>
    <row r="538" ht="15.75" customHeight="1">
      <c r="C538" s="12"/>
      <c r="D538" s="13"/>
      <c r="E538" s="14"/>
      <c r="I538" s="15"/>
      <c r="J538" s="16"/>
      <c r="K538" s="16"/>
      <c r="L538" s="16"/>
      <c r="M538" s="16"/>
      <c r="N538" s="13"/>
      <c r="S538" s="15"/>
      <c r="T538" s="17"/>
      <c r="U538" s="17"/>
      <c r="V538" s="17"/>
      <c r="W538" s="17"/>
      <c r="X538" s="13"/>
      <c r="AC538" s="15"/>
      <c r="AD538" s="16"/>
      <c r="AE538" s="16"/>
      <c r="AF538" s="16"/>
      <c r="AG538" s="16"/>
      <c r="AH538" s="13"/>
      <c r="AL538" s="18"/>
    </row>
    <row r="539" ht="15.75" customHeight="1">
      <c r="C539" s="12"/>
      <c r="D539" s="13"/>
      <c r="E539" s="14"/>
      <c r="I539" s="15"/>
      <c r="J539" s="16"/>
      <c r="K539" s="16"/>
      <c r="L539" s="16"/>
      <c r="M539" s="16"/>
      <c r="N539" s="13"/>
      <c r="S539" s="15"/>
      <c r="T539" s="17"/>
      <c r="U539" s="17"/>
      <c r="V539" s="17"/>
      <c r="W539" s="17"/>
      <c r="X539" s="13"/>
      <c r="AC539" s="15"/>
      <c r="AD539" s="16"/>
      <c r="AE539" s="16"/>
      <c r="AF539" s="16"/>
      <c r="AG539" s="16"/>
      <c r="AH539" s="13"/>
      <c r="AL539" s="18"/>
    </row>
    <row r="540" ht="15.75" customHeight="1">
      <c r="C540" s="12"/>
      <c r="D540" s="13"/>
      <c r="E540" s="14"/>
      <c r="I540" s="15"/>
      <c r="J540" s="16"/>
      <c r="K540" s="16"/>
      <c r="L540" s="16"/>
      <c r="M540" s="16"/>
      <c r="N540" s="13"/>
      <c r="S540" s="15"/>
      <c r="T540" s="17"/>
      <c r="U540" s="17"/>
      <c r="V540" s="17"/>
      <c r="W540" s="17"/>
      <c r="X540" s="13"/>
      <c r="AC540" s="15"/>
      <c r="AD540" s="16"/>
      <c r="AE540" s="16"/>
      <c r="AF540" s="16"/>
      <c r="AG540" s="16"/>
      <c r="AH540" s="13"/>
      <c r="AL540" s="18"/>
    </row>
    <row r="541" ht="15.75" customHeight="1">
      <c r="C541" s="12"/>
      <c r="D541" s="13"/>
      <c r="E541" s="14"/>
      <c r="I541" s="15"/>
      <c r="J541" s="16"/>
      <c r="K541" s="16"/>
      <c r="L541" s="16"/>
      <c r="M541" s="16"/>
      <c r="N541" s="13"/>
      <c r="S541" s="15"/>
      <c r="T541" s="17"/>
      <c r="U541" s="17"/>
      <c r="V541" s="17"/>
      <c r="W541" s="17"/>
      <c r="X541" s="13"/>
      <c r="AC541" s="15"/>
      <c r="AD541" s="16"/>
      <c r="AE541" s="16"/>
      <c r="AF541" s="16"/>
      <c r="AG541" s="16"/>
      <c r="AH541" s="13"/>
      <c r="AL541" s="18"/>
    </row>
    <row r="542" ht="15.75" customHeight="1">
      <c r="C542" s="12"/>
      <c r="D542" s="13"/>
      <c r="E542" s="14"/>
      <c r="I542" s="15"/>
      <c r="J542" s="16"/>
      <c r="K542" s="16"/>
      <c r="L542" s="16"/>
      <c r="M542" s="16"/>
      <c r="N542" s="13"/>
      <c r="S542" s="15"/>
      <c r="T542" s="17"/>
      <c r="U542" s="17"/>
      <c r="V542" s="17"/>
      <c r="W542" s="17"/>
      <c r="X542" s="13"/>
      <c r="AC542" s="15"/>
      <c r="AD542" s="16"/>
      <c r="AE542" s="16"/>
      <c r="AF542" s="16"/>
      <c r="AG542" s="16"/>
      <c r="AH542" s="13"/>
      <c r="AL542" s="18"/>
    </row>
    <row r="543" ht="15.75" customHeight="1">
      <c r="C543" s="12"/>
      <c r="D543" s="13"/>
      <c r="E543" s="14"/>
      <c r="I543" s="15"/>
      <c r="J543" s="16"/>
      <c r="K543" s="16"/>
      <c r="L543" s="16"/>
      <c r="M543" s="16"/>
      <c r="N543" s="13"/>
      <c r="S543" s="15"/>
      <c r="T543" s="17"/>
      <c r="U543" s="17"/>
      <c r="V543" s="17"/>
      <c r="W543" s="17"/>
      <c r="X543" s="13"/>
      <c r="AC543" s="15"/>
      <c r="AD543" s="16"/>
      <c r="AE543" s="16"/>
      <c r="AF543" s="16"/>
      <c r="AG543" s="16"/>
      <c r="AH543" s="13"/>
      <c r="AL543" s="18"/>
    </row>
    <row r="544" ht="15.75" customHeight="1">
      <c r="C544" s="12"/>
      <c r="D544" s="13"/>
      <c r="E544" s="14"/>
      <c r="I544" s="15"/>
      <c r="J544" s="16"/>
      <c r="K544" s="16"/>
      <c r="L544" s="16"/>
      <c r="M544" s="16"/>
      <c r="N544" s="13"/>
      <c r="S544" s="15"/>
      <c r="T544" s="17"/>
      <c r="U544" s="17"/>
      <c r="V544" s="17"/>
      <c r="W544" s="17"/>
      <c r="X544" s="13"/>
      <c r="AC544" s="15"/>
      <c r="AD544" s="16"/>
      <c r="AE544" s="16"/>
      <c r="AF544" s="16"/>
      <c r="AG544" s="16"/>
      <c r="AH544" s="13"/>
      <c r="AL544" s="18"/>
    </row>
    <row r="545" ht="15.75" customHeight="1">
      <c r="C545" s="12"/>
      <c r="D545" s="13"/>
      <c r="E545" s="14"/>
      <c r="I545" s="15"/>
      <c r="J545" s="16"/>
      <c r="K545" s="16"/>
      <c r="L545" s="16"/>
      <c r="M545" s="16"/>
      <c r="N545" s="13"/>
      <c r="S545" s="15"/>
      <c r="T545" s="17"/>
      <c r="U545" s="17"/>
      <c r="V545" s="17"/>
      <c r="W545" s="17"/>
      <c r="X545" s="13"/>
      <c r="AC545" s="15"/>
      <c r="AD545" s="16"/>
      <c r="AE545" s="16"/>
      <c r="AF545" s="16"/>
      <c r="AG545" s="16"/>
      <c r="AH545" s="13"/>
      <c r="AL545" s="18"/>
    </row>
    <row r="546" ht="15.75" customHeight="1">
      <c r="C546" s="12"/>
      <c r="D546" s="13"/>
      <c r="E546" s="14"/>
      <c r="I546" s="15"/>
      <c r="J546" s="16"/>
      <c r="K546" s="16"/>
      <c r="L546" s="16"/>
      <c r="M546" s="16"/>
      <c r="N546" s="13"/>
      <c r="S546" s="15"/>
      <c r="T546" s="17"/>
      <c r="U546" s="17"/>
      <c r="V546" s="17"/>
      <c r="W546" s="17"/>
      <c r="X546" s="13"/>
      <c r="AC546" s="15"/>
      <c r="AD546" s="16"/>
      <c r="AE546" s="16"/>
      <c r="AF546" s="16"/>
      <c r="AG546" s="16"/>
      <c r="AH546" s="13"/>
      <c r="AL546" s="18"/>
    </row>
    <row r="547" ht="15.75" customHeight="1">
      <c r="C547" s="12"/>
      <c r="D547" s="13"/>
      <c r="E547" s="14"/>
      <c r="I547" s="15"/>
      <c r="J547" s="16"/>
      <c r="K547" s="16"/>
      <c r="L547" s="16"/>
      <c r="M547" s="16"/>
      <c r="N547" s="13"/>
      <c r="S547" s="15"/>
      <c r="T547" s="17"/>
      <c r="U547" s="17"/>
      <c r="V547" s="17"/>
      <c r="W547" s="17"/>
      <c r="X547" s="13"/>
      <c r="AC547" s="15"/>
      <c r="AD547" s="16"/>
      <c r="AE547" s="16"/>
      <c r="AF547" s="16"/>
      <c r="AG547" s="16"/>
      <c r="AH547" s="13"/>
      <c r="AL547" s="18"/>
    </row>
    <row r="548" ht="15.75" customHeight="1">
      <c r="C548" s="12"/>
      <c r="D548" s="13"/>
      <c r="E548" s="14"/>
      <c r="I548" s="15"/>
      <c r="J548" s="16"/>
      <c r="K548" s="16"/>
      <c r="L548" s="16"/>
      <c r="M548" s="16"/>
      <c r="N548" s="13"/>
      <c r="S548" s="15"/>
      <c r="T548" s="17"/>
      <c r="U548" s="17"/>
      <c r="V548" s="17"/>
      <c r="W548" s="17"/>
      <c r="X548" s="13"/>
      <c r="AC548" s="15"/>
      <c r="AD548" s="16"/>
      <c r="AE548" s="16"/>
      <c r="AF548" s="16"/>
      <c r="AG548" s="16"/>
      <c r="AH548" s="13"/>
      <c r="AL548" s="18"/>
    </row>
    <row r="549" ht="15.75" customHeight="1">
      <c r="C549" s="12"/>
      <c r="D549" s="13"/>
      <c r="E549" s="14"/>
      <c r="I549" s="15"/>
      <c r="J549" s="16"/>
      <c r="K549" s="16"/>
      <c r="L549" s="16"/>
      <c r="M549" s="16"/>
      <c r="N549" s="13"/>
      <c r="S549" s="15"/>
      <c r="T549" s="17"/>
      <c r="U549" s="17"/>
      <c r="V549" s="17"/>
      <c r="W549" s="17"/>
      <c r="X549" s="13"/>
      <c r="AC549" s="15"/>
      <c r="AD549" s="16"/>
      <c r="AE549" s="16"/>
      <c r="AF549" s="16"/>
      <c r="AG549" s="16"/>
      <c r="AH549" s="13"/>
      <c r="AL549" s="18"/>
    </row>
    <row r="550" ht="15.75" customHeight="1">
      <c r="C550" s="12"/>
      <c r="D550" s="13"/>
      <c r="E550" s="14"/>
      <c r="I550" s="15"/>
      <c r="J550" s="16"/>
      <c r="K550" s="16"/>
      <c r="L550" s="16"/>
      <c r="M550" s="16"/>
      <c r="N550" s="13"/>
      <c r="S550" s="15"/>
      <c r="T550" s="17"/>
      <c r="U550" s="17"/>
      <c r="V550" s="17"/>
      <c r="W550" s="17"/>
      <c r="X550" s="13"/>
      <c r="AC550" s="15"/>
      <c r="AD550" s="16"/>
      <c r="AE550" s="16"/>
      <c r="AF550" s="16"/>
      <c r="AG550" s="16"/>
      <c r="AH550" s="13"/>
      <c r="AL550" s="18"/>
    </row>
    <row r="551" ht="15.75" customHeight="1">
      <c r="C551" s="12"/>
      <c r="D551" s="13"/>
      <c r="E551" s="14"/>
      <c r="I551" s="15"/>
      <c r="J551" s="16"/>
      <c r="K551" s="16"/>
      <c r="L551" s="16"/>
      <c r="M551" s="16"/>
      <c r="N551" s="13"/>
      <c r="S551" s="15"/>
      <c r="T551" s="17"/>
      <c r="U551" s="17"/>
      <c r="V551" s="17"/>
      <c r="W551" s="17"/>
      <c r="X551" s="13"/>
      <c r="AC551" s="15"/>
      <c r="AD551" s="16"/>
      <c r="AE551" s="16"/>
      <c r="AF551" s="16"/>
      <c r="AG551" s="16"/>
      <c r="AH551" s="13"/>
      <c r="AL551" s="18"/>
    </row>
    <row r="552" ht="15.75" customHeight="1">
      <c r="C552" s="12"/>
      <c r="D552" s="13"/>
      <c r="E552" s="14"/>
      <c r="I552" s="15"/>
      <c r="J552" s="16"/>
      <c r="K552" s="16"/>
      <c r="L552" s="16"/>
      <c r="M552" s="16"/>
      <c r="N552" s="13"/>
      <c r="S552" s="15"/>
      <c r="T552" s="17"/>
      <c r="U552" s="17"/>
      <c r="V552" s="17"/>
      <c r="W552" s="17"/>
      <c r="X552" s="13"/>
      <c r="AC552" s="15"/>
      <c r="AD552" s="16"/>
      <c r="AE552" s="16"/>
      <c r="AF552" s="16"/>
      <c r="AG552" s="16"/>
      <c r="AH552" s="13"/>
      <c r="AL552" s="18"/>
    </row>
    <row r="553" ht="15.75" customHeight="1">
      <c r="C553" s="12"/>
      <c r="D553" s="13"/>
      <c r="E553" s="14"/>
      <c r="I553" s="15"/>
      <c r="J553" s="16"/>
      <c r="K553" s="16"/>
      <c r="L553" s="16"/>
      <c r="M553" s="16"/>
      <c r="N553" s="13"/>
      <c r="S553" s="15"/>
      <c r="T553" s="17"/>
      <c r="U553" s="17"/>
      <c r="V553" s="17"/>
      <c r="W553" s="17"/>
      <c r="X553" s="13"/>
      <c r="AC553" s="15"/>
      <c r="AD553" s="16"/>
      <c r="AE553" s="16"/>
      <c r="AF553" s="16"/>
      <c r="AG553" s="16"/>
      <c r="AH553" s="13"/>
      <c r="AL553" s="18"/>
    </row>
    <row r="554" ht="15.75" customHeight="1">
      <c r="C554" s="12"/>
      <c r="D554" s="13"/>
      <c r="E554" s="14"/>
      <c r="I554" s="15"/>
      <c r="J554" s="16"/>
      <c r="K554" s="16"/>
      <c r="L554" s="16"/>
      <c r="M554" s="16"/>
      <c r="N554" s="13"/>
      <c r="S554" s="15"/>
      <c r="T554" s="17"/>
      <c r="U554" s="17"/>
      <c r="V554" s="17"/>
      <c r="W554" s="17"/>
      <c r="X554" s="13"/>
      <c r="AC554" s="15"/>
      <c r="AD554" s="16"/>
      <c r="AE554" s="16"/>
      <c r="AF554" s="16"/>
      <c r="AG554" s="16"/>
      <c r="AH554" s="13"/>
      <c r="AL554" s="18"/>
    </row>
    <row r="555" ht="15.75" customHeight="1">
      <c r="C555" s="12"/>
      <c r="D555" s="13"/>
      <c r="E555" s="14"/>
      <c r="I555" s="15"/>
      <c r="J555" s="16"/>
      <c r="K555" s="16"/>
      <c r="L555" s="16"/>
      <c r="M555" s="16"/>
      <c r="N555" s="13"/>
      <c r="S555" s="15"/>
      <c r="T555" s="17"/>
      <c r="U555" s="17"/>
      <c r="V555" s="17"/>
      <c r="W555" s="17"/>
      <c r="X555" s="13"/>
      <c r="AC555" s="15"/>
      <c r="AD555" s="16"/>
      <c r="AE555" s="16"/>
      <c r="AF555" s="16"/>
      <c r="AG555" s="16"/>
      <c r="AH555" s="13"/>
      <c r="AL555" s="18"/>
    </row>
    <row r="556" ht="15.75" customHeight="1">
      <c r="C556" s="12"/>
      <c r="D556" s="13"/>
      <c r="E556" s="14"/>
      <c r="I556" s="15"/>
      <c r="J556" s="16"/>
      <c r="K556" s="16"/>
      <c r="L556" s="16"/>
      <c r="M556" s="16"/>
      <c r="N556" s="13"/>
      <c r="S556" s="15"/>
      <c r="T556" s="17"/>
      <c r="U556" s="17"/>
      <c r="V556" s="17"/>
      <c r="W556" s="17"/>
      <c r="X556" s="13"/>
      <c r="AC556" s="15"/>
      <c r="AD556" s="16"/>
      <c r="AE556" s="16"/>
      <c r="AF556" s="16"/>
      <c r="AG556" s="16"/>
      <c r="AH556" s="13"/>
      <c r="AL556" s="18"/>
    </row>
    <row r="557" ht="15.75" customHeight="1">
      <c r="C557" s="12"/>
      <c r="D557" s="13"/>
      <c r="E557" s="14"/>
      <c r="I557" s="15"/>
      <c r="J557" s="16"/>
      <c r="K557" s="16"/>
      <c r="L557" s="16"/>
      <c r="M557" s="16"/>
      <c r="N557" s="13"/>
      <c r="S557" s="15"/>
      <c r="T557" s="17"/>
      <c r="U557" s="17"/>
      <c r="V557" s="17"/>
      <c r="W557" s="17"/>
      <c r="X557" s="13"/>
      <c r="AC557" s="15"/>
      <c r="AD557" s="16"/>
      <c r="AE557" s="16"/>
      <c r="AF557" s="16"/>
      <c r="AG557" s="16"/>
      <c r="AH557" s="13"/>
      <c r="AL557" s="18"/>
    </row>
    <row r="558" ht="15.75" customHeight="1">
      <c r="C558" s="12"/>
      <c r="D558" s="13"/>
      <c r="E558" s="14"/>
      <c r="I558" s="15"/>
      <c r="J558" s="16"/>
      <c r="K558" s="16"/>
      <c r="L558" s="16"/>
      <c r="M558" s="16"/>
      <c r="N558" s="13"/>
      <c r="S558" s="15"/>
      <c r="T558" s="17"/>
      <c r="U558" s="17"/>
      <c r="V558" s="17"/>
      <c r="W558" s="17"/>
      <c r="X558" s="13"/>
      <c r="AC558" s="15"/>
      <c r="AD558" s="16"/>
      <c r="AE558" s="16"/>
      <c r="AF558" s="16"/>
      <c r="AG558" s="16"/>
      <c r="AH558" s="13"/>
      <c r="AL558" s="18"/>
    </row>
    <row r="559" ht="15.75" customHeight="1">
      <c r="C559" s="12"/>
      <c r="D559" s="13"/>
      <c r="E559" s="14"/>
      <c r="I559" s="15"/>
      <c r="J559" s="16"/>
      <c r="K559" s="16"/>
      <c r="L559" s="16"/>
      <c r="M559" s="16"/>
      <c r="N559" s="13"/>
      <c r="S559" s="15"/>
      <c r="T559" s="17"/>
      <c r="U559" s="17"/>
      <c r="V559" s="17"/>
      <c r="W559" s="17"/>
      <c r="X559" s="13"/>
      <c r="AC559" s="15"/>
      <c r="AD559" s="16"/>
      <c r="AE559" s="16"/>
      <c r="AF559" s="16"/>
      <c r="AG559" s="16"/>
      <c r="AH559" s="13"/>
      <c r="AL559" s="18"/>
    </row>
    <row r="560" ht="15.75" customHeight="1">
      <c r="C560" s="12"/>
      <c r="D560" s="13"/>
      <c r="E560" s="14"/>
      <c r="I560" s="15"/>
      <c r="J560" s="16"/>
      <c r="K560" s="16"/>
      <c r="L560" s="16"/>
      <c r="M560" s="16"/>
      <c r="N560" s="13"/>
      <c r="S560" s="15"/>
      <c r="T560" s="17"/>
      <c r="U560" s="17"/>
      <c r="V560" s="17"/>
      <c r="W560" s="17"/>
      <c r="X560" s="13"/>
      <c r="AC560" s="15"/>
      <c r="AD560" s="16"/>
      <c r="AE560" s="16"/>
      <c r="AF560" s="16"/>
      <c r="AG560" s="16"/>
      <c r="AH560" s="13"/>
      <c r="AL560" s="18"/>
    </row>
    <row r="561" ht="15.75" customHeight="1">
      <c r="C561" s="12"/>
      <c r="D561" s="13"/>
      <c r="E561" s="14"/>
      <c r="I561" s="15"/>
      <c r="J561" s="16"/>
      <c r="K561" s="16"/>
      <c r="L561" s="16"/>
      <c r="M561" s="16"/>
      <c r="N561" s="13"/>
      <c r="S561" s="15"/>
      <c r="T561" s="17"/>
      <c r="U561" s="17"/>
      <c r="V561" s="17"/>
      <c r="W561" s="17"/>
      <c r="X561" s="13"/>
      <c r="AC561" s="15"/>
      <c r="AD561" s="16"/>
      <c r="AE561" s="16"/>
      <c r="AF561" s="16"/>
      <c r="AG561" s="16"/>
      <c r="AH561" s="13"/>
      <c r="AL561" s="18"/>
    </row>
    <row r="562" ht="15.75" customHeight="1">
      <c r="C562" s="12"/>
      <c r="D562" s="13"/>
      <c r="E562" s="14"/>
      <c r="I562" s="15"/>
      <c r="J562" s="16"/>
      <c r="K562" s="16"/>
      <c r="L562" s="16"/>
      <c r="M562" s="16"/>
      <c r="N562" s="13"/>
      <c r="S562" s="15"/>
      <c r="T562" s="17"/>
      <c r="U562" s="17"/>
      <c r="V562" s="17"/>
      <c r="W562" s="17"/>
      <c r="X562" s="13"/>
      <c r="AC562" s="15"/>
      <c r="AD562" s="16"/>
      <c r="AE562" s="16"/>
      <c r="AF562" s="16"/>
      <c r="AG562" s="16"/>
      <c r="AH562" s="13"/>
      <c r="AL562" s="18"/>
    </row>
    <row r="563" ht="15.75" customHeight="1">
      <c r="C563" s="12"/>
      <c r="D563" s="13"/>
      <c r="E563" s="14"/>
      <c r="I563" s="15"/>
      <c r="J563" s="16"/>
      <c r="K563" s="16"/>
      <c r="L563" s="16"/>
      <c r="M563" s="16"/>
      <c r="N563" s="13"/>
      <c r="S563" s="15"/>
      <c r="T563" s="17"/>
      <c r="U563" s="17"/>
      <c r="V563" s="17"/>
      <c r="W563" s="17"/>
      <c r="X563" s="13"/>
      <c r="AC563" s="15"/>
      <c r="AD563" s="16"/>
      <c r="AE563" s="16"/>
      <c r="AF563" s="16"/>
      <c r="AG563" s="16"/>
      <c r="AH563" s="13"/>
      <c r="AL563" s="18"/>
    </row>
    <row r="564" ht="15.75" customHeight="1">
      <c r="C564" s="12"/>
      <c r="D564" s="13"/>
      <c r="E564" s="14"/>
      <c r="I564" s="15"/>
      <c r="J564" s="16"/>
      <c r="K564" s="16"/>
      <c r="L564" s="16"/>
      <c r="M564" s="16"/>
      <c r="N564" s="13"/>
      <c r="S564" s="15"/>
      <c r="T564" s="17"/>
      <c r="U564" s="17"/>
      <c r="V564" s="17"/>
      <c r="W564" s="17"/>
      <c r="X564" s="13"/>
      <c r="AC564" s="15"/>
      <c r="AD564" s="16"/>
      <c r="AE564" s="16"/>
      <c r="AF564" s="16"/>
      <c r="AG564" s="16"/>
      <c r="AH564" s="13"/>
      <c r="AL564" s="18"/>
    </row>
    <row r="565" ht="15.75" customHeight="1">
      <c r="C565" s="12"/>
      <c r="D565" s="13"/>
      <c r="E565" s="14"/>
      <c r="I565" s="15"/>
      <c r="J565" s="16"/>
      <c r="K565" s="16"/>
      <c r="L565" s="16"/>
      <c r="M565" s="16"/>
      <c r="N565" s="13"/>
      <c r="S565" s="15"/>
      <c r="T565" s="17"/>
      <c r="U565" s="17"/>
      <c r="V565" s="17"/>
      <c r="W565" s="17"/>
      <c r="X565" s="13"/>
      <c r="AC565" s="15"/>
      <c r="AD565" s="16"/>
      <c r="AE565" s="16"/>
      <c r="AF565" s="16"/>
      <c r="AG565" s="16"/>
      <c r="AH565" s="13"/>
      <c r="AL565" s="18"/>
    </row>
    <row r="566" ht="15.75" customHeight="1">
      <c r="C566" s="12"/>
      <c r="D566" s="13"/>
      <c r="E566" s="14"/>
      <c r="I566" s="15"/>
      <c r="J566" s="16"/>
      <c r="K566" s="16"/>
      <c r="L566" s="16"/>
      <c r="M566" s="16"/>
      <c r="N566" s="13"/>
      <c r="S566" s="15"/>
      <c r="T566" s="17"/>
      <c r="U566" s="17"/>
      <c r="V566" s="17"/>
      <c r="W566" s="17"/>
      <c r="X566" s="13"/>
      <c r="AC566" s="15"/>
      <c r="AD566" s="16"/>
      <c r="AE566" s="16"/>
      <c r="AF566" s="16"/>
      <c r="AG566" s="16"/>
      <c r="AH566" s="13"/>
      <c r="AL566" s="18"/>
    </row>
    <row r="567" ht="15.75" customHeight="1">
      <c r="C567" s="12"/>
      <c r="D567" s="13"/>
      <c r="E567" s="14"/>
      <c r="I567" s="15"/>
      <c r="J567" s="16"/>
      <c r="K567" s="16"/>
      <c r="L567" s="16"/>
      <c r="M567" s="16"/>
      <c r="N567" s="13"/>
      <c r="S567" s="15"/>
      <c r="T567" s="17"/>
      <c r="U567" s="17"/>
      <c r="V567" s="17"/>
      <c r="W567" s="17"/>
      <c r="X567" s="13"/>
      <c r="AC567" s="15"/>
      <c r="AD567" s="16"/>
      <c r="AE567" s="16"/>
      <c r="AF567" s="16"/>
      <c r="AG567" s="16"/>
      <c r="AH567" s="13"/>
      <c r="AL567" s="18"/>
    </row>
    <row r="568" ht="15.75" customHeight="1">
      <c r="C568" s="12"/>
      <c r="D568" s="13"/>
      <c r="E568" s="14"/>
      <c r="I568" s="15"/>
      <c r="J568" s="16"/>
      <c r="K568" s="16"/>
      <c r="L568" s="16"/>
      <c r="M568" s="16"/>
      <c r="N568" s="13"/>
      <c r="S568" s="15"/>
      <c r="T568" s="17"/>
      <c r="U568" s="17"/>
      <c r="V568" s="17"/>
      <c r="W568" s="17"/>
      <c r="X568" s="13"/>
      <c r="AC568" s="15"/>
      <c r="AD568" s="16"/>
      <c r="AE568" s="16"/>
      <c r="AF568" s="16"/>
      <c r="AG568" s="16"/>
      <c r="AH568" s="13"/>
      <c r="AL568" s="18"/>
    </row>
    <row r="569" ht="15.75" customHeight="1">
      <c r="C569" s="12"/>
      <c r="D569" s="13"/>
      <c r="E569" s="14"/>
      <c r="I569" s="15"/>
      <c r="J569" s="16"/>
      <c r="K569" s="16"/>
      <c r="L569" s="16"/>
      <c r="M569" s="16"/>
      <c r="N569" s="13"/>
      <c r="S569" s="15"/>
      <c r="T569" s="17"/>
      <c r="U569" s="17"/>
      <c r="V569" s="17"/>
      <c r="W569" s="17"/>
      <c r="X569" s="13"/>
      <c r="AC569" s="15"/>
      <c r="AD569" s="16"/>
      <c r="AE569" s="16"/>
      <c r="AF569" s="16"/>
      <c r="AG569" s="16"/>
      <c r="AH569" s="13"/>
      <c r="AL569" s="18"/>
    </row>
    <row r="570" ht="15.75" customHeight="1">
      <c r="C570" s="12"/>
      <c r="D570" s="13"/>
      <c r="E570" s="14"/>
      <c r="I570" s="15"/>
      <c r="J570" s="16"/>
      <c r="K570" s="16"/>
      <c r="L570" s="16"/>
      <c r="M570" s="16"/>
      <c r="N570" s="13"/>
      <c r="S570" s="15"/>
      <c r="T570" s="17"/>
      <c r="U570" s="17"/>
      <c r="V570" s="17"/>
      <c r="W570" s="17"/>
      <c r="X570" s="13"/>
      <c r="AC570" s="15"/>
      <c r="AD570" s="16"/>
      <c r="AE570" s="16"/>
      <c r="AF570" s="16"/>
      <c r="AG570" s="16"/>
      <c r="AH570" s="13"/>
      <c r="AL570" s="18"/>
    </row>
    <row r="571" ht="15.75" customHeight="1">
      <c r="C571" s="12"/>
      <c r="D571" s="13"/>
      <c r="E571" s="14"/>
      <c r="I571" s="15"/>
      <c r="J571" s="16"/>
      <c r="K571" s="16"/>
      <c r="L571" s="16"/>
      <c r="M571" s="16"/>
      <c r="N571" s="13"/>
      <c r="S571" s="15"/>
      <c r="T571" s="17"/>
      <c r="U571" s="17"/>
      <c r="V571" s="17"/>
      <c r="W571" s="17"/>
      <c r="X571" s="13"/>
      <c r="AC571" s="15"/>
      <c r="AD571" s="16"/>
      <c r="AE571" s="16"/>
      <c r="AF571" s="16"/>
      <c r="AG571" s="16"/>
      <c r="AH571" s="13"/>
      <c r="AL571" s="18"/>
    </row>
    <row r="572" ht="15.75" customHeight="1">
      <c r="C572" s="12"/>
      <c r="D572" s="13"/>
      <c r="E572" s="14"/>
      <c r="I572" s="15"/>
      <c r="J572" s="16"/>
      <c r="K572" s="16"/>
      <c r="L572" s="16"/>
      <c r="M572" s="16"/>
      <c r="N572" s="13"/>
      <c r="S572" s="15"/>
      <c r="T572" s="17"/>
      <c r="U572" s="17"/>
      <c r="V572" s="17"/>
      <c r="W572" s="17"/>
      <c r="X572" s="13"/>
      <c r="AC572" s="15"/>
      <c r="AD572" s="16"/>
      <c r="AE572" s="16"/>
      <c r="AF572" s="16"/>
      <c r="AG572" s="16"/>
      <c r="AH572" s="13"/>
      <c r="AL572" s="18"/>
    </row>
    <row r="573" ht="15.75" customHeight="1">
      <c r="C573" s="12"/>
      <c r="D573" s="13"/>
      <c r="E573" s="14"/>
      <c r="I573" s="15"/>
      <c r="J573" s="16"/>
      <c r="K573" s="16"/>
      <c r="L573" s="16"/>
      <c r="M573" s="16"/>
      <c r="N573" s="13"/>
      <c r="S573" s="15"/>
      <c r="T573" s="17"/>
      <c r="U573" s="17"/>
      <c r="V573" s="17"/>
      <c r="W573" s="17"/>
      <c r="X573" s="13"/>
      <c r="AC573" s="15"/>
      <c r="AD573" s="16"/>
      <c r="AE573" s="16"/>
      <c r="AF573" s="16"/>
      <c r="AG573" s="16"/>
      <c r="AH573" s="13"/>
      <c r="AL573" s="18"/>
    </row>
    <row r="574" ht="15.75" customHeight="1">
      <c r="C574" s="12"/>
      <c r="D574" s="13"/>
      <c r="E574" s="14"/>
      <c r="I574" s="15"/>
      <c r="J574" s="16"/>
      <c r="K574" s="16"/>
      <c r="L574" s="16"/>
      <c r="M574" s="16"/>
      <c r="N574" s="13"/>
      <c r="S574" s="15"/>
      <c r="T574" s="17"/>
      <c r="U574" s="17"/>
      <c r="V574" s="17"/>
      <c r="W574" s="17"/>
      <c r="X574" s="13"/>
      <c r="AC574" s="15"/>
      <c r="AD574" s="16"/>
      <c r="AE574" s="16"/>
      <c r="AF574" s="16"/>
      <c r="AG574" s="16"/>
      <c r="AH574" s="13"/>
      <c r="AL574" s="18"/>
    </row>
    <row r="575" ht="15.75" customHeight="1">
      <c r="C575" s="12"/>
      <c r="D575" s="13"/>
      <c r="E575" s="14"/>
      <c r="I575" s="15"/>
      <c r="J575" s="16"/>
      <c r="K575" s="16"/>
      <c r="L575" s="16"/>
      <c r="M575" s="16"/>
      <c r="N575" s="13"/>
      <c r="S575" s="15"/>
      <c r="T575" s="17"/>
      <c r="U575" s="17"/>
      <c r="V575" s="17"/>
      <c r="W575" s="17"/>
      <c r="X575" s="13"/>
      <c r="AC575" s="15"/>
      <c r="AD575" s="16"/>
      <c r="AE575" s="16"/>
      <c r="AF575" s="16"/>
      <c r="AG575" s="16"/>
      <c r="AH575" s="13"/>
      <c r="AL575" s="18"/>
    </row>
    <row r="576" ht="15.75" customHeight="1">
      <c r="C576" s="12"/>
      <c r="D576" s="13"/>
      <c r="E576" s="14"/>
      <c r="I576" s="15"/>
      <c r="J576" s="16"/>
      <c r="K576" s="16"/>
      <c r="L576" s="16"/>
      <c r="M576" s="16"/>
      <c r="N576" s="13"/>
      <c r="S576" s="15"/>
      <c r="T576" s="17"/>
      <c r="U576" s="17"/>
      <c r="V576" s="17"/>
      <c r="W576" s="17"/>
      <c r="X576" s="13"/>
      <c r="AC576" s="15"/>
      <c r="AD576" s="16"/>
      <c r="AE576" s="16"/>
      <c r="AF576" s="16"/>
      <c r="AG576" s="16"/>
      <c r="AH576" s="13"/>
      <c r="AL576" s="18"/>
    </row>
    <row r="577" ht="15.75" customHeight="1">
      <c r="C577" s="12"/>
      <c r="D577" s="13"/>
      <c r="E577" s="14"/>
      <c r="I577" s="15"/>
      <c r="J577" s="16"/>
      <c r="K577" s="16"/>
      <c r="L577" s="16"/>
      <c r="M577" s="16"/>
      <c r="N577" s="13"/>
      <c r="S577" s="15"/>
      <c r="T577" s="17"/>
      <c r="U577" s="17"/>
      <c r="V577" s="17"/>
      <c r="W577" s="17"/>
      <c r="X577" s="13"/>
      <c r="AC577" s="15"/>
      <c r="AD577" s="16"/>
      <c r="AE577" s="16"/>
      <c r="AF577" s="16"/>
      <c r="AG577" s="16"/>
      <c r="AH577" s="13"/>
      <c r="AL577" s="18"/>
    </row>
    <row r="578" ht="15.75" customHeight="1">
      <c r="C578" s="12"/>
      <c r="D578" s="13"/>
      <c r="E578" s="14"/>
      <c r="I578" s="15"/>
      <c r="J578" s="16"/>
      <c r="K578" s="16"/>
      <c r="L578" s="16"/>
      <c r="M578" s="16"/>
      <c r="N578" s="13"/>
      <c r="S578" s="15"/>
      <c r="T578" s="17"/>
      <c r="U578" s="17"/>
      <c r="V578" s="17"/>
      <c r="W578" s="17"/>
      <c r="X578" s="13"/>
      <c r="AC578" s="15"/>
      <c r="AD578" s="16"/>
      <c r="AE578" s="16"/>
      <c r="AF578" s="16"/>
      <c r="AG578" s="16"/>
      <c r="AH578" s="13"/>
      <c r="AL578" s="18"/>
    </row>
    <row r="579" ht="15.75" customHeight="1">
      <c r="C579" s="12"/>
      <c r="D579" s="13"/>
      <c r="E579" s="14"/>
      <c r="I579" s="15"/>
      <c r="J579" s="16"/>
      <c r="K579" s="16"/>
      <c r="L579" s="16"/>
      <c r="M579" s="16"/>
      <c r="N579" s="13"/>
      <c r="S579" s="15"/>
      <c r="T579" s="17"/>
      <c r="U579" s="17"/>
      <c r="V579" s="17"/>
      <c r="W579" s="17"/>
      <c r="X579" s="13"/>
      <c r="AC579" s="15"/>
      <c r="AD579" s="16"/>
      <c r="AE579" s="16"/>
      <c r="AF579" s="16"/>
      <c r="AG579" s="16"/>
      <c r="AH579" s="13"/>
      <c r="AL579" s="18"/>
    </row>
    <row r="580" ht="15.75" customHeight="1">
      <c r="C580" s="12"/>
      <c r="D580" s="13"/>
      <c r="E580" s="14"/>
      <c r="I580" s="15"/>
      <c r="J580" s="16"/>
      <c r="K580" s="16"/>
      <c r="L580" s="16"/>
      <c r="M580" s="16"/>
      <c r="N580" s="13"/>
      <c r="S580" s="15"/>
      <c r="T580" s="17"/>
      <c r="U580" s="17"/>
      <c r="V580" s="17"/>
      <c r="W580" s="17"/>
      <c r="X580" s="13"/>
      <c r="AC580" s="15"/>
      <c r="AD580" s="16"/>
      <c r="AE580" s="16"/>
      <c r="AF580" s="16"/>
      <c r="AG580" s="16"/>
      <c r="AH580" s="13"/>
      <c r="AL580" s="18"/>
    </row>
    <row r="581" ht="15.75" customHeight="1">
      <c r="C581" s="12"/>
      <c r="D581" s="13"/>
      <c r="E581" s="14"/>
      <c r="I581" s="15"/>
      <c r="J581" s="16"/>
      <c r="K581" s="16"/>
      <c r="L581" s="16"/>
      <c r="M581" s="16"/>
      <c r="N581" s="13"/>
      <c r="S581" s="15"/>
      <c r="T581" s="17"/>
      <c r="U581" s="17"/>
      <c r="V581" s="17"/>
      <c r="W581" s="17"/>
      <c r="X581" s="13"/>
      <c r="AC581" s="15"/>
      <c r="AD581" s="16"/>
      <c r="AE581" s="16"/>
      <c r="AF581" s="16"/>
      <c r="AG581" s="16"/>
      <c r="AH581" s="13"/>
      <c r="AL581" s="18"/>
    </row>
    <row r="582" ht="15.75" customHeight="1">
      <c r="C582" s="12"/>
      <c r="D582" s="13"/>
      <c r="E582" s="14"/>
      <c r="I582" s="15"/>
      <c r="J582" s="16"/>
      <c r="K582" s="16"/>
      <c r="L582" s="16"/>
      <c r="M582" s="16"/>
      <c r="N582" s="13"/>
      <c r="S582" s="15"/>
      <c r="T582" s="17"/>
      <c r="U582" s="17"/>
      <c r="V582" s="17"/>
      <c r="W582" s="17"/>
      <c r="X582" s="13"/>
      <c r="AC582" s="15"/>
      <c r="AD582" s="16"/>
      <c r="AE582" s="16"/>
      <c r="AF582" s="16"/>
      <c r="AG582" s="16"/>
      <c r="AH582" s="13"/>
      <c r="AL582" s="18"/>
    </row>
    <row r="583" ht="15.75" customHeight="1">
      <c r="C583" s="12"/>
      <c r="D583" s="13"/>
      <c r="E583" s="14"/>
      <c r="I583" s="15"/>
      <c r="J583" s="16"/>
      <c r="K583" s="16"/>
      <c r="L583" s="16"/>
      <c r="M583" s="16"/>
      <c r="N583" s="13"/>
      <c r="S583" s="15"/>
      <c r="T583" s="17"/>
      <c r="U583" s="17"/>
      <c r="V583" s="17"/>
      <c r="W583" s="17"/>
      <c r="X583" s="13"/>
      <c r="AC583" s="15"/>
      <c r="AD583" s="16"/>
      <c r="AE583" s="16"/>
      <c r="AF583" s="16"/>
      <c r="AG583" s="16"/>
      <c r="AH583" s="13"/>
      <c r="AL583" s="18"/>
    </row>
    <row r="584" ht="15.75" customHeight="1">
      <c r="C584" s="12"/>
      <c r="D584" s="13"/>
      <c r="E584" s="14"/>
      <c r="I584" s="15"/>
      <c r="J584" s="16"/>
      <c r="K584" s="16"/>
      <c r="L584" s="16"/>
      <c r="M584" s="16"/>
      <c r="N584" s="13"/>
      <c r="S584" s="15"/>
      <c r="T584" s="17"/>
      <c r="U584" s="17"/>
      <c r="V584" s="17"/>
      <c r="W584" s="17"/>
      <c r="X584" s="13"/>
      <c r="AC584" s="15"/>
      <c r="AD584" s="16"/>
      <c r="AE584" s="16"/>
      <c r="AF584" s="16"/>
      <c r="AG584" s="16"/>
      <c r="AH584" s="13"/>
      <c r="AL584" s="18"/>
    </row>
    <row r="585" ht="15.75" customHeight="1">
      <c r="C585" s="12"/>
      <c r="D585" s="13"/>
      <c r="E585" s="14"/>
      <c r="I585" s="15"/>
      <c r="J585" s="16"/>
      <c r="K585" s="16"/>
      <c r="L585" s="16"/>
      <c r="M585" s="16"/>
      <c r="N585" s="13"/>
      <c r="S585" s="15"/>
      <c r="T585" s="17"/>
      <c r="U585" s="17"/>
      <c r="V585" s="17"/>
      <c r="W585" s="17"/>
      <c r="X585" s="13"/>
      <c r="AC585" s="15"/>
      <c r="AD585" s="16"/>
      <c r="AE585" s="16"/>
      <c r="AF585" s="16"/>
      <c r="AG585" s="16"/>
      <c r="AH585" s="13"/>
      <c r="AL585" s="18"/>
    </row>
    <row r="586" ht="15.75" customHeight="1">
      <c r="C586" s="12"/>
      <c r="D586" s="13"/>
      <c r="E586" s="14"/>
      <c r="I586" s="15"/>
      <c r="J586" s="16"/>
      <c r="K586" s="16"/>
      <c r="L586" s="16"/>
      <c r="M586" s="16"/>
      <c r="N586" s="13"/>
      <c r="S586" s="15"/>
      <c r="T586" s="17"/>
      <c r="U586" s="17"/>
      <c r="V586" s="17"/>
      <c r="W586" s="17"/>
      <c r="X586" s="13"/>
      <c r="AC586" s="15"/>
      <c r="AD586" s="16"/>
      <c r="AE586" s="16"/>
      <c r="AF586" s="16"/>
      <c r="AG586" s="16"/>
      <c r="AH586" s="13"/>
      <c r="AL586" s="18"/>
    </row>
    <row r="587" ht="15.75" customHeight="1">
      <c r="C587" s="12"/>
      <c r="D587" s="13"/>
      <c r="E587" s="14"/>
      <c r="I587" s="15"/>
      <c r="J587" s="16"/>
      <c r="K587" s="16"/>
      <c r="L587" s="16"/>
      <c r="M587" s="16"/>
      <c r="N587" s="13"/>
      <c r="S587" s="15"/>
      <c r="T587" s="17"/>
      <c r="U587" s="17"/>
      <c r="V587" s="17"/>
      <c r="W587" s="17"/>
      <c r="X587" s="13"/>
      <c r="AC587" s="15"/>
      <c r="AD587" s="16"/>
      <c r="AE587" s="16"/>
      <c r="AF587" s="16"/>
      <c r="AG587" s="16"/>
      <c r="AH587" s="13"/>
      <c r="AL587" s="18"/>
    </row>
    <row r="588" ht="15.75" customHeight="1">
      <c r="C588" s="12"/>
      <c r="D588" s="13"/>
      <c r="E588" s="14"/>
      <c r="I588" s="15"/>
      <c r="J588" s="16"/>
      <c r="K588" s="16"/>
      <c r="L588" s="16"/>
      <c r="M588" s="16"/>
      <c r="N588" s="13"/>
      <c r="S588" s="15"/>
      <c r="T588" s="17"/>
      <c r="U588" s="17"/>
      <c r="V588" s="17"/>
      <c r="W588" s="17"/>
      <c r="X588" s="13"/>
      <c r="AC588" s="15"/>
      <c r="AD588" s="16"/>
      <c r="AE588" s="16"/>
      <c r="AF588" s="16"/>
      <c r="AG588" s="16"/>
      <c r="AH588" s="13"/>
      <c r="AL588" s="18"/>
    </row>
    <row r="589" ht="15.75" customHeight="1">
      <c r="C589" s="12"/>
      <c r="D589" s="13"/>
      <c r="E589" s="14"/>
      <c r="I589" s="15"/>
      <c r="J589" s="16"/>
      <c r="K589" s="16"/>
      <c r="L589" s="16"/>
      <c r="M589" s="16"/>
      <c r="N589" s="13"/>
      <c r="S589" s="15"/>
      <c r="T589" s="17"/>
      <c r="U589" s="17"/>
      <c r="V589" s="17"/>
      <c r="W589" s="17"/>
      <c r="X589" s="13"/>
      <c r="AC589" s="15"/>
      <c r="AD589" s="16"/>
      <c r="AE589" s="16"/>
      <c r="AF589" s="16"/>
      <c r="AG589" s="16"/>
      <c r="AH589" s="13"/>
      <c r="AL589" s="18"/>
    </row>
    <row r="590" ht="15.75" customHeight="1">
      <c r="C590" s="12"/>
      <c r="D590" s="13"/>
      <c r="E590" s="14"/>
      <c r="I590" s="15"/>
      <c r="J590" s="16"/>
      <c r="K590" s="16"/>
      <c r="L590" s="16"/>
      <c r="M590" s="16"/>
      <c r="N590" s="13"/>
      <c r="S590" s="15"/>
      <c r="T590" s="17"/>
      <c r="U590" s="17"/>
      <c r="V590" s="17"/>
      <c r="W590" s="17"/>
      <c r="X590" s="13"/>
      <c r="AC590" s="15"/>
      <c r="AD590" s="16"/>
      <c r="AE590" s="16"/>
      <c r="AF590" s="16"/>
      <c r="AG590" s="16"/>
      <c r="AH590" s="13"/>
      <c r="AL590" s="18"/>
    </row>
    <row r="591" ht="15.75" customHeight="1">
      <c r="C591" s="12"/>
      <c r="D591" s="13"/>
      <c r="E591" s="14"/>
      <c r="I591" s="15"/>
      <c r="J591" s="16"/>
      <c r="K591" s="16"/>
      <c r="L591" s="16"/>
      <c r="M591" s="16"/>
      <c r="N591" s="13"/>
      <c r="S591" s="15"/>
      <c r="T591" s="17"/>
      <c r="U591" s="17"/>
      <c r="V591" s="17"/>
      <c r="W591" s="17"/>
      <c r="X591" s="13"/>
      <c r="AC591" s="15"/>
      <c r="AD591" s="16"/>
      <c r="AE591" s="16"/>
      <c r="AF591" s="16"/>
      <c r="AG591" s="16"/>
      <c r="AH591" s="13"/>
      <c r="AL591" s="18"/>
    </row>
    <row r="592" ht="15.75" customHeight="1">
      <c r="C592" s="12"/>
      <c r="D592" s="13"/>
      <c r="E592" s="14"/>
      <c r="I592" s="15"/>
      <c r="J592" s="16"/>
      <c r="K592" s="16"/>
      <c r="L592" s="16"/>
      <c r="M592" s="16"/>
      <c r="N592" s="13"/>
      <c r="S592" s="15"/>
      <c r="T592" s="17"/>
      <c r="U592" s="17"/>
      <c r="V592" s="17"/>
      <c r="W592" s="17"/>
      <c r="X592" s="13"/>
      <c r="AC592" s="15"/>
      <c r="AD592" s="16"/>
      <c r="AE592" s="16"/>
      <c r="AF592" s="16"/>
      <c r="AG592" s="16"/>
      <c r="AH592" s="13"/>
      <c r="AL592" s="18"/>
    </row>
    <row r="593" ht="15.75" customHeight="1">
      <c r="C593" s="12"/>
      <c r="D593" s="13"/>
      <c r="E593" s="14"/>
      <c r="I593" s="15"/>
      <c r="J593" s="16"/>
      <c r="K593" s="16"/>
      <c r="L593" s="16"/>
      <c r="M593" s="16"/>
      <c r="N593" s="13"/>
      <c r="S593" s="15"/>
      <c r="T593" s="17"/>
      <c r="U593" s="17"/>
      <c r="V593" s="17"/>
      <c r="W593" s="17"/>
      <c r="X593" s="13"/>
      <c r="AC593" s="15"/>
      <c r="AD593" s="16"/>
      <c r="AE593" s="16"/>
      <c r="AF593" s="16"/>
      <c r="AG593" s="16"/>
      <c r="AH593" s="13"/>
      <c r="AL593" s="18"/>
    </row>
    <row r="594" ht="15.75" customHeight="1">
      <c r="C594" s="12"/>
      <c r="D594" s="13"/>
      <c r="E594" s="14"/>
      <c r="I594" s="15"/>
      <c r="J594" s="16"/>
      <c r="K594" s="16"/>
      <c r="L594" s="16"/>
      <c r="M594" s="16"/>
      <c r="N594" s="13"/>
      <c r="S594" s="15"/>
      <c r="T594" s="17"/>
      <c r="U594" s="17"/>
      <c r="V594" s="17"/>
      <c r="W594" s="17"/>
      <c r="X594" s="13"/>
      <c r="AC594" s="15"/>
      <c r="AD594" s="16"/>
      <c r="AE594" s="16"/>
      <c r="AF594" s="16"/>
      <c r="AG594" s="16"/>
      <c r="AH594" s="13"/>
      <c r="AL594" s="18"/>
    </row>
    <row r="595" ht="15.75" customHeight="1">
      <c r="C595" s="12"/>
      <c r="D595" s="13"/>
      <c r="E595" s="14"/>
      <c r="I595" s="15"/>
      <c r="J595" s="16"/>
      <c r="K595" s="16"/>
      <c r="L595" s="16"/>
      <c r="M595" s="16"/>
      <c r="N595" s="13"/>
      <c r="S595" s="15"/>
      <c r="T595" s="17"/>
      <c r="U595" s="17"/>
      <c r="V595" s="17"/>
      <c r="W595" s="17"/>
      <c r="X595" s="13"/>
      <c r="AC595" s="15"/>
      <c r="AD595" s="16"/>
      <c r="AE595" s="16"/>
      <c r="AF595" s="16"/>
      <c r="AG595" s="16"/>
      <c r="AH595" s="13"/>
      <c r="AL595" s="18"/>
    </row>
    <row r="596" ht="15.75" customHeight="1">
      <c r="C596" s="12"/>
      <c r="D596" s="13"/>
      <c r="E596" s="14"/>
      <c r="I596" s="15"/>
      <c r="J596" s="16"/>
      <c r="K596" s="16"/>
      <c r="L596" s="16"/>
      <c r="M596" s="16"/>
      <c r="N596" s="13"/>
      <c r="S596" s="15"/>
      <c r="T596" s="17"/>
      <c r="U596" s="17"/>
      <c r="V596" s="17"/>
      <c r="W596" s="17"/>
      <c r="X596" s="13"/>
      <c r="AC596" s="15"/>
      <c r="AD596" s="16"/>
      <c r="AE596" s="16"/>
      <c r="AF596" s="16"/>
      <c r="AG596" s="16"/>
      <c r="AH596" s="13"/>
      <c r="AL596" s="18"/>
    </row>
    <row r="597" ht="15.75" customHeight="1">
      <c r="C597" s="12"/>
      <c r="D597" s="13"/>
      <c r="E597" s="14"/>
      <c r="I597" s="15"/>
      <c r="J597" s="16"/>
      <c r="K597" s="16"/>
      <c r="L597" s="16"/>
      <c r="M597" s="16"/>
      <c r="N597" s="13"/>
      <c r="S597" s="15"/>
      <c r="T597" s="17"/>
      <c r="U597" s="17"/>
      <c r="V597" s="17"/>
      <c r="W597" s="17"/>
      <c r="X597" s="13"/>
      <c r="AC597" s="15"/>
      <c r="AD597" s="16"/>
      <c r="AE597" s="16"/>
      <c r="AF597" s="16"/>
      <c r="AG597" s="16"/>
      <c r="AH597" s="13"/>
      <c r="AL597" s="18"/>
    </row>
    <row r="598" ht="15.75" customHeight="1">
      <c r="C598" s="12"/>
      <c r="D598" s="13"/>
      <c r="E598" s="14"/>
      <c r="I598" s="15"/>
      <c r="J598" s="16"/>
      <c r="K598" s="16"/>
      <c r="L598" s="16"/>
      <c r="M598" s="16"/>
      <c r="N598" s="13"/>
      <c r="S598" s="15"/>
      <c r="T598" s="17"/>
      <c r="U598" s="17"/>
      <c r="V598" s="17"/>
      <c r="W598" s="17"/>
      <c r="X598" s="13"/>
      <c r="AC598" s="15"/>
      <c r="AD598" s="16"/>
      <c r="AE598" s="16"/>
      <c r="AF598" s="16"/>
      <c r="AG598" s="16"/>
      <c r="AH598" s="13"/>
      <c r="AL598" s="18"/>
    </row>
    <row r="599" ht="15.75" customHeight="1">
      <c r="C599" s="12"/>
      <c r="D599" s="13"/>
      <c r="E599" s="14"/>
      <c r="I599" s="15"/>
      <c r="J599" s="16"/>
      <c r="K599" s="16"/>
      <c r="L599" s="16"/>
      <c r="M599" s="16"/>
      <c r="N599" s="13"/>
      <c r="S599" s="15"/>
      <c r="T599" s="17"/>
      <c r="U599" s="17"/>
      <c r="V599" s="17"/>
      <c r="W599" s="17"/>
      <c r="X599" s="13"/>
      <c r="AC599" s="15"/>
      <c r="AD599" s="16"/>
      <c r="AE599" s="16"/>
      <c r="AF599" s="16"/>
      <c r="AG599" s="16"/>
      <c r="AH599" s="13"/>
      <c r="AL599" s="18"/>
    </row>
    <row r="600" ht="15.75" customHeight="1">
      <c r="C600" s="12"/>
      <c r="D600" s="13"/>
      <c r="E600" s="14"/>
      <c r="I600" s="15"/>
      <c r="J600" s="16"/>
      <c r="K600" s="16"/>
      <c r="L600" s="16"/>
      <c r="M600" s="16"/>
      <c r="N600" s="13"/>
      <c r="S600" s="15"/>
      <c r="T600" s="17"/>
      <c r="U600" s="17"/>
      <c r="V600" s="17"/>
      <c r="W600" s="17"/>
      <c r="X600" s="13"/>
      <c r="AC600" s="15"/>
      <c r="AD600" s="16"/>
      <c r="AE600" s="16"/>
      <c r="AF600" s="16"/>
      <c r="AG600" s="16"/>
      <c r="AH600" s="13"/>
      <c r="AL600" s="18"/>
    </row>
    <row r="601" ht="15.75" customHeight="1">
      <c r="C601" s="12"/>
      <c r="D601" s="13"/>
      <c r="E601" s="14"/>
      <c r="I601" s="15"/>
      <c r="J601" s="16"/>
      <c r="K601" s="16"/>
      <c r="L601" s="16"/>
      <c r="M601" s="16"/>
      <c r="N601" s="13"/>
      <c r="S601" s="15"/>
      <c r="T601" s="17"/>
      <c r="U601" s="17"/>
      <c r="V601" s="17"/>
      <c r="W601" s="17"/>
      <c r="X601" s="13"/>
      <c r="AC601" s="15"/>
      <c r="AD601" s="16"/>
      <c r="AE601" s="16"/>
      <c r="AF601" s="16"/>
      <c r="AG601" s="16"/>
      <c r="AH601" s="13"/>
      <c r="AL601" s="18"/>
    </row>
    <row r="602" ht="15.75" customHeight="1">
      <c r="C602" s="12"/>
      <c r="D602" s="13"/>
      <c r="E602" s="14"/>
      <c r="I602" s="15"/>
      <c r="J602" s="16"/>
      <c r="K602" s="16"/>
      <c r="L602" s="16"/>
      <c r="M602" s="16"/>
      <c r="N602" s="13"/>
      <c r="S602" s="15"/>
      <c r="T602" s="17"/>
      <c r="U602" s="17"/>
      <c r="V602" s="17"/>
      <c r="W602" s="17"/>
      <c r="X602" s="13"/>
      <c r="AC602" s="15"/>
      <c r="AD602" s="16"/>
      <c r="AE602" s="16"/>
      <c r="AF602" s="16"/>
      <c r="AG602" s="16"/>
      <c r="AH602" s="13"/>
      <c r="AL602" s="18"/>
    </row>
    <row r="603" ht="15.75" customHeight="1">
      <c r="C603" s="12"/>
      <c r="D603" s="13"/>
      <c r="E603" s="14"/>
      <c r="I603" s="15"/>
      <c r="J603" s="16"/>
      <c r="K603" s="16"/>
      <c r="L603" s="16"/>
      <c r="M603" s="16"/>
      <c r="N603" s="13"/>
      <c r="S603" s="15"/>
      <c r="T603" s="17"/>
      <c r="U603" s="17"/>
      <c r="V603" s="17"/>
      <c r="W603" s="17"/>
      <c r="X603" s="13"/>
      <c r="AC603" s="15"/>
      <c r="AD603" s="16"/>
      <c r="AE603" s="16"/>
      <c r="AF603" s="16"/>
      <c r="AG603" s="16"/>
      <c r="AH603" s="13"/>
      <c r="AL603" s="18"/>
    </row>
    <row r="604" ht="15.75" customHeight="1">
      <c r="C604" s="12"/>
      <c r="D604" s="13"/>
      <c r="E604" s="14"/>
      <c r="I604" s="15"/>
      <c r="J604" s="16"/>
      <c r="K604" s="16"/>
      <c r="L604" s="16"/>
      <c r="M604" s="16"/>
      <c r="N604" s="13"/>
      <c r="S604" s="15"/>
      <c r="T604" s="17"/>
      <c r="U604" s="17"/>
      <c r="V604" s="17"/>
      <c r="W604" s="17"/>
      <c r="X604" s="13"/>
      <c r="AC604" s="15"/>
      <c r="AD604" s="16"/>
      <c r="AE604" s="16"/>
      <c r="AF604" s="16"/>
      <c r="AG604" s="16"/>
      <c r="AH604" s="13"/>
      <c r="AL604" s="18"/>
    </row>
    <row r="605" ht="15.75" customHeight="1">
      <c r="C605" s="12"/>
      <c r="D605" s="13"/>
      <c r="E605" s="14"/>
      <c r="I605" s="15"/>
      <c r="J605" s="16"/>
      <c r="K605" s="16"/>
      <c r="L605" s="16"/>
      <c r="M605" s="16"/>
      <c r="N605" s="13"/>
      <c r="S605" s="15"/>
      <c r="T605" s="17"/>
      <c r="U605" s="17"/>
      <c r="V605" s="17"/>
      <c r="W605" s="17"/>
      <c r="X605" s="13"/>
      <c r="AC605" s="15"/>
      <c r="AD605" s="16"/>
      <c r="AE605" s="16"/>
      <c r="AF605" s="16"/>
      <c r="AG605" s="16"/>
      <c r="AH605" s="13"/>
      <c r="AL605" s="18"/>
    </row>
    <row r="606" ht="15.75" customHeight="1">
      <c r="C606" s="12"/>
      <c r="D606" s="13"/>
      <c r="E606" s="14"/>
      <c r="I606" s="15"/>
      <c r="J606" s="16"/>
      <c r="K606" s="16"/>
      <c r="L606" s="16"/>
      <c r="M606" s="16"/>
      <c r="N606" s="13"/>
      <c r="S606" s="15"/>
      <c r="T606" s="17"/>
      <c r="U606" s="17"/>
      <c r="V606" s="17"/>
      <c r="W606" s="17"/>
      <c r="X606" s="13"/>
      <c r="AC606" s="15"/>
      <c r="AD606" s="16"/>
      <c r="AE606" s="16"/>
      <c r="AF606" s="16"/>
      <c r="AG606" s="16"/>
      <c r="AH606" s="13"/>
      <c r="AL606" s="18"/>
    </row>
    <row r="607" ht="15.75" customHeight="1">
      <c r="C607" s="12"/>
      <c r="D607" s="13"/>
      <c r="E607" s="14"/>
      <c r="I607" s="15"/>
      <c r="J607" s="16"/>
      <c r="K607" s="16"/>
      <c r="L607" s="16"/>
      <c r="M607" s="16"/>
      <c r="N607" s="13"/>
      <c r="S607" s="15"/>
      <c r="T607" s="17"/>
      <c r="U607" s="17"/>
      <c r="V607" s="17"/>
      <c r="W607" s="17"/>
      <c r="X607" s="13"/>
      <c r="AC607" s="15"/>
      <c r="AD607" s="16"/>
      <c r="AE607" s="16"/>
      <c r="AF607" s="16"/>
      <c r="AG607" s="16"/>
      <c r="AH607" s="13"/>
      <c r="AL607" s="18"/>
    </row>
    <row r="608" ht="15.75" customHeight="1">
      <c r="C608" s="12"/>
      <c r="D608" s="13"/>
      <c r="E608" s="14"/>
      <c r="I608" s="15"/>
      <c r="J608" s="16"/>
      <c r="K608" s="16"/>
      <c r="L608" s="16"/>
      <c r="M608" s="16"/>
      <c r="N608" s="13"/>
      <c r="S608" s="15"/>
      <c r="T608" s="17"/>
      <c r="U608" s="17"/>
      <c r="V608" s="17"/>
      <c r="W608" s="17"/>
      <c r="X608" s="13"/>
      <c r="AC608" s="15"/>
      <c r="AD608" s="16"/>
      <c r="AE608" s="16"/>
      <c r="AF608" s="16"/>
      <c r="AG608" s="16"/>
      <c r="AH608" s="13"/>
      <c r="AL608" s="18"/>
    </row>
    <row r="609" ht="15.75" customHeight="1">
      <c r="C609" s="12"/>
      <c r="D609" s="13"/>
      <c r="E609" s="14"/>
      <c r="I609" s="15"/>
      <c r="J609" s="16"/>
      <c r="K609" s="16"/>
      <c r="L609" s="16"/>
      <c r="M609" s="16"/>
      <c r="N609" s="13"/>
      <c r="S609" s="15"/>
      <c r="T609" s="17"/>
      <c r="U609" s="17"/>
      <c r="V609" s="17"/>
      <c r="W609" s="17"/>
      <c r="X609" s="13"/>
      <c r="AC609" s="15"/>
      <c r="AD609" s="16"/>
      <c r="AE609" s="16"/>
      <c r="AF609" s="16"/>
      <c r="AG609" s="16"/>
      <c r="AH609" s="13"/>
      <c r="AL609" s="18"/>
    </row>
    <row r="610" ht="15.75" customHeight="1">
      <c r="C610" s="12"/>
      <c r="D610" s="13"/>
      <c r="E610" s="14"/>
      <c r="I610" s="15"/>
      <c r="J610" s="16"/>
      <c r="K610" s="16"/>
      <c r="L610" s="16"/>
      <c r="M610" s="16"/>
      <c r="N610" s="13"/>
      <c r="S610" s="15"/>
      <c r="T610" s="17"/>
      <c r="U610" s="17"/>
      <c r="V610" s="17"/>
      <c r="W610" s="17"/>
      <c r="X610" s="13"/>
      <c r="AC610" s="15"/>
      <c r="AD610" s="16"/>
      <c r="AE610" s="16"/>
      <c r="AF610" s="16"/>
      <c r="AG610" s="16"/>
      <c r="AH610" s="13"/>
      <c r="AL610" s="18"/>
    </row>
    <row r="611" ht="15.75" customHeight="1">
      <c r="C611" s="12"/>
      <c r="D611" s="13"/>
      <c r="E611" s="14"/>
      <c r="I611" s="15"/>
      <c r="J611" s="16"/>
      <c r="K611" s="16"/>
      <c r="L611" s="16"/>
      <c r="M611" s="16"/>
      <c r="N611" s="13"/>
      <c r="S611" s="15"/>
      <c r="T611" s="17"/>
      <c r="U611" s="17"/>
      <c r="V611" s="17"/>
      <c r="W611" s="17"/>
      <c r="X611" s="13"/>
      <c r="AC611" s="15"/>
      <c r="AD611" s="16"/>
      <c r="AE611" s="16"/>
      <c r="AF611" s="16"/>
      <c r="AG611" s="16"/>
      <c r="AH611" s="13"/>
      <c r="AL611" s="18"/>
    </row>
    <row r="612" ht="15.75" customHeight="1">
      <c r="C612" s="12"/>
      <c r="D612" s="13"/>
      <c r="E612" s="14"/>
      <c r="I612" s="15"/>
      <c r="J612" s="16"/>
      <c r="K612" s="16"/>
      <c r="L612" s="16"/>
      <c r="M612" s="16"/>
      <c r="N612" s="13"/>
      <c r="S612" s="15"/>
      <c r="T612" s="17"/>
      <c r="U612" s="17"/>
      <c r="V612" s="17"/>
      <c r="W612" s="17"/>
      <c r="X612" s="13"/>
      <c r="AC612" s="15"/>
      <c r="AD612" s="16"/>
      <c r="AE612" s="16"/>
      <c r="AF612" s="16"/>
      <c r="AG612" s="16"/>
      <c r="AH612" s="13"/>
      <c r="AL612" s="18"/>
    </row>
    <row r="613" ht="15.75" customHeight="1">
      <c r="C613" s="12"/>
      <c r="D613" s="13"/>
      <c r="E613" s="14"/>
      <c r="I613" s="15"/>
      <c r="J613" s="16"/>
      <c r="K613" s="16"/>
      <c r="L613" s="16"/>
      <c r="M613" s="16"/>
      <c r="N613" s="13"/>
      <c r="S613" s="15"/>
      <c r="T613" s="17"/>
      <c r="U613" s="17"/>
      <c r="V613" s="17"/>
      <c r="W613" s="17"/>
      <c r="X613" s="13"/>
      <c r="AC613" s="15"/>
      <c r="AD613" s="16"/>
      <c r="AE613" s="16"/>
      <c r="AF613" s="16"/>
      <c r="AG613" s="16"/>
      <c r="AH613" s="13"/>
      <c r="AL613" s="18"/>
    </row>
    <row r="614" ht="15.75" customHeight="1">
      <c r="C614" s="12"/>
      <c r="D614" s="13"/>
      <c r="E614" s="14"/>
      <c r="I614" s="15"/>
      <c r="J614" s="16"/>
      <c r="K614" s="16"/>
      <c r="L614" s="16"/>
      <c r="M614" s="16"/>
      <c r="N614" s="13"/>
      <c r="S614" s="15"/>
      <c r="T614" s="17"/>
      <c r="U614" s="17"/>
      <c r="V614" s="17"/>
      <c r="W614" s="17"/>
      <c r="X614" s="13"/>
      <c r="AC614" s="15"/>
      <c r="AD614" s="16"/>
      <c r="AE614" s="16"/>
      <c r="AF614" s="16"/>
      <c r="AG614" s="16"/>
      <c r="AH614" s="13"/>
      <c r="AL614" s="18"/>
    </row>
    <row r="615" ht="15.75" customHeight="1">
      <c r="C615" s="12"/>
      <c r="D615" s="13"/>
      <c r="E615" s="14"/>
      <c r="I615" s="15"/>
      <c r="J615" s="16"/>
      <c r="K615" s="16"/>
      <c r="L615" s="16"/>
      <c r="M615" s="16"/>
      <c r="N615" s="13"/>
      <c r="S615" s="15"/>
      <c r="T615" s="17"/>
      <c r="U615" s="17"/>
      <c r="V615" s="17"/>
      <c r="W615" s="17"/>
      <c r="X615" s="13"/>
      <c r="AC615" s="15"/>
      <c r="AD615" s="16"/>
      <c r="AE615" s="16"/>
      <c r="AF615" s="16"/>
      <c r="AG615" s="16"/>
      <c r="AH615" s="13"/>
      <c r="AL615" s="18"/>
    </row>
    <row r="616" ht="15.75" customHeight="1">
      <c r="C616" s="12"/>
      <c r="D616" s="13"/>
      <c r="E616" s="14"/>
      <c r="I616" s="15"/>
      <c r="J616" s="16"/>
      <c r="K616" s="16"/>
      <c r="L616" s="16"/>
      <c r="M616" s="16"/>
      <c r="N616" s="13"/>
      <c r="S616" s="15"/>
      <c r="T616" s="17"/>
      <c r="U616" s="17"/>
      <c r="V616" s="17"/>
      <c r="W616" s="17"/>
      <c r="X616" s="13"/>
      <c r="AC616" s="15"/>
      <c r="AD616" s="16"/>
      <c r="AE616" s="16"/>
      <c r="AF616" s="16"/>
      <c r="AG616" s="16"/>
      <c r="AH616" s="13"/>
      <c r="AL616" s="18"/>
    </row>
    <row r="617" ht="15.75" customHeight="1">
      <c r="C617" s="12"/>
      <c r="D617" s="13"/>
      <c r="E617" s="14"/>
      <c r="I617" s="15"/>
      <c r="J617" s="16"/>
      <c r="K617" s="16"/>
      <c r="L617" s="16"/>
      <c r="M617" s="16"/>
      <c r="N617" s="13"/>
      <c r="S617" s="15"/>
      <c r="T617" s="17"/>
      <c r="U617" s="17"/>
      <c r="V617" s="17"/>
      <c r="W617" s="17"/>
      <c r="X617" s="13"/>
      <c r="AC617" s="15"/>
      <c r="AD617" s="16"/>
      <c r="AE617" s="16"/>
      <c r="AF617" s="16"/>
      <c r="AG617" s="16"/>
      <c r="AH617" s="13"/>
      <c r="AL617" s="18"/>
    </row>
    <row r="618" ht="15.75" customHeight="1">
      <c r="C618" s="12"/>
      <c r="D618" s="13"/>
      <c r="E618" s="14"/>
      <c r="I618" s="15"/>
      <c r="J618" s="16"/>
      <c r="K618" s="16"/>
      <c r="L618" s="16"/>
      <c r="M618" s="16"/>
      <c r="N618" s="13"/>
      <c r="S618" s="15"/>
      <c r="T618" s="17"/>
      <c r="U618" s="17"/>
      <c r="V618" s="17"/>
      <c r="W618" s="17"/>
      <c r="X618" s="13"/>
      <c r="AC618" s="15"/>
      <c r="AD618" s="16"/>
      <c r="AE618" s="16"/>
      <c r="AF618" s="16"/>
      <c r="AG618" s="16"/>
      <c r="AH618" s="13"/>
      <c r="AL618" s="18"/>
    </row>
    <row r="619" ht="15.75" customHeight="1">
      <c r="C619" s="12"/>
      <c r="D619" s="13"/>
      <c r="E619" s="14"/>
      <c r="I619" s="15"/>
      <c r="J619" s="16"/>
      <c r="K619" s="16"/>
      <c r="L619" s="16"/>
      <c r="M619" s="16"/>
      <c r="N619" s="13"/>
      <c r="S619" s="15"/>
      <c r="T619" s="17"/>
      <c r="U619" s="17"/>
      <c r="V619" s="17"/>
      <c r="W619" s="17"/>
      <c r="X619" s="13"/>
      <c r="AC619" s="15"/>
      <c r="AD619" s="16"/>
      <c r="AE619" s="16"/>
      <c r="AF619" s="16"/>
      <c r="AG619" s="16"/>
      <c r="AH619" s="13"/>
      <c r="AL619" s="18"/>
    </row>
    <row r="620" ht="15.75" customHeight="1">
      <c r="C620" s="12"/>
      <c r="D620" s="13"/>
      <c r="E620" s="14"/>
      <c r="I620" s="15"/>
      <c r="J620" s="16"/>
      <c r="K620" s="16"/>
      <c r="L620" s="16"/>
      <c r="M620" s="16"/>
      <c r="N620" s="13"/>
      <c r="S620" s="15"/>
      <c r="T620" s="17"/>
      <c r="U620" s="17"/>
      <c r="V620" s="17"/>
      <c r="W620" s="17"/>
      <c r="X620" s="13"/>
      <c r="AC620" s="15"/>
      <c r="AD620" s="16"/>
      <c r="AE620" s="16"/>
      <c r="AF620" s="16"/>
      <c r="AG620" s="16"/>
      <c r="AH620" s="13"/>
      <c r="AL620" s="18"/>
    </row>
    <row r="621" ht="15.75" customHeight="1">
      <c r="C621" s="12"/>
      <c r="D621" s="13"/>
      <c r="E621" s="14"/>
      <c r="I621" s="15"/>
      <c r="J621" s="16"/>
      <c r="K621" s="16"/>
      <c r="L621" s="16"/>
      <c r="M621" s="16"/>
      <c r="N621" s="13"/>
      <c r="S621" s="15"/>
      <c r="T621" s="17"/>
      <c r="U621" s="17"/>
      <c r="V621" s="17"/>
      <c r="W621" s="17"/>
      <c r="X621" s="13"/>
      <c r="AC621" s="15"/>
      <c r="AD621" s="16"/>
      <c r="AE621" s="16"/>
      <c r="AF621" s="16"/>
      <c r="AG621" s="16"/>
      <c r="AH621" s="13"/>
      <c r="AL621" s="18"/>
    </row>
    <row r="622" ht="15.75" customHeight="1">
      <c r="C622" s="12"/>
      <c r="D622" s="13"/>
      <c r="E622" s="14"/>
      <c r="I622" s="15"/>
      <c r="J622" s="16"/>
      <c r="K622" s="16"/>
      <c r="L622" s="16"/>
      <c r="M622" s="16"/>
      <c r="N622" s="13"/>
      <c r="S622" s="15"/>
      <c r="T622" s="17"/>
      <c r="U622" s="17"/>
      <c r="V622" s="17"/>
      <c r="W622" s="17"/>
      <c r="X622" s="13"/>
      <c r="AC622" s="15"/>
      <c r="AD622" s="16"/>
      <c r="AE622" s="16"/>
      <c r="AF622" s="16"/>
      <c r="AG622" s="16"/>
      <c r="AH622" s="13"/>
      <c r="AL622" s="18"/>
    </row>
    <row r="623" ht="15.75" customHeight="1">
      <c r="C623" s="12"/>
      <c r="D623" s="13"/>
      <c r="E623" s="14"/>
      <c r="I623" s="15"/>
      <c r="J623" s="16"/>
      <c r="K623" s="16"/>
      <c r="L623" s="16"/>
      <c r="M623" s="16"/>
      <c r="N623" s="13"/>
      <c r="S623" s="15"/>
      <c r="T623" s="17"/>
      <c r="U623" s="17"/>
      <c r="V623" s="17"/>
      <c r="W623" s="17"/>
      <c r="X623" s="13"/>
      <c r="AC623" s="15"/>
      <c r="AD623" s="16"/>
      <c r="AE623" s="16"/>
      <c r="AF623" s="16"/>
      <c r="AG623" s="16"/>
      <c r="AH623" s="13"/>
      <c r="AL623" s="18"/>
    </row>
    <row r="624" ht="15.75" customHeight="1">
      <c r="C624" s="12"/>
      <c r="D624" s="13"/>
      <c r="E624" s="14"/>
      <c r="I624" s="15"/>
      <c r="J624" s="16"/>
      <c r="K624" s="16"/>
      <c r="L624" s="16"/>
      <c r="M624" s="16"/>
      <c r="N624" s="13"/>
      <c r="S624" s="15"/>
      <c r="T624" s="17"/>
      <c r="U624" s="17"/>
      <c r="V624" s="17"/>
      <c r="W624" s="17"/>
      <c r="X624" s="13"/>
      <c r="AC624" s="15"/>
      <c r="AD624" s="16"/>
      <c r="AE624" s="16"/>
      <c r="AF624" s="16"/>
      <c r="AG624" s="16"/>
      <c r="AH624" s="13"/>
      <c r="AL624" s="18"/>
    </row>
    <row r="625" ht="15.75" customHeight="1">
      <c r="C625" s="12"/>
      <c r="D625" s="13"/>
      <c r="E625" s="14"/>
      <c r="I625" s="15"/>
      <c r="J625" s="16"/>
      <c r="K625" s="16"/>
      <c r="L625" s="16"/>
      <c r="M625" s="16"/>
      <c r="N625" s="13"/>
      <c r="S625" s="15"/>
      <c r="T625" s="17"/>
      <c r="U625" s="17"/>
      <c r="V625" s="17"/>
      <c r="W625" s="17"/>
      <c r="X625" s="13"/>
      <c r="AC625" s="15"/>
      <c r="AD625" s="16"/>
      <c r="AE625" s="16"/>
      <c r="AF625" s="16"/>
      <c r="AG625" s="16"/>
      <c r="AH625" s="13"/>
      <c r="AL625" s="18"/>
    </row>
    <row r="626" ht="15.75" customHeight="1">
      <c r="C626" s="12"/>
      <c r="D626" s="13"/>
      <c r="E626" s="14"/>
      <c r="I626" s="15"/>
      <c r="J626" s="16"/>
      <c r="K626" s="16"/>
      <c r="L626" s="16"/>
      <c r="M626" s="16"/>
      <c r="N626" s="13"/>
      <c r="S626" s="15"/>
      <c r="T626" s="17"/>
      <c r="U626" s="17"/>
      <c r="V626" s="17"/>
      <c r="W626" s="17"/>
      <c r="X626" s="13"/>
      <c r="AC626" s="15"/>
      <c r="AD626" s="16"/>
      <c r="AE626" s="16"/>
      <c r="AF626" s="16"/>
      <c r="AG626" s="16"/>
      <c r="AH626" s="13"/>
      <c r="AL626" s="18"/>
    </row>
    <row r="627" ht="15.75" customHeight="1">
      <c r="C627" s="12"/>
      <c r="D627" s="13"/>
      <c r="E627" s="14"/>
      <c r="I627" s="15"/>
      <c r="J627" s="16"/>
      <c r="K627" s="16"/>
      <c r="L627" s="16"/>
      <c r="M627" s="16"/>
      <c r="N627" s="13"/>
      <c r="S627" s="15"/>
      <c r="T627" s="17"/>
      <c r="U627" s="17"/>
      <c r="V627" s="17"/>
      <c r="W627" s="17"/>
      <c r="X627" s="13"/>
      <c r="AC627" s="15"/>
      <c r="AD627" s="16"/>
      <c r="AE627" s="16"/>
      <c r="AF627" s="16"/>
      <c r="AG627" s="16"/>
      <c r="AH627" s="13"/>
      <c r="AL627" s="18"/>
    </row>
    <row r="628" ht="15.75" customHeight="1">
      <c r="C628" s="12"/>
      <c r="D628" s="13"/>
      <c r="E628" s="14"/>
      <c r="I628" s="15"/>
      <c r="J628" s="16"/>
      <c r="K628" s="16"/>
      <c r="L628" s="16"/>
      <c r="M628" s="16"/>
      <c r="N628" s="13"/>
      <c r="S628" s="15"/>
      <c r="T628" s="17"/>
      <c r="U628" s="17"/>
      <c r="V628" s="17"/>
      <c r="W628" s="17"/>
      <c r="X628" s="13"/>
      <c r="AC628" s="15"/>
      <c r="AD628" s="16"/>
      <c r="AE628" s="16"/>
      <c r="AF628" s="16"/>
      <c r="AG628" s="16"/>
      <c r="AH628" s="13"/>
      <c r="AL628" s="18"/>
    </row>
    <row r="629" ht="15.75" customHeight="1">
      <c r="C629" s="12"/>
      <c r="D629" s="13"/>
      <c r="E629" s="14"/>
      <c r="I629" s="15"/>
      <c r="J629" s="16"/>
      <c r="K629" s="16"/>
      <c r="L629" s="16"/>
      <c r="M629" s="16"/>
      <c r="N629" s="13"/>
      <c r="S629" s="15"/>
      <c r="T629" s="17"/>
      <c r="U629" s="17"/>
      <c r="V629" s="17"/>
      <c r="W629" s="17"/>
      <c r="X629" s="13"/>
      <c r="AC629" s="15"/>
      <c r="AD629" s="16"/>
      <c r="AE629" s="16"/>
      <c r="AF629" s="16"/>
      <c r="AG629" s="16"/>
      <c r="AH629" s="13"/>
      <c r="AL629" s="18"/>
    </row>
    <row r="630" ht="15.75" customHeight="1">
      <c r="C630" s="12"/>
      <c r="D630" s="13"/>
      <c r="E630" s="14"/>
      <c r="I630" s="15"/>
      <c r="J630" s="16"/>
      <c r="K630" s="16"/>
      <c r="L630" s="16"/>
      <c r="M630" s="16"/>
      <c r="N630" s="13"/>
      <c r="S630" s="15"/>
      <c r="T630" s="17"/>
      <c r="U630" s="17"/>
      <c r="V630" s="17"/>
      <c r="W630" s="17"/>
      <c r="X630" s="13"/>
      <c r="AC630" s="15"/>
      <c r="AD630" s="16"/>
      <c r="AE630" s="16"/>
      <c r="AF630" s="16"/>
      <c r="AG630" s="16"/>
      <c r="AH630" s="13"/>
      <c r="AL630" s="18"/>
    </row>
    <row r="631" ht="15.75" customHeight="1">
      <c r="C631" s="12"/>
      <c r="D631" s="13"/>
      <c r="E631" s="14"/>
      <c r="I631" s="15"/>
      <c r="J631" s="16"/>
      <c r="K631" s="16"/>
      <c r="L631" s="16"/>
      <c r="M631" s="16"/>
      <c r="N631" s="13"/>
      <c r="S631" s="15"/>
      <c r="T631" s="17"/>
      <c r="U631" s="17"/>
      <c r="V631" s="17"/>
      <c r="W631" s="17"/>
      <c r="X631" s="13"/>
      <c r="AC631" s="15"/>
      <c r="AD631" s="16"/>
      <c r="AE631" s="16"/>
      <c r="AF631" s="16"/>
      <c r="AG631" s="16"/>
      <c r="AH631" s="13"/>
      <c r="AL631" s="18"/>
    </row>
    <row r="632" ht="15.75" customHeight="1">
      <c r="C632" s="12"/>
      <c r="D632" s="13"/>
      <c r="E632" s="14"/>
      <c r="I632" s="15"/>
      <c r="J632" s="16"/>
      <c r="K632" s="16"/>
      <c r="L632" s="16"/>
      <c r="M632" s="16"/>
      <c r="N632" s="13"/>
      <c r="S632" s="15"/>
      <c r="T632" s="17"/>
      <c r="U632" s="17"/>
      <c r="V632" s="17"/>
      <c r="W632" s="17"/>
      <c r="X632" s="13"/>
      <c r="AC632" s="15"/>
      <c r="AD632" s="16"/>
      <c r="AE632" s="16"/>
      <c r="AF632" s="16"/>
      <c r="AG632" s="16"/>
      <c r="AH632" s="13"/>
      <c r="AL632" s="18"/>
    </row>
    <row r="633" ht="15.75" customHeight="1">
      <c r="C633" s="12"/>
      <c r="D633" s="13"/>
      <c r="E633" s="14"/>
      <c r="I633" s="15"/>
      <c r="J633" s="16"/>
      <c r="K633" s="16"/>
      <c r="L633" s="16"/>
      <c r="M633" s="16"/>
      <c r="N633" s="13"/>
      <c r="S633" s="15"/>
      <c r="T633" s="17"/>
      <c r="U633" s="17"/>
      <c r="V633" s="17"/>
      <c r="W633" s="17"/>
      <c r="X633" s="13"/>
      <c r="AC633" s="15"/>
      <c r="AD633" s="16"/>
      <c r="AE633" s="16"/>
      <c r="AF633" s="16"/>
      <c r="AG633" s="16"/>
      <c r="AH633" s="13"/>
      <c r="AL633" s="18"/>
    </row>
    <row r="634" ht="15.75" customHeight="1">
      <c r="C634" s="12"/>
      <c r="D634" s="13"/>
      <c r="E634" s="14"/>
      <c r="I634" s="15"/>
      <c r="J634" s="16"/>
      <c r="K634" s="16"/>
      <c r="L634" s="16"/>
      <c r="M634" s="16"/>
      <c r="N634" s="13"/>
      <c r="S634" s="15"/>
      <c r="T634" s="17"/>
      <c r="U634" s="17"/>
      <c r="V634" s="17"/>
      <c r="W634" s="17"/>
      <c r="X634" s="13"/>
      <c r="AC634" s="15"/>
      <c r="AD634" s="16"/>
      <c r="AE634" s="16"/>
      <c r="AF634" s="16"/>
      <c r="AG634" s="16"/>
      <c r="AH634" s="13"/>
      <c r="AL634" s="18"/>
    </row>
    <row r="635" ht="15.75" customHeight="1">
      <c r="C635" s="12"/>
      <c r="D635" s="13"/>
      <c r="E635" s="14"/>
      <c r="I635" s="15"/>
      <c r="J635" s="16"/>
      <c r="K635" s="16"/>
      <c r="L635" s="16"/>
      <c r="M635" s="16"/>
      <c r="N635" s="13"/>
      <c r="S635" s="15"/>
      <c r="T635" s="17"/>
      <c r="U635" s="17"/>
      <c r="V635" s="17"/>
      <c r="W635" s="17"/>
      <c r="X635" s="13"/>
      <c r="AC635" s="15"/>
      <c r="AD635" s="16"/>
      <c r="AE635" s="16"/>
      <c r="AF635" s="16"/>
      <c r="AG635" s="16"/>
      <c r="AH635" s="13"/>
      <c r="AL635" s="18"/>
    </row>
    <row r="636" ht="15.75" customHeight="1">
      <c r="C636" s="12"/>
      <c r="D636" s="13"/>
      <c r="E636" s="14"/>
      <c r="I636" s="15"/>
      <c r="J636" s="16"/>
      <c r="K636" s="16"/>
      <c r="L636" s="16"/>
      <c r="M636" s="16"/>
      <c r="N636" s="13"/>
      <c r="S636" s="15"/>
      <c r="T636" s="17"/>
      <c r="U636" s="17"/>
      <c r="V636" s="17"/>
      <c r="W636" s="17"/>
      <c r="X636" s="13"/>
      <c r="AC636" s="15"/>
      <c r="AD636" s="16"/>
      <c r="AE636" s="16"/>
      <c r="AF636" s="16"/>
      <c r="AG636" s="16"/>
      <c r="AH636" s="13"/>
      <c r="AL636" s="18"/>
    </row>
    <row r="637" ht="15.75" customHeight="1">
      <c r="C637" s="12"/>
      <c r="D637" s="13"/>
      <c r="E637" s="14"/>
      <c r="I637" s="15"/>
      <c r="J637" s="16"/>
      <c r="K637" s="16"/>
      <c r="L637" s="16"/>
      <c r="M637" s="16"/>
      <c r="N637" s="13"/>
      <c r="S637" s="15"/>
      <c r="T637" s="17"/>
      <c r="U637" s="17"/>
      <c r="V637" s="17"/>
      <c r="W637" s="17"/>
      <c r="X637" s="13"/>
      <c r="AC637" s="15"/>
      <c r="AD637" s="16"/>
      <c r="AE637" s="16"/>
      <c r="AF637" s="16"/>
      <c r="AG637" s="16"/>
      <c r="AH637" s="13"/>
      <c r="AL637" s="18"/>
    </row>
    <row r="638" ht="15.75" customHeight="1">
      <c r="C638" s="12"/>
      <c r="D638" s="13"/>
      <c r="E638" s="14"/>
      <c r="I638" s="15"/>
      <c r="J638" s="16"/>
      <c r="K638" s="16"/>
      <c r="L638" s="16"/>
      <c r="M638" s="16"/>
      <c r="N638" s="13"/>
      <c r="S638" s="15"/>
      <c r="T638" s="17"/>
      <c r="U638" s="17"/>
      <c r="V638" s="17"/>
      <c r="W638" s="17"/>
      <c r="X638" s="13"/>
      <c r="AC638" s="15"/>
      <c r="AD638" s="16"/>
      <c r="AE638" s="16"/>
      <c r="AF638" s="16"/>
      <c r="AG638" s="16"/>
      <c r="AH638" s="13"/>
      <c r="AL638" s="18"/>
    </row>
    <row r="639" ht="15.75" customHeight="1">
      <c r="C639" s="12"/>
      <c r="D639" s="13"/>
      <c r="E639" s="14"/>
      <c r="I639" s="15"/>
      <c r="J639" s="16"/>
      <c r="K639" s="16"/>
      <c r="L639" s="16"/>
      <c r="M639" s="16"/>
      <c r="N639" s="13"/>
      <c r="S639" s="15"/>
      <c r="T639" s="17"/>
      <c r="U639" s="17"/>
      <c r="V639" s="17"/>
      <c r="W639" s="17"/>
      <c r="X639" s="13"/>
      <c r="AC639" s="15"/>
      <c r="AD639" s="16"/>
      <c r="AE639" s="16"/>
      <c r="AF639" s="16"/>
      <c r="AG639" s="16"/>
      <c r="AH639" s="13"/>
      <c r="AL639" s="18"/>
    </row>
    <row r="640" ht="15.75" customHeight="1">
      <c r="C640" s="12"/>
      <c r="D640" s="13"/>
      <c r="E640" s="14"/>
      <c r="I640" s="15"/>
      <c r="J640" s="16"/>
      <c r="K640" s="16"/>
      <c r="L640" s="16"/>
      <c r="M640" s="16"/>
      <c r="N640" s="13"/>
      <c r="S640" s="15"/>
      <c r="T640" s="17"/>
      <c r="U640" s="17"/>
      <c r="V640" s="17"/>
      <c r="W640" s="17"/>
      <c r="X640" s="13"/>
      <c r="AC640" s="15"/>
      <c r="AD640" s="16"/>
      <c r="AE640" s="16"/>
      <c r="AF640" s="16"/>
      <c r="AG640" s="16"/>
      <c r="AH640" s="13"/>
      <c r="AL640" s="18"/>
    </row>
    <row r="641" ht="15.75" customHeight="1">
      <c r="C641" s="12"/>
      <c r="D641" s="13"/>
      <c r="E641" s="14"/>
      <c r="I641" s="15"/>
      <c r="J641" s="16"/>
      <c r="K641" s="16"/>
      <c r="L641" s="16"/>
      <c r="M641" s="16"/>
      <c r="N641" s="13"/>
      <c r="S641" s="15"/>
      <c r="T641" s="17"/>
      <c r="U641" s="17"/>
      <c r="V641" s="17"/>
      <c r="W641" s="17"/>
      <c r="X641" s="13"/>
      <c r="AC641" s="15"/>
      <c r="AD641" s="16"/>
      <c r="AE641" s="16"/>
      <c r="AF641" s="16"/>
      <c r="AG641" s="16"/>
      <c r="AH641" s="13"/>
      <c r="AL641" s="18"/>
    </row>
    <row r="642" ht="15.75" customHeight="1">
      <c r="C642" s="12"/>
      <c r="D642" s="13"/>
      <c r="E642" s="14"/>
      <c r="I642" s="15"/>
      <c r="J642" s="16"/>
      <c r="K642" s="16"/>
      <c r="L642" s="16"/>
      <c r="M642" s="16"/>
      <c r="N642" s="13"/>
      <c r="S642" s="15"/>
      <c r="T642" s="17"/>
      <c r="U642" s="17"/>
      <c r="V642" s="17"/>
      <c r="W642" s="17"/>
      <c r="X642" s="13"/>
      <c r="AC642" s="15"/>
      <c r="AD642" s="16"/>
      <c r="AE642" s="16"/>
      <c r="AF642" s="16"/>
      <c r="AG642" s="16"/>
      <c r="AH642" s="13"/>
      <c r="AL642" s="18"/>
    </row>
    <row r="643" ht="15.75" customHeight="1">
      <c r="C643" s="12"/>
      <c r="D643" s="13"/>
      <c r="E643" s="14"/>
      <c r="I643" s="15"/>
      <c r="J643" s="16"/>
      <c r="K643" s="16"/>
      <c r="L643" s="16"/>
      <c r="M643" s="16"/>
      <c r="N643" s="13"/>
      <c r="S643" s="15"/>
      <c r="T643" s="17"/>
      <c r="U643" s="17"/>
      <c r="V643" s="17"/>
      <c r="W643" s="17"/>
      <c r="X643" s="13"/>
      <c r="AC643" s="15"/>
      <c r="AD643" s="16"/>
      <c r="AE643" s="16"/>
      <c r="AF643" s="16"/>
      <c r="AG643" s="16"/>
      <c r="AH643" s="13"/>
      <c r="AL643" s="18"/>
    </row>
    <row r="644" ht="15.75" customHeight="1">
      <c r="C644" s="12"/>
      <c r="D644" s="13"/>
      <c r="E644" s="14"/>
      <c r="I644" s="15"/>
      <c r="J644" s="16"/>
      <c r="K644" s="16"/>
      <c r="L644" s="16"/>
      <c r="M644" s="16"/>
      <c r="N644" s="13"/>
      <c r="S644" s="15"/>
      <c r="T644" s="17"/>
      <c r="U644" s="17"/>
      <c r="V644" s="17"/>
      <c r="W644" s="17"/>
      <c r="X644" s="13"/>
      <c r="AC644" s="15"/>
      <c r="AD644" s="16"/>
      <c r="AE644" s="16"/>
      <c r="AF644" s="16"/>
      <c r="AG644" s="16"/>
      <c r="AH644" s="13"/>
      <c r="AL644" s="18"/>
    </row>
    <row r="645" ht="15.75" customHeight="1">
      <c r="C645" s="12"/>
      <c r="D645" s="13"/>
      <c r="E645" s="14"/>
      <c r="I645" s="15"/>
      <c r="J645" s="16"/>
      <c r="K645" s="16"/>
      <c r="L645" s="16"/>
      <c r="M645" s="16"/>
      <c r="N645" s="13"/>
      <c r="S645" s="15"/>
      <c r="T645" s="17"/>
      <c r="U645" s="17"/>
      <c r="V645" s="17"/>
      <c r="W645" s="17"/>
      <c r="X645" s="13"/>
      <c r="AC645" s="15"/>
      <c r="AD645" s="16"/>
      <c r="AE645" s="16"/>
      <c r="AF645" s="16"/>
      <c r="AG645" s="16"/>
      <c r="AH645" s="13"/>
      <c r="AL645" s="18"/>
    </row>
    <row r="646" ht="15.75" customHeight="1">
      <c r="C646" s="12"/>
      <c r="D646" s="13"/>
      <c r="E646" s="14"/>
      <c r="I646" s="15"/>
      <c r="J646" s="16"/>
      <c r="K646" s="16"/>
      <c r="L646" s="16"/>
      <c r="M646" s="16"/>
      <c r="N646" s="13"/>
      <c r="S646" s="15"/>
      <c r="T646" s="17"/>
      <c r="U646" s="17"/>
      <c r="V646" s="17"/>
      <c r="W646" s="17"/>
      <c r="X646" s="13"/>
      <c r="AC646" s="15"/>
      <c r="AD646" s="16"/>
      <c r="AE646" s="16"/>
      <c r="AF646" s="16"/>
      <c r="AG646" s="16"/>
      <c r="AH646" s="13"/>
      <c r="AL646" s="18"/>
    </row>
    <row r="647" ht="15.75" customHeight="1">
      <c r="C647" s="12"/>
      <c r="D647" s="13"/>
      <c r="E647" s="14"/>
      <c r="I647" s="15"/>
      <c r="J647" s="16"/>
      <c r="K647" s="16"/>
      <c r="L647" s="16"/>
      <c r="M647" s="16"/>
      <c r="N647" s="13"/>
      <c r="S647" s="15"/>
      <c r="T647" s="17"/>
      <c r="U647" s="17"/>
      <c r="V647" s="17"/>
      <c r="W647" s="17"/>
      <c r="X647" s="13"/>
      <c r="AC647" s="15"/>
      <c r="AD647" s="16"/>
      <c r="AE647" s="16"/>
      <c r="AF647" s="16"/>
      <c r="AG647" s="16"/>
      <c r="AH647" s="13"/>
      <c r="AL647" s="18"/>
    </row>
    <row r="648" ht="15.75" customHeight="1">
      <c r="C648" s="12"/>
      <c r="D648" s="13"/>
      <c r="E648" s="14"/>
      <c r="I648" s="15"/>
      <c r="J648" s="16"/>
      <c r="K648" s="16"/>
      <c r="L648" s="16"/>
      <c r="M648" s="16"/>
      <c r="N648" s="13"/>
      <c r="S648" s="15"/>
      <c r="T648" s="17"/>
      <c r="U648" s="17"/>
      <c r="V648" s="17"/>
      <c r="W648" s="17"/>
      <c r="X648" s="13"/>
      <c r="AC648" s="15"/>
      <c r="AD648" s="16"/>
      <c r="AE648" s="16"/>
      <c r="AF648" s="16"/>
      <c r="AG648" s="16"/>
      <c r="AH648" s="13"/>
      <c r="AL648" s="18"/>
    </row>
    <row r="649" ht="15.75" customHeight="1">
      <c r="C649" s="12"/>
      <c r="D649" s="13"/>
      <c r="E649" s="14"/>
      <c r="I649" s="15"/>
      <c r="J649" s="16"/>
      <c r="K649" s="16"/>
      <c r="L649" s="16"/>
      <c r="M649" s="16"/>
      <c r="N649" s="13"/>
      <c r="S649" s="15"/>
      <c r="T649" s="17"/>
      <c r="U649" s="17"/>
      <c r="V649" s="17"/>
      <c r="W649" s="17"/>
      <c r="X649" s="13"/>
      <c r="AC649" s="15"/>
      <c r="AD649" s="16"/>
      <c r="AE649" s="16"/>
      <c r="AF649" s="16"/>
      <c r="AG649" s="16"/>
      <c r="AH649" s="13"/>
      <c r="AL649" s="18"/>
    </row>
    <row r="650" ht="15.75" customHeight="1">
      <c r="C650" s="12"/>
      <c r="D650" s="13"/>
      <c r="E650" s="14"/>
      <c r="I650" s="15"/>
      <c r="J650" s="16"/>
      <c r="K650" s="16"/>
      <c r="L650" s="16"/>
      <c r="M650" s="16"/>
      <c r="N650" s="13"/>
      <c r="S650" s="15"/>
      <c r="T650" s="17"/>
      <c r="U650" s="17"/>
      <c r="V650" s="17"/>
      <c r="W650" s="17"/>
      <c r="X650" s="13"/>
      <c r="AC650" s="15"/>
      <c r="AD650" s="16"/>
      <c r="AE650" s="16"/>
      <c r="AF650" s="16"/>
      <c r="AG650" s="16"/>
      <c r="AH650" s="13"/>
      <c r="AL650" s="18"/>
    </row>
    <row r="651" ht="15.75" customHeight="1">
      <c r="C651" s="12"/>
      <c r="D651" s="13"/>
      <c r="E651" s="14"/>
      <c r="I651" s="15"/>
      <c r="J651" s="16"/>
      <c r="K651" s="16"/>
      <c r="L651" s="16"/>
      <c r="M651" s="16"/>
      <c r="N651" s="13"/>
      <c r="S651" s="15"/>
      <c r="T651" s="17"/>
      <c r="U651" s="17"/>
      <c r="V651" s="17"/>
      <c r="W651" s="17"/>
      <c r="X651" s="13"/>
      <c r="AC651" s="15"/>
      <c r="AD651" s="16"/>
      <c r="AE651" s="16"/>
      <c r="AF651" s="16"/>
      <c r="AG651" s="16"/>
      <c r="AH651" s="13"/>
      <c r="AL651" s="18"/>
    </row>
    <row r="652" ht="15.75" customHeight="1">
      <c r="C652" s="12"/>
      <c r="D652" s="13"/>
      <c r="E652" s="14"/>
      <c r="I652" s="15"/>
      <c r="J652" s="16"/>
      <c r="K652" s="16"/>
      <c r="L652" s="16"/>
      <c r="M652" s="16"/>
      <c r="N652" s="13"/>
      <c r="S652" s="15"/>
      <c r="T652" s="17"/>
      <c r="U652" s="17"/>
      <c r="V652" s="17"/>
      <c r="W652" s="17"/>
      <c r="X652" s="13"/>
      <c r="AC652" s="15"/>
      <c r="AD652" s="16"/>
      <c r="AE652" s="16"/>
      <c r="AF652" s="16"/>
      <c r="AG652" s="16"/>
      <c r="AH652" s="13"/>
      <c r="AL652" s="18"/>
    </row>
    <row r="653" ht="15.75" customHeight="1">
      <c r="C653" s="12"/>
      <c r="D653" s="13"/>
      <c r="E653" s="14"/>
      <c r="I653" s="15"/>
      <c r="J653" s="16"/>
      <c r="K653" s="16"/>
      <c r="L653" s="16"/>
      <c r="M653" s="16"/>
      <c r="N653" s="13"/>
      <c r="S653" s="15"/>
      <c r="T653" s="17"/>
      <c r="U653" s="17"/>
      <c r="V653" s="17"/>
      <c r="W653" s="17"/>
      <c r="X653" s="13"/>
      <c r="AC653" s="15"/>
      <c r="AD653" s="16"/>
      <c r="AE653" s="16"/>
      <c r="AF653" s="16"/>
      <c r="AG653" s="16"/>
      <c r="AH653" s="13"/>
      <c r="AL653" s="18"/>
    </row>
    <row r="654" ht="15.75" customHeight="1">
      <c r="C654" s="12"/>
      <c r="D654" s="13"/>
      <c r="E654" s="14"/>
      <c r="I654" s="15"/>
      <c r="J654" s="16"/>
      <c r="K654" s="16"/>
      <c r="L654" s="16"/>
      <c r="M654" s="16"/>
      <c r="N654" s="13"/>
      <c r="S654" s="15"/>
      <c r="T654" s="17"/>
      <c r="U654" s="17"/>
      <c r="V654" s="17"/>
      <c r="W654" s="17"/>
      <c r="X654" s="13"/>
      <c r="AC654" s="15"/>
      <c r="AD654" s="16"/>
      <c r="AE654" s="16"/>
      <c r="AF654" s="16"/>
      <c r="AG654" s="16"/>
      <c r="AH654" s="13"/>
      <c r="AL654" s="18"/>
    </row>
    <row r="655" ht="15.75" customHeight="1">
      <c r="C655" s="12"/>
      <c r="D655" s="13"/>
      <c r="E655" s="14"/>
      <c r="I655" s="15"/>
      <c r="J655" s="16"/>
      <c r="K655" s="16"/>
      <c r="L655" s="16"/>
      <c r="M655" s="16"/>
      <c r="N655" s="13"/>
      <c r="S655" s="15"/>
      <c r="T655" s="17"/>
      <c r="U655" s="17"/>
      <c r="V655" s="17"/>
      <c r="W655" s="17"/>
      <c r="X655" s="13"/>
      <c r="AC655" s="15"/>
      <c r="AD655" s="16"/>
      <c r="AE655" s="16"/>
      <c r="AF655" s="16"/>
      <c r="AG655" s="16"/>
      <c r="AH655" s="13"/>
      <c r="AL655" s="18"/>
    </row>
    <row r="656" ht="15.75" customHeight="1">
      <c r="C656" s="12"/>
      <c r="D656" s="13"/>
      <c r="E656" s="14"/>
      <c r="I656" s="15"/>
      <c r="J656" s="16"/>
      <c r="K656" s="16"/>
      <c r="L656" s="16"/>
      <c r="M656" s="16"/>
      <c r="N656" s="13"/>
      <c r="S656" s="15"/>
      <c r="T656" s="17"/>
      <c r="U656" s="17"/>
      <c r="V656" s="17"/>
      <c r="W656" s="17"/>
      <c r="X656" s="13"/>
      <c r="AC656" s="15"/>
      <c r="AD656" s="16"/>
      <c r="AE656" s="16"/>
      <c r="AF656" s="16"/>
      <c r="AG656" s="16"/>
      <c r="AH656" s="13"/>
      <c r="AL656" s="18"/>
    </row>
    <row r="657" ht="15.75" customHeight="1">
      <c r="C657" s="12"/>
      <c r="D657" s="13"/>
      <c r="E657" s="14"/>
      <c r="I657" s="15"/>
      <c r="J657" s="16"/>
      <c r="K657" s="16"/>
      <c r="L657" s="16"/>
      <c r="M657" s="16"/>
      <c r="N657" s="13"/>
      <c r="S657" s="15"/>
      <c r="T657" s="17"/>
      <c r="U657" s="17"/>
      <c r="V657" s="17"/>
      <c r="W657" s="17"/>
      <c r="X657" s="13"/>
      <c r="AC657" s="15"/>
      <c r="AD657" s="16"/>
      <c r="AE657" s="16"/>
      <c r="AF657" s="16"/>
      <c r="AG657" s="16"/>
      <c r="AH657" s="13"/>
      <c r="AL657" s="18"/>
    </row>
    <row r="658" ht="15.75" customHeight="1">
      <c r="C658" s="12"/>
      <c r="D658" s="13"/>
      <c r="E658" s="14"/>
      <c r="I658" s="15"/>
      <c r="J658" s="16"/>
      <c r="K658" s="16"/>
      <c r="L658" s="16"/>
      <c r="M658" s="16"/>
      <c r="N658" s="13"/>
      <c r="S658" s="15"/>
      <c r="T658" s="17"/>
      <c r="U658" s="17"/>
      <c r="V658" s="17"/>
      <c r="W658" s="17"/>
      <c r="X658" s="13"/>
      <c r="AC658" s="15"/>
      <c r="AD658" s="16"/>
      <c r="AE658" s="16"/>
      <c r="AF658" s="16"/>
      <c r="AG658" s="16"/>
      <c r="AH658" s="13"/>
      <c r="AL658" s="18"/>
    </row>
    <row r="659" ht="15.75" customHeight="1">
      <c r="C659" s="12"/>
      <c r="D659" s="13"/>
      <c r="E659" s="14"/>
      <c r="I659" s="15"/>
      <c r="J659" s="16"/>
      <c r="K659" s="16"/>
      <c r="L659" s="16"/>
      <c r="M659" s="16"/>
      <c r="N659" s="13"/>
      <c r="S659" s="15"/>
      <c r="T659" s="17"/>
      <c r="U659" s="17"/>
      <c r="V659" s="17"/>
      <c r="W659" s="17"/>
      <c r="X659" s="13"/>
      <c r="AC659" s="15"/>
      <c r="AD659" s="16"/>
      <c r="AE659" s="16"/>
      <c r="AF659" s="16"/>
      <c r="AG659" s="16"/>
      <c r="AH659" s="13"/>
      <c r="AL659" s="18"/>
    </row>
    <row r="660" ht="15.75" customHeight="1">
      <c r="C660" s="12"/>
      <c r="D660" s="13"/>
      <c r="E660" s="14"/>
      <c r="I660" s="15"/>
      <c r="J660" s="16"/>
      <c r="K660" s="16"/>
      <c r="L660" s="16"/>
      <c r="M660" s="16"/>
      <c r="N660" s="13"/>
      <c r="S660" s="15"/>
      <c r="T660" s="17"/>
      <c r="U660" s="17"/>
      <c r="V660" s="17"/>
      <c r="W660" s="17"/>
      <c r="X660" s="13"/>
      <c r="AC660" s="15"/>
      <c r="AD660" s="16"/>
      <c r="AE660" s="16"/>
      <c r="AF660" s="16"/>
      <c r="AG660" s="16"/>
      <c r="AH660" s="13"/>
      <c r="AL660" s="18"/>
    </row>
    <row r="661" ht="15.75" customHeight="1">
      <c r="C661" s="12"/>
      <c r="D661" s="13"/>
      <c r="E661" s="14"/>
      <c r="I661" s="15"/>
      <c r="J661" s="16"/>
      <c r="K661" s="16"/>
      <c r="L661" s="16"/>
      <c r="M661" s="16"/>
      <c r="N661" s="13"/>
      <c r="S661" s="15"/>
      <c r="T661" s="17"/>
      <c r="U661" s="17"/>
      <c r="V661" s="17"/>
      <c r="W661" s="17"/>
      <c r="X661" s="13"/>
      <c r="AC661" s="15"/>
      <c r="AD661" s="16"/>
      <c r="AE661" s="16"/>
      <c r="AF661" s="16"/>
      <c r="AG661" s="16"/>
      <c r="AH661" s="13"/>
      <c r="AL661" s="18"/>
    </row>
    <row r="662" ht="15.75" customHeight="1">
      <c r="C662" s="12"/>
      <c r="D662" s="13"/>
      <c r="E662" s="14"/>
      <c r="I662" s="15"/>
      <c r="J662" s="16"/>
      <c r="K662" s="16"/>
      <c r="L662" s="16"/>
      <c r="M662" s="16"/>
      <c r="N662" s="13"/>
      <c r="S662" s="15"/>
      <c r="T662" s="17"/>
      <c r="U662" s="17"/>
      <c r="V662" s="17"/>
      <c r="W662" s="17"/>
      <c r="X662" s="13"/>
      <c r="AC662" s="15"/>
      <c r="AD662" s="16"/>
      <c r="AE662" s="16"/>
      <c r="AF662" s="16"/>
      <c r="AG662" s="16"/>
      <c r="AH662" s="13"/>
      <c r="AL662" s="18"/>
    </row>
    <row r="663" ht="15.75" customHeight="1">
      <c r="C663" s="12"/>
      <c r="D663" s="13"/>
      <c r="E663" s="14"/>
      <c r="I663" s="15"/>
      <c r="J663" s="16"/>
      <c r="K663" s="16"/>
      <c r="L663" s="16"/>
      <c r="M663" s="16"/>
      <c r="N663" s="13"/>
      <c r="S663" s="15"/>
      <c r="T663" s="17"/>
      <c r="U663" s="17"/>
      <c r="V663" s="17"/>
      <c r="W663" s="17"/>
      <c r="X663" s="13"/>
      <c r="AC663" s="15"/>
      <c r="AD663" s="16"/>
      <c r="AE663" s="16"/>
      <c r="AF663" s="16"/>
      <c r="AG663" s="16"/>
      <c r="AH663" s="13"/>
      <c r="AL663" s="18"/>
    </row>
    <row r="664" ht="15.75" customHeight="1">
      <c r="C664" s="12"/>
      <c r="D664" s="13"/>
      <c r="E664" s="14"/>
      <c r="I664" s="15"/>
      <c r="J664" s="16"/>
      <c r="K664" s="16"/>
      <c r="L664" s="16"/>
      <c r="M664" s="16"/>
      <c r="N664" s="13"/>
      <c r="S664" s="15"/>
      <c r="T664" s="17"/>
      <c r="U664" s="17"/>
      <c r="V664" s="17"/>
      <c r="W664" s="17"/>
      <c r="X664" s="13"/>
      <c r="AC664" s="15"/>
      <c r="AD664" s="16"/>
      <c r="AE664" s="16"/>
      <c r="AF664" s="16"/>
      <c r="AG664" s="16"/>
      <c r="AH664" s="13"/>
      <c r="AL664" s="18"/>
    </row>
    <row r="665" ht="15.75" customHeight="1">
      <c r="C665" s="12"/>
      <c r="D665" s="13"/>
      <c r="E665" s="14"/>
      <c r="I665" s="15"/>
      <c r="J665" s="16"/>
      <c r="K665" s="16"/>
      <c r="L665" s="16"/>
      <c r="M665" s="16"/>
      <c r="N665" s="13"/>
      <c r="S665" s="15"/>
      <c r="T665" s="17"/>
      <c r="U665" s="17"/>
      <c r="V665" s="17"/>
      <c r="W665" s="17"/>
      <c r="X665" s="13"/>
      <c r="AC665" s="15"/>
      <c r="AD665" s="16"/>
      <c r="AE665" s="16"/>
      <c r="AF665" s="16"/>
      <c r="AG665" s="16"/>
      <c r="AH665" s="13"/>
      <c r="AL665" s="18"/>
    </row>
    <row r="666" ht="15.75" customHeight="1">
      <c r="C666" s="12"/>
      <c r="D666" s="13"/>
      <c r="E666" s="14"/>
      <c r="I666" s="15"/>
      <c r="J666" s="16"/>
      <c r="K666" s="16"/>
      <c r="L666" s="16"/>
      <c r="M666" s="16"/>
      <c r="N666" s="13"/>
      <c r="S666" s="15"/>
      <c r="T666" s="17"/>
      <c r="U666" s="17"/>
      <c r="V666" s="17"/>
      <c r="W666" s="17"/>
      <c r="X666" s="13"/>
      <c r="AC666" s="15"/>
      <c r="AD666" s="16"/>
      <c r="AE666" s="16"/>
      <c r="AF666" s="16"/>
      <c r="AG666" s="16"/>
      <c r="AH666" s="13"/>
      <c r="AL666" s="18"/>
    </row>
    <row r="667" ht="15.75" customHeight="1">
      <c r="C667" s="12"/>
      <c r="D667" s="13"/>
      <c r="E667" s="14"/>
      <c r="I667" s="15"/>
      <c r="J667" s="16"/>
      <c r="K667" s="16"/>
      <c r="L667" s="16"/>
      <c r="M667" s="16"/>
      <c r="N667" s="13"/>
      <c r="S667" s="15"/>
      <c r="T667" s="17"/>
      <c r="U667" s="17"/>
      <c r="V667" s="17"/>
      <c r="W667" s="17"/>
      <c r="X667" s="13"/>
      <c r="AC667" s="15"/>
      <c r="AD667" s="16"/>
      <c r="AE667" s="16"/>
      <c r="AF667" s="16"/>
      <c r="AG667" s="16"/>
      <c r="AH667" s="13"/>
      <c r="AL667" s="18"/>
    </row>
    <row r="668" ht="15.75" customHeight="1">
      <c r="C668" s="12"/>
      <c r="D668" s="13"/>
      <c r="E668" s="14"/>
      <c r="I668" s="15"/>
      <c r="J668" s="16"/>
      <c r="K668" s="16"/>
      <c r="L668" s="16"/>
      <c r="M668" s="16"/>
      <c r="N668" s="13"/>
      <c r="S668" s="15"/>
      <c r="T668" s="17"/>
      <c r="U668" s="17"/>
      <c r="V668" s="17"/>
      <c r="W668" s="17"/>
      <c r="X668" s="13"/>
      <c r="AC668" s="15"/>
      <c r="AD668" s="16"/>
      <c r="AE668" s="16"/>
      <c r="AF668" s="16"/>
      <c r="AG668" s="16"/>
      <c r="AH668" s="13"/>
      <c r="AL668" s="18"/>
    </row>
    <row r="669" ht="15.75" customHeight="1">
      <c r="C669" s="12"/>
      <c r="D669" s="13"/>
      <c r="E669" s="14"/>
      <c r="I669" s="15"/>
      <c r="J669" s="16"/>
      <c r="K669" s="16"/>
      <c r="L669" s="16"/>
      <c r="M669" s="16"/>
      <c r="N669" s="13"/>
      <c r="S669" s="15"/>
      <c r="T669" s="17"/>
      <c r="U669" s="17"/>
      <c r="V669" s="17"/>
      <c r="W669" s="17"/>
      <c r="X669" s="13"/>
      <c r="AC669" s="15"/>
      <c r="AD669" s="16"/>
      <c r="AE669" s="16"/>
      <c r="AF669" s="16"/>
      <c r="AG669" s="16"/>
      <c r="AH669" s="13"/>
      <c r="AL669" s="18"/>
    </row>
    <row r="670" ht="15.75" customHeight="1">
      <c r="C670" s="12"/>
      <c r="D670" s="13"/>
      <c r="E670" s="14"/>
      <c r="I670" s="15"/>
      <c r="J670" s="16"/>
      <c r="K670" s="16"/>
      <c r="L670" s="16"/>
      <c r="M670" s="16"/>
      <c r="N670" s="13"/>
      <c r="S670" s="15"/>
      <c r="T670" s="17"/>
      <c r="U670" s="17"/>
      <c r="V670" s="17"/>
      <c r="W670" s="17"/>
      <c r="X670" s="13"/>
      <c r="AC670" s="15"/>
      <c r="AD670" s="16"/>
      <c r="AE670" s="16"/>
      <c r="AF670" s="16"/>
      <c r="AG670" s="16"/>
      <c r="AH670" s="13"/>
      <c r="AL670" s="18"/>
    </row>
    <row r="671" ht="15.75" customHeight="1">
      <c r="C671" s="12"/>
      <c r="D671" s="13"/>
      <c r="E671" s="14"/>
      <c r="I671" s="15"/>
      <c r="J671" s="16"/>
      <c r="K671" s="16"/>
      <c r="L671" s="16"/>
      <c r="M671" s="16"/>
      <c r="N671" s="13"/>
      <c r="S671" s="15"/>
      <c r="T671" s="17"/>
      <c r="U671" s="17"/>
      <c r="V671" s="17"/>
      <c r="W671" s="17"/>
      <c r="X671" s="13"/>
      <c r="AC671" s="15"/>
      <c r="AD671" s="16"/>
      <c r="AE671" s="16"/>
      <c r="AF671" s="16"/>
      <c r="AG671" s="16"/>
      <c r="AH671" s="13"/>
      <c r="AL671" s="18"/>
    </row>
    <row r="672" ht="15.75" customHeight="1">
      <c r="C672" s="12"/>
      <c r="D672" s="13"/>
      <c r="E672" s="14"/>
      <c r="I672" s="15"/>
      <c r="J672" s="16"/>
      <c r="K672" s="16"/>
      <c r="L672" s="16"/>
      <c r="M672" s="16"/>
      <c r="N672" s="13"/>
      <c r="S672" s="15"/>
      <c r="T672" s="17"/>
      <c r="U672" s="17"/>
      <c r="V672" s="17"/>
      <c r="W672" s="17"/>
      <c r="X672" s="13"/>
      <c r="AC672" s="15"/>
      <c r="AD672" s="16"/>
      <c r="AE672" s="16"/>
      <c r="AF672" s="16"/>
      <c r="AG672" s="16"/>
      <c r="AH672" s="13"/>
      <c r="AL672" s="18"/>
    </row>
    <row r="673" ht="15.75" customHeight="1">
      <c r="C673" s="12"/>
      <c r="D673" s="13"/>
      <c r="E673" s="14"/>
      <c r="I673" s="15"/>
      <c r="J673" s="16"/>
      <c r="K673" s="16"/>
      <c r="L673" s="16"/>
      <c r="M673" s="16"/>
      <c r="N673" s="13"/>
      <c r="S673" s="15"/>
      <c r="T673" s="17"/>
      <c r="U673" s="17"/>
      <c r="V673" s="17"/>
      <c r="W673" s="17"/>
      <c r="X673" s="13"/>
      <c r="AC673" s="15"/>
      <c r="AD673" s="16"/>
      <c r="AE673" s="16"/>
      <c r="AF673" s="16"/>
      <c r="AG673" s="16"/>
      <c r="AH673" s="13"/>
      <c r="AL673" s="18"/>
    </row>
    <row r="674" ht="15.75" customHeight="1">
      <c r="C674" s="12"/>
      <c r="D674" s="13"/>
      <c r="E674" s="14"/>
      <c r="I674" s="15"/>
      <c r="J674" s="16"/>
      <c r="K674" s="16"/>
      <c r="L674" s="16"/>
      <c r="M674" s="16"/>
      <c r="N674" s="13"/>
      <c r="S674" s="15"/>
      <c r="T674" s="17"/>
      <c r="U674" s="17"/>
      <c r="V674" s="17"/>
      <c r="W674" s="17"/>
      <c r="X674" s="13"/>
      <c r="AC674" s="15"/>
      <c r="AD674" s="16"/>
      <c r="AE674" s="16"/>
      <c r="AF674" s="16"/>
      <c r="AG674" s="16"/>
      <c r="AH674" s="13"/>
      <c r="AL674" s="18"/>
    </row>
    <row r="675" ht="15.75" customHeight="1">
      <c r="C675" s="12"/>
      <c r="D675" s="13"/>
      <c r="E675" s="14"/>
      <c r="I675" s="15"/>
      <c r="J675" s="16"/>
      <c r="K675" s="16"/>
      <c r="L675" s="16"/>
      <c r="M675" s="16"/>
      <c r="N675" s="13"/>
      <c r="S675" s="15"/>
      <c r="T675" s="17"/>
      <c r="U675" s="17"/>
      <c r="V675" s="17"/>
      <c r="W675" s="17"/>
      <c r="X675" s="13"/>
      <c r="AC675" s="15"/>
      <c r="AD675" s="16"/>
      <c r="AE675" s="16"/>
      <c r="AF675" s="16"/>
      <c r="AG675" s="16"/>
      <c r="AH675" s="13"/>
      <c r="AL675" s="18"/>
    </row>
    <row r="676" ht="15.75" customHeight="1">
      <c r="C676" s="12"/>
      <c r="D676" s="13"/>
      <c r="E676" s="14"/>
      <c r="I676" s="15"/>
      <c r="J676" s="16"/>
      <c r="K676" s="16"/>
      <c r="L676" s="16"/>
      <c r="M676" s="16"/>
      <c r="N676" s="13"/>
      <c r="S676" s="15"/>
      <c r="T676" s="17"/>
      <c r="U676" s="17"/>
      <c r="V676" s="17"/>
      <c r="W676" s="17"/>
      <c r="X676" s="13"/>
      <c r="AC676" s="15"/>
      <c r="AD676" s="16"/>
      <c r="AE676" s="16"/>
      <c r="AF676" s="16"/>
      <c r="AG676" s="16"/>
      <c r="AH676" s="13"/>
      <c r="AL676" s="18"/>
    </row>
    <row r="677" ht="15.75" customHeight="1">
      <c r="C677" s="12"/>
      <c r="D677" s="13"/>
      <c r="E677" s="14"/>
      <c r="I677" s="15"/>
      <c r="J677" s="16"/>
      <c r="K677" s="16"/>
      <c r="L677" s="16"/>
      <c r="M677" s="16"/>
      <c r="N677" s="13"/>
      <c r="S677" s="15"/>
      <c r="T677" s="17"/>
      <c r="U677" s="17"/>
      <c r="V677" s="17"/>
      <c r="W677" s="17"/>
      <c r="X677" s="13"/>
      <c r="AC677" s="15"/>
      <c r="AD677" s="16"/>
      <c r="AE677" s="16"/>
      <c r="AF677" s="16"/>
      <c r="AG677" s="16"/>
      <c r="AH677" s="13"/>
      <c r="AL677" s="18"/>
    </row>
    <row r="678" ht="15.75" customHeight="1">
      <c r="C678" s="12"/>
      <c r="D678" s="13"/>
      <c r="E678" s="14"/>
      <c r="I678" s="15"/>
      <c r="J678" s="16"/>
      <c r="K678" s="16"/>
      <c r="L678" s="16"/>
      <c r="M678" s="16"/>
      <c r="N678" s="13"/>
      <c r="S678" s="15"/>
      <c r="T678" s="17"/>
      <c r="U678" s="17"/>
      <c r="V678" s="17"/>
      <c r="W678" s="17"/>
      <c r="X678" s="13"/>
      <c r="AC678" s="15"/>
      <c r="AD678" s="16"/>
      <c r="AE678" s="16"/>
      <c r="AF678" s="16"/>
      <c r="AG678" s="16"/>
      <c r="AH678" s="13"/>
      <c r="AL678" s="18"/>
    </row>
    <row r="679" ht="15.75" customHeight="1">
      <c r="C679" s="12"/>
      <c r="D679" s="13"/>
      <c r="E679" s="14"/>
      <c r="I679" s="15"/>
      <c r="J679" s="16"/>
      <c r="K679" s="16"/>
      <c r="L679" s="16"/>
      <c r="M679" s="16"/>
      <c r="N679" s="13"/>
      <c r="S679" s="15"/>
      <c r="T679" s="17"/>
      <c r="U679" s="17"/>
      <c r="V679" s="17"/>
      <c r="W679" s="17"/>
      <c r="X679" s="13"/>
      <c r="AC679" s="15"/>
      <c r="AD679" s="16"/>
      <c r="AE679" s="16"/>
      <c r="AF679" s="16"/>
      <c r="AG679" s="16"/>
      <c r="AH679" s="13"/>
      <c r="AL679" s="18"/>
    </row>
    <row r="680" ht="15.75" customHeight="1">
      <c r="C680" s="12"/>
      <c r="D680" s="13"/>
      <c r="E680" s="14"/>
      <c r="I680" s="15"/>
      <c r="J680" s="16"/>
      <c r="K680" s="16"/>
      <c r="L680" s="16"/>
      <c r="M680" s="16"/>
      <c r="N680" s="13"/>
      <c r="S680" s="15"/>
      <c r="T680" s="17"/>
      <c r="U680" s="17"/>
      <c r="V680" s="17"/>
      <c r="W680" s="17"/>
      <c r="X680" s="13"/>
      <c r="AC680" s="15"/>
      <c r="AD680" s="16"/>
      <c r="AE680" s="16"/>
      <c r="AF680" s="16"/>
      <c r="AG680" s="16"/>
      <c r="AH680" s="13"/>
      <c r="AL680" s="18"/>
    </row>
    <row r="681" ht="15.75" customHeight="1">
      <c r="C681" s="12"/>
      <c r="D681" s="13"/>
      <c r="E681" s="14"/>
      <c r="I681" s="15"/>
      <c r="J681" s="16"/>
      <c r="K681" s="16"/>
      <c r="L681" s="16"/>
      <c r="M681" s="16"/>
      <c r="N681" s="13"/>
      <c r="S681" s="15"/>
      <c r="T681" s="17"/>
      <c r="U681" s="17"/>
      <c r="V681" s="17"/>
      <c r="W681" s="17"/>
      <c r="X681" s="13"/>
      <c r="AC681" s="15"/>
      <c r="AD681" s="16"/>
      <c r="AE681" s="16"/>
      <c r="AF681" s="16"/>
      <c r="AG681" s="16"/>
      <c r="AH681" s="13"/>
      <c r="AL681" s="18"/>
    </row>
    <row r="682" ht="15.75" customHeight="1">
      <c r="C682" s="12"/>
      <c r="D682" s="13"/>
      <c r="E682" s="14"/>
      <c r="I682" s="15"/>
      <c r="J682" s="16"/>
      <c r="K682" s="16"/>
      <c r="L682" s="16"/>
      <c r="M682" s="16"/>
      <c r="N682" s="13"/>
      <c r="S682" s="15"/>
      <c r="T682" s="17"/>
      <c r="U682" s="17"/>
      <c r="V682" s="17"/>
      <c r="W682" s="17"/>
      <c r="X682" s="13"/>
      <c r="AC682" s="15"/>
      <c r="AD682" s="16"/>
      <c r="AE682" s="16"/>
      <c r="AF682" s="16"/>
      <c r="AG682" s="16"/>
      <c r="AH682" s="13"/>
      <c r="AL682" s="18"/>
    </row>
    <row r="683" ht="15.75" customHeight="1">
      <c r="C683" s="12"/>
      <c r="D683" s="13"/>
      <c r="E683" s="14"/>
      <c r="I683" s="15"/>
      <c r="J683" s="16"/>
      <c r="K683" s="16"/>
      <c r="L683" s="16"/>
      <c r="M683" s="16"/>
      <c r="N683" s="13"/>
      <c r="S683" s="15"/>
      <c r="T683" s="17"/>
      <c r="U683" s="17"/>
      <c r="V683" s="17"/>
      <c r="W683" s="17"/>
      <c r="X683" s="13"/>
      <c r="AC683" s="15"/>
      <c r="AD683" s="16"/>
      <c r="AE683" s="16"/>
      <c r="AF683" s="16"/>
      <c r="AG683" s="16"/>
      <c r="AH683" s="13"/>
      <c r="AL683" s="18"/>
    </row>
    <row r="684" ht="15.75" customHeight="1">
      <c r="C684" s="12"/>
      <c r="D684" s="13"/>
      <c r="E684" s="14"/>
      <c r="I684" s="15"/>
      <c r="J684" s="16"/>
      <c r="K684" s="16"/>
      <c r="L684" s="16"/>
      <c r="M684" s="16"/>
      <c r="N684" s="13"/>
      <c r="S684" s="15"/>
      <c r="T684" s="17"/>
      <c r="U684" s="17"/>
      <c r="V684" s="17"/>
      <c r="W684" s="17"/>
      <c r="X684" s="13"/>
      <c r="AC684" s="15"/>
      <c r="AD684" s="16"/>
      <c r="AE684" s="16"/>
      <c r="AF684" s="16"/>
      <c r="AG684" s="16"/>
      <c r="AH684" s="13"/>
      <c r="AL684" s="18"/>
    </row>
    <row r="685" ht="15.75" customHeight="1">
      <c r="C685" s="12"/>
      <c r="D685" s="13"/>
      <c r="E685" s="14"/>
      <c r="I685" s="15"/>
      <c r="J685" s="16"/>
      <c r="K685" s="16"/>
      <c r="L685" s="16"/>
      <c r="M685" s="16"/>
      <c r="N685" s="13"/>
      <c r="S685" s="15"/>
      <c r="T685" s="17"/>
      <c r="U685" s="17"/>
      <c r="V685" s="17"/>
      <c r="W685" s="17"/>
      <c r="X685" s="13"/>
      <c r="AC685" s="15"/>
      <c r="AD685" s="16"/>
      <c r="AE685" s="16"/>
      <c r="AF685" s="16"/>
      <c r="AG685" s="16"/>
      <c r="AH685" s="13"/>
      <c r="AL685" s="18"/>
    </row>
    <row r="686" ht="15.75" customHeight="1">
      <c r="C686" s="12"/>
      <c r="D686" s="13"/>
      <c r="E686" s="14"/>
      <c r="I686" s="15"/>
      <c r="J686" s="16"/>
      <c r="K686" s="16"/>
      <c r="L686" s="16"/>
      <c r="M686" s="16"/>
      <c r="N686" s="13"/>
      <c r="S686" s="15"/>
      <c r="T686" s="17"/>
      <c r="U686" s="17"/>
      <c r="V686" s="17"/>
      <c r="W686" s="17"/>
      <c r="X686" s="13"/>
      <c r="AC686" s="15"/>
      <c r="AD686" s="16"/>
      <c r="AE686" s="16"/>
      <c r="AF686" s="16"/>
      <c r="AG686" s="16"/>
      <c r="AH686" s="13"/>
      <c r="AL686" s="18"/>
    </row>
    <row r="687" ht="15.75" customHeight="1">
      <c r="C687" s="12"/>
      <c r="D687" s="13"/>
      <c r="E687" s="14"/>
      <c r="I687" s="15"/>
      <c r="J687" s="16"/>
      <c r="K687" s="16"/>
      <c r="L687" s="16"/>
      <c r="M687" s="16"/>
      <c r="N687" s="13"/>
      <c r="S687" s="15"/>
      <c r="T687" s="17"/>
      <c r="U687" s="17"/>
      <c r="V687" s="17"/>
      <c r="W687" s="17"/>
      <c r="X687" s="13"/>
      <c r="AC687" s="15"/>
      <c r="AD687" s="16"/>
      <c r="AE687" s="16"/>
      <c r="AF687" s="16"/>
      <c r="AG687" s="16"/>
      <c r="AH687" s="13"/>
      <c r="AL687" s="18"/>
    </row>
    <row r="688" ht="15.75" customHeight="1">
      <c r="C688" s="12"/>
      <c r="D688" s="13"/>
      <c r="E688" s="14"/>
      <c r="I688" s="15"/>
      <c r="J688" s="16"/>
      <c r="K688" s="16"/>
      <c r="L688" s="16"/>
      <c r="M688" s="16"/>
      <c r="N688" s="13"/>
      <c r="S688" s="15"/>
      <c r="T688" s="17"/>
      <c r="U688" s="17"/>
      <c r="V688" s="17"/>
      <c r="W688" s="17"/>
      <c r="X688" s="13"/>
      <c r="AC688" s="15"/>
      <c r="AD688" s="16"/>
      <c r="AE688" s="16"/>
      <c r="AF688" s="16"/>
      <c r="AG688" s="16"/>
      <c r="AH688" s="13"/>
      <c r="AL688" s="18"/>
    </row>
    <row r="689" ht="15.75" customHeight="1">
      <c r="C689" s="12"/>
      <c r="D689" s="13"/>
      <c r="E689" s="14"/>
      <c r="I689" s="15"/>
      <c r="J689" s="16"/>
      <c r="K689" s="16"/>
      <c r="L689" s="16"/>
      <c r="M689" s="16"/>
      <c r="N689" s="13"/>
      <c r="S689" s="15"/>
      <c r="T689" s="17"/>
      <c r="U689" s="17"/>
      <c r="V689" s="17"/>
      <c r="W689" s="17"/>
      <c r="X689" s="13"/>
      <c r="AC689" s="15"/>
      <c r="AD689" s="16"/>
      <c r="AE689" s="16"/>
      <c r="AF689" s="16"/>
      <c r="AG689" s="16"/>
      <c r="AH689" s="13"/>
      <c r="AL689" s="18"/>
    </row>
    <row r="690" ht="15.75" customHeight="1">
      <c r="C690" s="12"/>
      <c r="D690" s="13"/>
      <c r="E690" s="14"/>
      <c r="I690" s="15"/>
      <c r="J690" s="16"/>
      <c r="K690" s="16"/>
      <c r="L690" s="16"/>
      <c r="M690" s="16"/>
      <c r="N690" s="13"/>
      <c r="S690" s="15"/>
      <c r="T690" s="17"/>
      <c r="U690" s="17"/>
      <c r="V690" s="17"/>
      <c r="W690" s="17"/>
      <c r="X690" s="13"/>
      <c r="AC690" s="15"/>
      <c r="AD690" s="16"/>
      <c r="AE690" s="16"/>
      <c r="AF690" s="16"/>
      <c r="AG690" s="16"/>
      <c r="AH690" s="13"/>
      <c r="AL690" s="18"/>
    </row>
    <row r="691" ht="15.75" customHeight="1">
      <c r="C691" s="12"/>
      <c r="D691" s="13"/>
      <c r="E691" s="14"/>
      <c r="I691" s="15"/>
      <c r="J691" s="16"/>
      <c r="K691" s="16"/>
      <c r="L691" s="16"/>
      <c r="M691" s="16"/>
      <c r="N691" s="13"/>
      <c r="S691" s="15"/>
      <c r="T691" s="17"/>
      <c r="U691" s="17"/>
      <c r="V691" s="17"/>
      <c r="W691" s="17"/>
      <c r="X691" s="13"/>
      <c r="AC691" s="15"/>
      <c r="AD691" s="16"/>
      <c r="AE691" s="16"/>
      <c r="AF691" s="16"/>
      <c r="AG691" s="16"/>
      <c r="AH691" s="13"/>
      <c r="AL691" s="18"/>
    </row>
    <row r="692" ht="15.75" customHeight="1">
      <c r="C692" s="12"/>
      <c r="D692" s="13"/>
      <c r="E692" s="14"/>
      <c r="I692" s="15"/>
      <c r="J692" s="16"/>
      <c r="K692" s="16"/>
      <c r="L692" s="16"/>
      <c r="M692" s="16"/>
      <c r="N692" s="13"/>
      <c r="S692" s="15"/>
      <c r="T692" s="17"/>
      <c r="U692" s="17"/>
      <c r="V692" s="17"/>
      <c r="W692" s="17"/>
      <c r="X692" s="13"/>
      <c r="AC692" s="15"/>
      <c r="AD692" s="16"/>
      <c r="AE692" s="16"/>
      <c r="AF692" s="16"/>
      <c r="AG692" s="16"/>
      <c r="AH692" s="13"/>
      <c r="AL692" s="18"/>
    </row>
    <row r="693" ht="15.75" customHeight="1">
      <c r="C693" s="12"/>
      <c r="D693" s="13"/>
      <c r="E693" s="14"/>
      <c r="I693" s="15"/>
      <c r="J693" s="16"/>
      <c r="K693" s="16"/>
      <c r="L693" s="16"/>
      <c r="M693" s="16"/>
      <c r="N693" s="13"/>
      <c r="S693" s="15"/>
      <c r="T693" s="17"/>
      <c r="U693" s="17"/>
      <c r="V693" s="17"/>
      <c r="W693" s="17"/>
      <c r="X693" s="13"/>
      <c r="AC693" s="15"/>
      <c r="AD693" s="16"/>
      <c r="AE693" s="16"/>
      <c r="AF693" s="16"/>
      <c r="AG693" s="16"/>
      <c r="AH693" s="13"/>
      <c r="AL693" s="18"/>
    </row>
    <row r="694" ht="15.75" customHeight="1">
      <c r="C694" s="12"/>
      <c r="D694" s="13"/>
      <c r="E694" s="14"/>
      <c r="I694" s="15"/>
      <c r="J694" s="16"/>
      <c r="K694" s="16"/>
      <c r="L694" s="16"/>
      <c r="M694" s="16"/>
      <c r="N694" s="13"/>
      <c r="S694" s="15"/>
      <c r="T694" s="17"/>
      <c r="U694" s="17"/>
      <c r="V694" s="17"/>
      <c r="W694" s="17"/>
      <c r="X694" s="13"/>
      <c r="AC694" s="15"/>
      <c r="AD694" s="16"/>
      <c r="AE694" s="16"/>
      <c r="AF694" s="16"/>
      <c r="AG694" s="16"/>
      <c r="AH694" s="13"/>
      <c r="AL694" s="18"/>
    </row>
    <row r="695" ht="15.75" customHeight="1">
      <c r="C695" s="12"/>
      <c r="D695" s="13"/>
      <c r="E695" s="14"/>
      <c r="I695" s="15"/>
      <c r="J695" s="16"/>
      <c r="K695" s="16"/>
      <c r="L695" s="16"/>
      <c r="M695" s="16"/>
      <c r="N695" s="13"/>
      <c r="S695" s="15"/>
      <c r="T695" s="17"/>
      <c r="U695" s="17"/>
      <c r="V695" s="17"/>
      <c r="W695" s="17"/>
      <c r="X695" s="13"/>
      <c r="AC695" s="15"/>
      <c r="AD695" s="16"/>
      <c r="AE695" s="16"/>
      <c r="AF695" s="16"/>
      <c r="AG695" s="16"/>
      <c r="AH695" s="13"/>
      <c r="AL695" s="18"/>
    </row>
    <row r="696" ht="15.75" customHeight="1">
      <c r="C696" s="12"/>
      <c r="D696" s="13"/>
      <c r="E696" s="14"/>
      <c r="I696" s="15"/>
      <c r="J696" s="16"/>
      <c r="K696" s="16"/>
      <c r="L696" s="16"/>
      <c r="M696" s="16"/>
      <c r="N696" s="13"/>
      <c r="S696" s="15"/>
      <c r="T696" s="17"/>
      <c r="U696" s="17"/>
      <c r="V696" s="17"/>
      <c r="W696" s="17"/>
      <c r="X696" s="13"/>
      <c r="AC696" s="15"/>
      <c r="AD696" s="16"/>
      <c r="AE696" s="16"/>
      <c r="AF696" s="16"/>
      <c r="AG696" s="16"/>
      <c r="AH696" s="13"/>
      <c r="AL696" s="18"/>
    </row>
    <row r="697" ht="15.75" customHeight="1">
      <c r="C697" s="12"/>
      <c r="D697" s="13"/>
      <c r="E697" s="14"/>
      <c r="I697" s="15"/>
      <c r="J697" s="16"/>
      <c r="K697" s="16"/>
      <c r="L697" s="16"/>
      <c r="M697" s="16"/>
      <c r="N697" s="13"/>
      <c r="S697" s="15"/>
      <c r="T697" s="17"/>
      <c r="U697" s="17"/>
      <c r="V697" s="17"/>
      <c r="W697" s="17"/>
      <c r="X697" s="13"/>
      <c r="AC697" s="15"/>
      <c r="AD697" s="16"/>
      <c r="AE697" s="16"/>
      <c r="AF697" s="16"/>
      <c r="AG697" s="16"/>
      <c r="AH697" s="13"/>
      <c r="AL697" s="18"/>
    </row>
    <row r="698" ht="15.75" customHeight="1">
      <c r="C698" s="12"/>
      <c r="D698" s="13"/>
      <c r="E698" s="14"/>
      <c r="I698" s="15"/>
      <c r="J698" s="16"/>
      <c r="K698" s="16"/>
      <c r="L698" s="16"/>
      <c r="M698" s="16"/>
      <c r="N698" s="13"/>
      <c r="S698" s="15"/>
      <c r="T698" s="17"/>
      <c r="U698" s="17"/>
      <c r="V698" s="17"/>
      <c r="W698" s="17"/>
      <c r="X698" s="13"/>
      <c r="AC698" s="15"/>
      <c r="AD698" s="16"/>
      <c r="AE698" s="16"/>
      <c r="AF698" s="16"/>
      <c r="AG698" s="16"/>
      <c r="AH698" s="13"/>
      <c r="AL698" s="18"/>
    </row>
    <row r="699" ht="15.75" customHeight="1">
      <c r="C699" s="12"/>
      <c r="D699" s="13"/>
      <c r="E699" s="14"/>
      <c r="I699" s="15"/>
      <c r="J699" s="16"/>
      <c r="K699" s="16"/>
      <c r="L699" s="16"/>
      <c r="M699" s="16"/>
      <c r="N699" s="13"/>
      <c r="S699" s="15"/>
      <c r="T699" s="17"/>
      <c r="U699" s="17"/>
      <c r="V699" s="17"/>
      <c r="W699" s="17"/>
      <c r="X699" s="13"/>
      <c r="AC699" s="15"/>
      <c r="AD699" s="16"/>
      <c r="AE699" s="16"/>
      <c r="AF699" s="16"/>
      <c r="AG699" s="16"/>
      <c r="AH699" s="13"/>
      <c r="AL699" s="18"/>
    </row>
    <row r="700" ht="15.75" customHeight="1">
      <c r="C700" s="12"/>
      <c r="D700" s="13"/>
      <c r="E700" s="14"/>
      <c r="I700" s="15"/>
      <c r="J700" s="16"/>
      <c r="K700" s="16"/>
      <c r="L700" s="16"/>
      <c r="M700" s="16"/>
      <c r="N700" s="13"/>
      <c r="S700" s="15"/>
      <c r="T700" s="17"/>
      <c r="U700" s="17"/>
      <c r="V700" s="17"/>
      <c r="W700" s="17"/>
      <c r="X700" s="13"/>
      <c r="AC700" s="15"/>
      <c r="AD700" s="16"/>
      <c r="AE700" s="16"/>
      <c r="AF700" s="16"/>
      <c r="AG700" s="16"/>
      <c r="AH700" s="13"/>
      <c r="AL700" s="18"/>
    </row>
    <row r="701" ht="15.75" customHeight="1">
      <c r="C701" s="12"/>
      <c r="D701" s="13"/>
      <c r="E701" s="14"/>
      <c r="I701" s="15"/>
      <c r="J701" s="16"/>
      <c r="K701" s="16"/>
      <c r="L701" s="16"/>
      <c r="M701" s="16"/>
      <c r="N701" s="13"/>
      <c r="S701" s="15"/>
      <c r="T701" s="17"/>
      <c r="U701" s="17"/>
      <c r="V701" s="17"/>
      <c r="W701" s="17"/>
      <c r="X701" s="13"/>
      <c r="AC701" s="15"/>
      <c r="AD701" s="16"/>
      <c r="AE701" s="16"/>
      <c r="AF701" s="16"/>
      <c r="AG701" s="16"/>
      <c r="AH701" s="13"/>
      <c r="AL701" s="18"/>
    </row>
    <row r="702" ht="15.75" customHeight="1">
      <c r="C702" s="12"/>
      <c r="D702" s="13"/>
      <c r="E702" s="14"/>
      <c r="I702" s="15"/>
      <c r="J702" s="16"/>
      <c r="K702" s="16"/>
      <c r="L702" s="16"/>
      <c r="M702" s="16"/>
      <c r="N702" s="13"/>
      <c r="S702" s="15"/>
      <c r="T702" s="17"/>
      <c r="U702" s="17"/>
      <c r="V702" s="17"/>
      <c r="W702" s="17"/>
      <c r="X702" s="13"/>
      <c r="AC702" s="15"/>
      <c r="AD702" s="16"/>
      <c r="AE702" s="16"/>
      <c r="AF702" s="16"/>
      <c r="AG702" s="16"/>
      <c r="AH702" s="13"/>
      <c r="AL702" s="18"/>
    </row>
    <row r="703" ht="15.75" customHeight="1">
      <c r="C703" s="12"/>
      <c r="D703" s="13"/>
      <c r="E703" s="14"/>
      <c r="I703" s="15"/>
      <c r="J703" s="16"/>
      <c r="K703" s="16"/>
      <c r="L703" s="16"/>
      <c r="M703" s="16"/>
      <c r="N703" s="13"/>
      <c r="S703" s="15"/>
      <c r="T703" s="17"/>
      <c r="U703" s="17"/>
      <c r="V703" s="17"/>
      <c r="W703" s="17"/>
      <c r="X703" s="13"/>
      <c r="AC703" s="15"/>
      <c r="AD703" s="16"/>
      <c r="AE703" s="16"/>
      <c r="AF703" s="16"/>
      <c r="AG703" s="16"/>
      <c r="AH703" s="13"/>
      <c r="AL703" s="18"/>
    </row>
    <row r="704" ht="15.75" customHeight="1">
      <c r="C704" s="12"/>
      <c r="D704" s="13"/>
      <c r="E704" s="14"/>
      <c r="I704" s="15"/>
      <c r="J704" s="16"/>
      <c r="K704" s="16"/>
      <c r="L704" s="16"/>
      <c r="M704" s="16"/>
      <c r="N704" s="13"/>
      <c r="S704" s="15"/>
      <c r="T704" s="17"/>
      <c r="U704" s="17"/>
      <c r="V704" s="17"/>
      <c r="W704" s="17"/>
      <c r="X704" s="13"/>
      <c r="AC704" s="15"/>
      <c r="AD704" s="16"/>
      <c r="AE704" s="16"/>
      <c r="AF704" s="16"/>
      <c r="AG704" s="16"/>
      <c r="AH704" s="13"/>
      <c r="AL704" s="18"/>
    </row>
    <row r="705" ht="15.75" customHeight="1">
      <c r="C705" s="12"/>
      <c r="D705" s="13"/>
      <c r="E705" s="14"/>
      <c r="I705" s="15"/>
      <c r="J705" s="16"/>
      <c r="K705" s="16"/>
      <c r="L705" s="16"/>
      <c r="M705" s="16"/>
      <c r="N705" s="13"/>
      <c r="S705" s="15"/>
      <c r="T705" s="17"/>
      <c r="U705" s="17"/>
      <c r="V705" s="17"/>
      <c r="W705" s="17"/>
      <c r="X705" s="13"/>
      <c r="AC705" s="15"/>
      <c r="AD705" s="16"/>
      <c r="AE705" s="16"/>
      <c r="AF705" s="16"/>
      <c r="AG705" s="16"/>
      <c r="AH705" s="13"/>
      <c r="AL705" s="18"/>
    </row>
    <row r="706" ht="15.75" customHeight="1">
      <c r="C706" s="12"/>
      <c r="D706" s="13"/>
      <c r="E706" s="14"/>
      <c r="I706" s="15"/>
      <c r="J706" s="16"/>
      <c r="K706" s="16"/>
      <c r="L706" s="16"/>
      <c r="M706" s="16"/>
      <c r="N706" s="13"/>
      <c r="S706" s="15"/>
      <c r="T706" s="17"/>
      <c r="U706" s="17"/>
      <c r="V706" s="17"/>
      <c r="W706" s="17"/>
      <c r="X706" s="13"/>
      <c r="AC706" s="15"/>
      <c r="AD706" s="16"/>
      <c r="AE706" s="16"/>
      <c r="AF706" s="16"/>
      <c r="AG706" s="16"/>
      <c r="AH706" s="13"/>
      <c r="AL706" s="18"/>
    </row>
    <row r="707" ht="15.75" customHeight="1">
      <c r="C707" s="12"/>
      <c r="D707" s="13"/>
      <c r="E707" s="14"/>
      <c r="I707" s="15"/>
      <c r="J707" s="16"/>
      <c r="K707" s="16"/>
      <c r="L707" s="16"/>
      <c r="M707" s="16"/>
      <c r="N707" s="13"/>
      <c r="S707" s="15"/>
      <c r="T707" s="17"/>
      <c r="U707" s="17"/>
      <c r="V707" s="17"/>
      <c r="W707" s="17"/>
      <c r="X707" s="13"/>
      <c r="AC707" s="15"/>
      <c r="AD707" s="16"/>
      <c r="AE707" s="16"/>
      <c r="AF707" s="16"/>
      <c r="AG707" s="16"/>
      <c r="AH707" s="13"/>
      <c r="AL707" s="18"/>
    </row>
    <row r="708" ht="15.75" customHeight="1">
      <c r="C708" s="12"/>
      <c r="D708" s="13"/>
      <c r="E708" s="14"/>
      <c r="I708" s="15"/>
      <c r="J708" s="16"/>
      <c r="K708" s="16"/>
      <c r="L708" s="16"/>
      <c r="M708" s="16"/>
      <c r="N708" s="13"/>
      <c r="S708" s="15"/>
      <c r="T708" s="17"/>
      <c r="U708" s="17"/>
      <c r="V708" s="17"/>
      <c r="W708" s="17"/>
      <c r="X708" s="13"/>
      <c r="AC708" s="15"/>
      <c r="AD708" s="16"/>
      <c r="AE708" s="16"/>
      <c r="AF708" s="16"/>
      <c r="AG708" s="16"/>
      <c r="AH708" s="13"/>
      <c r="AL708" s="18"/>
    </row>
    <row r="709" ht="15.75" customHeight="1">
      <c r="C709" s="12"/>
      <c r="D709" s="13"/>
      <c r="E709" s="14"/>
      <c r="I709" s="15"/>
      <c r="J709" s="16"/>
      <c r="K709" s="16"/>
      <c r="L709" s="16"/>
      <c r="M709" s="16"/>
      <c r="N709" s="13"/>
      <c r="S709" s="15"/>
      <c r="T709" s="17"/>
      <c r="U709" s="17"/>
      <c r="V709" s="17"/>
      <c r="W709" s="17"/>
      <c r="X709" s="13"/>
      <c r="AC709" s="15"/>
      <c r="AD709" s="16"/>
      <c r="AE709" s="16"/>
      <c r="AF709" s="16"/>
      <c r="AG709" s="16"/>
      <c r="AH709" s="13"/>
      <c r="AL709" s="18"/>
    </row>
    <row r="710" ht="15.75" customHeight="1">
      <c r="C710" s="12"/>
      <c r="D710" s="13"/>
      <c r="E710" s="14"/>
      <c r="I710" s="15"/>
      <c r="J710" s="16"/>
      <c r="K710" s="16"/>
      <c r="L710" s="16"/>
      <c r="M710" s="16"/>
      <c r="N710" s="13"/>
      <c r="S710" s="15"/>
      <c r="T710" s="17"/>
      <c r="U710" s="17"/>
      <c r="V710" s="17"/>
      <c r="W710" s="17"/>
      <c r="X710" s="13"/>
      <c r="AC710" s="15"/>
      <c r="AD710" s="16"/>
      <c r="AE710" s="16"/>
      <c r="AF710" s="16"/>
      <c r="AG710" s="16"/>
      <c r="AH710" s="13"/>
      <c r="AL710" s="18"/>
    </row>
    <row r="711" ht="15.75" customHeight="1">
      <c r="C711" s="12"/>
      <c r="D711" s="13"/>
      <c r="E711" s="14"/>
      <c r="I711" s="15"/>
      <c r="J711" s="16"/>
      <c r="K711" s="16"/>
      <c r="L711" s="16"/>
      <c r="M711" s="16"/>
      <c r="N711" s="13"/>
      <c r="S711" s="15"/>
      <c r="T711" s="17"/>
      <c r="U711" s="17"/>
      <c r="V711" s="17"/>
      <c r="W711" s="17"/>
      <c r="X711" s="13"/>
      <c r="AC711" s="15"/>
      <c r="AD711" s="16"/>
      <c r="AE711" s="16"/>
      <c r="AF711" s="16"/>
      <c r="AG711" s="16"/>
      <c r="AH711" s="13"/>
      <c r="AL711" s="18"/>
    </row>
    <row r="712" ht="15.75" customHeight="1">
      <c r="C712" s="12"/>
      <c r="D712" s="13"/>
      <c r="E712" s="14"/>
      <c r="I712" s="15"/>
      <c r="J712" s="16"/>
      <c r="K712" s="16"/>
      <c r="L712" s="16"/>
      <c r="M712" s="16"/>
      <c r="N712" s="13"/>
      <c r="S712" s="15"/>
      <c r="T712" s="17"/>
      <c r="U712" s="17"/>
      <c r="V712" s="17"/>
      <c r="W712" s="17"/>
      <c r="X712" s="13"/>
      <c r="AC712" s="15"/>
      <c r="AD712" s="16"/>
      <c r="AE712" s="16"/>
      <c r="AF712" s="16"/>
      <c r="AG712" s="16"/>
      <c r="AH712" s="13"/>
      <c r="AL712" s="18"/>
    </row>
    <row r="713" ht="15.75" customHeight="1">
      <c r="C713" s="12"/>
      <c r="D713" s="13"/>
      <c r="E713" s="14"/>
      <c r="I713" s="15"/>
      <c r="J713" s="16"/>
      <c r="K713" s="16"/>
      <c r="L713" s="16"/>
      <c r="M713" s="16"/>
      <c r="N713" s="13"/>
      <c r="S713" s="15"/>
      <c r="T713" s="17"/>
      <c r="U713" s="17"/>
      <c r="V713" s="17"/>
      <c r="W713" s="17"/>
      <c r="X713" s="13"/>
      <c r="AC713" s="15"/>
      <c r="AD713" s="16"/>
      <c r="AE713" s="16"/>
      <c r="AF713" s="16"/>
      <c r="AG713" s="16"/>
      <c r="AH713" s="13"/>
      <c r="AL713" s="18"/>
    </row>
    <row r="714" ht="15.75" customHeight="1">
      <c r="C714" s="12"/>
      <c r="D714" s="13"/>
      <c r="E714" s="14"/>
      <c r="I714" s="15"/>
      <c r="J714" s="16"/>
      <c r="K714" s="16"/>
      <c r="L714" s="16"/>
      <c r="M714" s="16"/>
      <c r="N714" s="13"/>
      <c r="S714" s="15"/>
      <c r="T714" s="17"/>
      <c r="U714" s="17"/>
      <c r="V714" s="17"/>
      <c r="W714" s="17"/>
      <c r="X714" s="13"/>
      <c r="AC714" s="15"/>
      <c r="AD714" s="16"/>
      <c r="AE714" s="16"/>
      <c r="AF714" s="16"/>
      <c r="AG714" s="16"/>
      <c r="AH714" s="13"/>
      <c r="AL714" s="18"/>
    </row>
    <row r="715" ht="15.75" customHeight="1">
      <c r="C715" s="12"/>
      <c r="D715" s="13"/>
      <c r="E715" s="14"/>
      <c r="I715" s="15"/>
      <c r="J715" s="16"/>
      <c r="K715" s="16"/>
      <c r="L715" s="16"/>
      <c r="M715" s="16"/>
      <c r="N715" s="13"/>
      <c r="S715" s="15"/>
      <c r="T715" s="17"/>
      <c r="U715" s="17"/>
      <c r="V715" s="17"/>
      <c r="W715" s="17"/>
      <c r="X715" s="13"/>
      <c r="AC715" s="15"/>
      <c r="AD715" s="16"/>
      <c r="AE715" s="16"/>
      <c r="AF715" s="16"/>
      <c r="AG715" s="16"/>
      <c r="AH715" s="13"/>
      <c r="AL715" s="18"/>
    </row>
    <row r="716" ht="15.75" customHeight="1">
      <c r="C716" s="12"/>
      <c r="D716" s="13"/>
      <c r="E716" s="14"/>
      <c r="I716" s="15"/>
      <c r="J716" s="16"/>
      <c r="K716" s="16"/>
      <c r="L716" s="16"/>
      <c r="M716" s="16"/>
      <c r="N716" s="13"/>
      <c r="S716" s="15"/>
      <c r="T716" s="17"/>
      <c r="U716" s="17"/>
      <c r="V716" s="17"/>
      <c r="W716" s="17"/>
      <c r="X716" s="13"/>
      <c r="AC716" s="15"/>
      <c r="AD716" s="16"/>
      <c r="AE716" s="16"/>
      <c r="AF716" s="16"/>
      <c r="AG716" s="16"/>
      <c r="AH716" s="13"/>
      <c r="AL716" s="18"/>
    </row>
    <row r="717" ht="15.75" customHeight="1">
      <c r="C717" s="12"/>
      <c r="D717" s="13"/>
      <c r="E717" s="14"/>
      <c r="I717" s="15"/>
      <c r="J717" s="16"/>
      <c r="K717" s="16"/>
      <c r="L717" s="16"/>
      <c r="M717" s="16"/>
      <c r="N717" s="13"/>
      <c r="S717" s="15"/>
      <c r="T717" s="17"/>
      <c r="U717" s="17"/>
      <c r="V717" s="17"/>
      <c r="W717" s="17"/>
      <c r="X717" s="13"/>
      <c r="AC717" s="15"/>
      <c r="AD717" s="16"/>
      <c r="AE717" s="16"/>
      <c r="AF717" s="16"/>
      <c r="AG717" s="16"/>
      <c r="AH717" s="13"/>
      <c r="AL717" s="18"/>
    </row>
    <row r="718" ht="15.75" customHeight="1">
      <c r="C718" s="12"/>
      <c r="D718" s="13"/>
      <c r="E718" s="14"/>
      <c r="I718" s="15"/>
      <c r="J718" s="16"/>
      <c r="K718" s="16"/>
      <c r="L718" s="16"/>
      <c r="M718" s="16"/>
      <c r="N718" s="13"/>
      <c r="S718" s="15"/>
      <c r="T718" s="17"/>
      <c r="U718" s="17"/>
      <c r="V718" s="17"/>
      <c r="W718" s="17"/>
      <c r="X718" s="13"/>
      <c r="AC718" s="15"/>
      <c r="AD718" s="16"/>
      <c r="AE718" s="16"/>
      <c r="AF718" s="16"/>
      <c r="AG718" s="16"/>
      <c r="AH718" s="13"/>
      <c r="AL718" s="18"/>
    </row>
    <row r="719" ht="15.75" customHeight="1">
      <c r="C719" s="12"/>
      <c r="D719" s="13"/>
      <c r="E719" s="14"/>
      <c r="I719" s="15"/>
      <c r="J719" s="16"/>
      <c r="K719" s="16"/>
      <c r="L719" s="16"/>
      <c r="M719" s="16"/>
      <c r="N719" s="13"/>
      <c r="S719" s="15"/>
      <c r="T719" s="17"/>
      <c r="U719" s="17"/>
      <c r="V719" s="17"/>
      <c r="W719" s="17"/>
      <c r="X719" s="13"/>
      <c r="AC719" s="15"/>
      <c r="AD719" s="16"/>
      <c r="AE719" s="16"/>
      <c r="AF719" s="16"/>
      <c r="AG719" s="16"/>
      <c r="AH719" s="13"/>
      <c r="AL719" s="18"/>
    </row>
    <row r="720" ht="15.75" customHeight="1">
      <c r="C720" s="12"/>
      <c r="D720" s="13"/>
      <c r="E720" s="14"/>
      <c r="I720" s="15"/>
      <c r="J720" s="16"/>
      <c r="K720" s="16"/>
      <c r="L720" s="16"/>
      <c r="M720" s="16"/>
      <c r="N720" s="13"/>
      <c r="S720" s="15"/>
      <c r="T720" s="17"/>
      <c r="U720" s="17"/>
      <c r="V720" s="17"/>
      <c r="W720" s="17"/>
      <c r="X720" s="13"/>
      <c r="AC720" s="15"/>
      <c r="AD720" s="16"/>
      <c r="AE720" s="16"/>
      <c r="AF720" s="16"/>
      <c r="AG720" s="16"/>
      <c r="AH720" s="13"/>
      <c r="AL720" s="18"/>
    </row>
    <row r="721" ht="15.75" customHeight="1">
      <c r="C721" s="12"/>
      <c r="D721" s="13"/>
      <c r="E721" s="14"/>
      <c r="I721" s="15"/>
      <c r="J721" s="16"/>
      <c r="K721" s="16"/>
      <c r="L721" s="16"/>
      <c r="M721" s="16"/>
      <c r="N721" s="13"/>
      <c r="S721" s="15"/>
      <c r="T721" s="17"/>
      <c r="U721" s="17"/>
      <c r="V721" s="17"/>
      <c r="W721" s="17"/>
      <c r="X721" s="13"/>
      <c r="AC721" s="15"/>
      <c r="AD721" s="16"/>
      <c r="AE721" s="16"/>
      <c r="AF721" s="16"/>
      <c r="AG721" s="16"/>
      <c r="AH721" s="13"/>
      <c r="AL721" s="18"/>
    </row>
    <row r="722" ht="15.75" customHeight="1">
      <c r="C722" s="12"/>
      <c r="D722" s="13"/>
      <c r="E722" s="14"/>
      <c r="I722" s="15"/>
      <c r="J722" s="16"/>
      <c r="K722" s="16"/>
      <c r="L722" s="16"/>
      <c r="M722" s="16"/>
      <c r="N722" s="13"/>
      <c r="S722" s="15"/>
      <c r="T722" s="17"/>
      <c r="U722" s="17"/>
      <c r="V722" s="17"/>
      <c r="W722" s="17"/>
      <c r="X722" s="13"/>
      <c r="AC722" s="15"/>
      <c r="AD722" s="16"/>
      <c r="AE722" s="16"/>
      <c r="AF722" s="16"/>
      <c r="AG722" s="16"/>
      <c r="AH722" s="13"/>
      <c r="AL722" s="18"/>
    </row>
    <row r="723" ht="15.75" customHeight="1">
      <c r="C723" s="12"/>
      <c r="D723" s="13"/>
      <c r="E723" s="14"/>
      <c r="I723" s="15"/>
      <c r="J723" s="16"/>
      <c r="K723" s="16"/>
      <c r="L723" s="16"/>
      <c r="M723" s="16"/>
      <c r="N723" s="13"/>
      <c r="S723" s="15"/>
      <c r="T723" s="17"/>
      <c r="U723" s="17"/>
      <c r="V723" s="17"/>
      <c r="W723" s="17"/>
      <c r="X723" s="13"/>
      <c r="AC723" s="15"/>
      <c r="AD723" s="16"/>
      <c r="AE723" s="16"/>
      <c r="AF723" s="16"/>
      <c r="AG723" s="16"/>
      <c r="AH723" s="13"/>
      <c r="AL723" s="18"/>
    </row>
    <row r="724" ht="15.75" customHeight="1">
      <c r="C724" s="12"/>
      <c r="D724" s="13"/>
      <c r="E724" s="14"/>
      <c r="I724" s="15"/>
      <c r="J724" s="16"/>
      <c r="K724" s="16"/>
      <c r="L724" s="16"/>
      <c r="M724" s="16"/>
      <c r="N724" s="13"/>
      <c r="S724" s="15"/>
      <c r="T724" s="17"/>
      <c r="U724" s="17"/>
      <c r="V724" s="17"/>
      <c r="W724" s="17"/>
      <c r="X724" s="13"/>
      <c r="AC724" s="15"/>
      <c r="AD724" s="16"/>
      <c r="AE724" s="16"/>
      <c r="AF724" s="16"/>
      <c r="AG724" s="16"/>
      <c r="AH724" s="13"/>
      <c r="AL724" s="18"/>
    </row>
    <row r="725" ht="15.75" customHeight="1">
      <c r="C725" s="12"/>
      <c r="D725" s="13"/>
      <c r="E725" s="14"/>
      <c r="I725" s="15"/>
      <c r="J725" s="16"/>
      <c r="K725" s="16"/>
      <c r="L725" s="16"/>
      <c r="M725" s="16"/>
      <c r="N725" s="13"/>
      <c r="S725" s="15"/>
      <c r="T725" s="17"/>
      <c r="U725" s="17"/>
      <c r="V725" s="17"/>
      <c r="W725" s="17"/>
      <c r="X725" s="13"/>
      <c r="AC725" s="15"/>
      <c r="AD725" s="16"/>
      <c r="AE725" s="16"/>
      <c r="AF725" s="16"/>
      <c r="AG725" s="16"/>
      <c r="AH725" s="13"/>
      <c r="AL725" s="18"/>
    </row>
    <row r="726" ht="15.75" customHeight="1">
      <c r="C726" s="12"/>
      <c r="D726" s="13"/>
      <c r="E726" s="14"/>
      <c r="I726" s="15"/>
      <c r="J726" s="16"/>
      <c r="K726" s="16"/>
      <c r="L726" s="16"/>
      <c r="M726" s="16"/>
      <c r="N726" s="13"/>
      <c r="S726" s="15"/>
      <c r="T726" s="17"/>
      <c r="U726" s="17"/>
      <c r="V726" s="17"/>
      <c r="W726" s="17"/>
      <c r="X726" s="13"/>
      <c r="AC726" s="15"/>
      <c r="AD726" s="16"/>
      <c r="AE726" s="16"/>
      <c r="AF726" s="16"/>
      <c r="AG726" s="16"/>
      <c r="AH726" s="13"/>
      <c r="AL726" s="18"/>
    </row>
    <row r="727" ht="15.75" customHeight="1">
      <c r="C727" s="12"/>
      <c r="D727" s="13"/>
      <c r="E727" s="14"/>
      <c r="I727" s="15"/>
      <c r="J727" s="16"/>
      <c r="K727" s="16"/>
      <c r="L727" s="16"/>
      <c r="M727" s="16"/>
      <c r="N727" s="13"/>
      <c r="S727" s="15"/>
      <c r="T727" s="17"/>
      <c r="U727" s="17"/>
      <c r="V727" s="17"/>
      <c r="W727" s="17"/>
      <c r="X727" s="13"/>
      <c r="AC727" s="15"/>
      <c r="AD727" s="16"/>
      <c r="AE727" s="16"/>
      <c r="AF727" s="16"/>
      <c r="AG727" s="16"/>
      <c r="AH727" s="13"/>
      <c r="AL727" s="18"/>
    </row>
    <row r="728" ht="15.75" customHeight="1">
      <c r="C728" s="12"/>
      <c r="D728" s="13"/>
      <c r="E728" s="14"/>
      <c r="I728" s="15"/>
      <c r="J728" s="16"/>
      <c r="K728" s="16"/>
      <c r="L728" s="16"/>
      <c r="M728" s="16"/>
      <c r="N728" s="13"/>
      <c r="S728" s="15"/>
      <c r="T728" s="17"/>
      <c r="U728" s="17"/>
      <c r="V728" s="17"/>
      <c r="W728" s="17"/>
      <c r="X728" s="13"/>
      <c r="AC728" s="15"/>
      <c r="AD728" s="16"/>
      <c r="AE728" s="16"/>
      <c r="AF728" s="16"/>
      <c r="AG728" s="16"/>
      <c r="AH728" s="13"/>
      <c r="AL728" s="18"/>
    </row>
    <row r="729" ht="15.75" customHeight="1">
      <c r="C729" s="12"/>
      <c r="D729" s="13"/>
      <c r="E729" s="14"/>
      <c r="I729" s="15"/>
      <c r="J729" s="16"/>
      <c r="K729" s="16"/>
      <c r="L729" s="16"/>
      <c r="M729" s="16"/>
      <c r="N729" s="13"/>
      <c r="S729" s="15"/>
      <c r="T729" s="17"/>
      <c r="U729" s="17"/>
      <c r="V729" s="17"/>
      <c r="W729" s="17"/>
      <c r="X729" s="13"/>
      <c r="AC729" s="15"/>
      <c r="AD729" s="16"/>
      <c r="AE729" s="16"/>
      <c r="AF729" s="16"/>
      <c r="AG729" s="16"/>
      <c r="AH729" s="13"/>
      <c r="AL729" s="18"/>
    </row>
    <row r="730" ht="15.75" customHeight="1">
      <c r="C730" s="12"/>
      <c r="D730" s="13"/>
      <c r="E730" s="14"/>
      <c r="I730" s="15"/>
      <c r="J730" s="16"/>
      <c r="K730" s="16"/>
      <c r="L730" s="16"/>
      <c r="M730" s="16"/>
      <c r="N730" s="13"/>
      <c r="S730" s="15"/>
      <c r="T730" s="17"/>
      <c r="U730" s="17"/>
      <c r="V730" s="17"/>
      <c r="W730" s="17"/>
      <c r="X730" s="13"/>
      <c r="AC730" s="15"/>
      <c r="AD730" s="16"/>
      <c r="AE730" s="16"/>
      <c r="AF730" s="16"/>
      <c r="AG730" s="16"/>
      <c r="AH730" s="13"/>
      <c r="AL730" s="18"/>
    </row>
    <row r="731" ht="15.75" customHeight="1">
      <c r="C731" s="12"/>
      <c r="D731" s="13"/>
      <c r="E731" s="14"/>
      <c r="I731" s="15"/>
      <c r="J731" s="16"/>
      <c r="K731" s="16"/>
      <c r="L731" s="16"/>
      <c r="M731" s="16"/>
      <c r="N731" s="13"/>
      <c r="S731" s="15"/>
      <c r="T731" s="17"/>
      <c r="U731" s="17"/>
      <c r="V731" s="17"/>
      <c r="W731" s="17"/>
      <c r="X731" s="13"/>
      <c r="AC731" s="15"/>
      <c r="AD731" s="16"/>
      <c r="AE731" s="16"/>
      <c r="AF731" s="16"/>
      <c r="AG731" s="16"/>
      <c r="AH731" s="13"/>
      <c r="AL731" s="18"/>
    </row>
    <row r="732" ht="15.75" customHeight="1">
      <c r="C732" s="12"/>
      <c r="D732" s="13"/>
      <c r="E732" s="14"/>
      <c r="I732" s="15"/>
      <c r="J732" s="16"/>
      <c r="K732" s="16"/>
      <c r="L732" s="16"/>
      <c r="M732" s="16"/>
      <c r="N732" s="13"/>
      <c r="S732" s="15"/>
      <c r="T732" s="17"/>
      <c r="U732" s="17"/>
      <c r="V732" s="17"/>
      <c r="W732" s="17"/>
      <c r="X732" s="13"/>
      <c r="AC732" s="15"/>
      <c r="AD732" s="16"/>
      <c r="AE732" s="16"/>
      <c r="AF732" s="16"/>
      <c r="AG732" s="16"/>
      <c r="AH732" s="13"/>
      <c r="AL732" s="18"/>
    </row>
    <row r="733" ht="15.75" customHeight="1">
      <c r="C733" s="12"/>
      <c r="D733" s="13"/>
      <c r="E733" s="14"/>
      <c r="I733" s="15"/>
      <c r="J733" s="16"/>
      <c r="K733" s="16"/>
      <c r="L733" s="16"/>
      <c r="M733" s="16"/>
      <c r="N733" s="13"/>
      <c r="S733" s="15"/>
      <c r="T733" s="17"/>
      <c r="U733" s="17"/>
      <c r="V733" s="17"/>
      <c r="W733" s="17"/>
      <c r="X733" s="13"/>
      <c r="AC733" s="15"/>
      <c r="AD733" s="16"/>
      <c r="AE733" s="16"/>
      <c r="AF733" s="16"/>
      <c r="AG733" s="16"/>
      <c r="AH733" s="13"/>
      <c r="AL733" s="18"/>
    </row>
    <row r="734" ht="15.75" customHeight="1">
      <c r="C734" s="12"/>
      <c r="D734" s="13"/>
      <c r="E734" s="14"/>
      <c r="I734" s="15"/>
      <c r="J734" s="16"/>
      <c r="K734" s="16"/>
      <c r="L734" s="16"/>
      <c r="M734" s="16"/>
      <c r="N734" s="13"/>
      <c r="S734" s="15"/>
      <c r="T734" s="17"/>
      <c r="U734" s="17"/>
      <c r="V734" s="17"/>
      <c r="W734" s="17"/>
      <c r="X734" s="13"/>
      <c r="AC734" s="15"/>
      <c r="AD734" s="16"/>
      <c r="AE734" s="16"/>
      <c r="AF734" s="16"/>
      <c r="AG734" s="16"/>
      <c r="AH734" s="13"/>
      <c r="AL734" s="18"/>
    </row>
    <row r="735" ht="15.75" customHeight="1">
      <c r="C735" s="12"/>
      <c r="D735" s="13"/>
      <c r="E735" s="14"/>
      <c r="I735" s="15"/>
      <c r="J735" s="16"/>
      <c r="K735" s="16"/>
      <c r="L735" s="16"/>
      <c r="M735" s="16"/>
      <c r="N735" s="13"/>
      <c r="S735" s="15"/>
      <c r="T735" s="17"/>
      <c r="U735" s="17"/>
      <c r="V735" s="17"/>
      <c r="W735" s="17"/>
      <c r="X735" s="13"/>
      <c r="AC735" s="15"/>
      <c r="AD735" s="16"/>
      <c r="AE735" s="16"/>
      <c r="AF735" s="16"/>
      <c r="AG735" s="16"/>
      <c r="AH735" s="13"/>
      <c r="AL735" s="18"/>
    </row>
    <row r="736" ht="15.75" customHeight="1">
      <c r="C736" s="12"/>
      <c r="D736" s="13"/>
      <c r="E736" s="14"/>
      <c r="I736" s="15"/>
      <c r="J736" s="16"/>
      <c r="K736" s="16"/>
      <c r="L736" s="16"/>
      <c r="M736" s="16"/>
      <c r="N736" s="13"/>
      <c r="S736" s="15"/>
      <c r="T736" s="17"/>
      <c r="U736" s="17"/>
      <c r="V736" s="17"/>
      <c r="W736" s="17"/>
      <c r="X736" s="13"/>
      <c r="AC736" s="15"/>
      <c r="AD736" s="16"/>
      <c r="AE736" s="16"/>
      <c r="AF736" s="16"/>
      <c r="AG736" s="16"/>
      <c r="AH736" s="13"/>
      <c r="AL736" s="18"/>
    </row>
    <row r="737" ht="15.75" customHeight="1">
      <c r="C737" s="12"/>
      <c r="D737" s="13"/>
      <c r="E737" s="14"/>
      <c r="I737" s="15"/>
      <c r="J737" s="16"/>
      <c r="K737" s="16"/>
      <c r="L737" s="16"/>
      <c r="M737" s="16"/>
      <c r="N737" s="13"/>
      <c r="S737" s="15"/>
      <c r="T737" s="17"/>
      <c r="U737" s="17"/>
      <c r="V737" s="17"/>
      <c r="W737" s="17"/>
      <c r="X737" s="13"/>
      <c r="AC737" s="15"/>
      <c r="AD737" s="16"/>
      <c r="AE737" s="16"/>
      <c r="AF737" s="16"/>
      <c r="AG737" s="16"/>
      <c r="AH737" s="13"/>
      <c r="AL737" s="18"/>
    </row>
    <row r="738" ht="15.75" customHeight="1">
      <c r="C738" s="12"/>
      <c r="D738" s="13"/>
      <c r="E738" s="14"/>
      <c r="I738" s="15"/>
      <c r="J738" s="16"/>
      <c r="K738" s="16"/>
      <c r="L738" s="16"/>
      <c r="M738" s="16"/>
      <c r="N738" s="13"/>
      <c r="S738" s="15"/>
      <c r="T738" s="17"/>
      <c r="U738" s="17"/>
      <c r="V738" s="17"/>
      <c r="W738" s="17"/>
      <c r="X738" s="13"/>
      <c r="AC738" s="15"/>
      <c r="AD738" s="16"/>
      <c r="AE738" s="16"/>
      <c r="AF738" s="16"/>
      <c r="AG738" s="16"/>
      <c r="AH738" s="13"/>
      <c r="AL738" s="18"/>
    </row>
    <row r="739" ht="15.75" customHeight="1">
      <c r="C739" s="12"/>
      <c r="D739" s="13"/>
      <c r="E739" s="14"/>
      <c r="I739" s="15"/>
      <c r="J739" s="16"/>
      <c r="K739" s="16"/>
      <c r="L739" s="16"/>
      <c r="M739" s="16"/>
      <c r="N739" s="13"/>
      <c r="S739" s="15"/>
      <c r="T739" s="17"/>
      <c r="U739" s="17"/>
      <c r="V739" s="17"/>
      <c r="W739" s="17"/>
      <c r="X739" s="13"/>
      <c r="AC739" s="15"/>
      <c r="AD739" s="16"/>
      <c r="AE739" s="16"/>
      <c r="AF739" s="16"/>
      <c r="AG739" s="16"/>
      <c r="AH739" s="13"/>
      <c r="AL739" s="18"/>
    </row>
    <row r="740" ht="15.75" customHeight="1">
      <c r="C740" s="12"/>
      <c r="D740" s="13"/>
      <c r="E740" s="14"/>
      <c r="I740" s="15"/>
      <c r="J740" s="16"/>
      <c r="K740" s="16"/>
      <c r="L740" s="16"/>
      <c r="M740" s="16"/>
      <c r="N740" s="13"/>
      <c r="S740" s="15"/>
      <c r="T740" s="17"/>
      <c r="U740" s="17"/>
      <c r="V740" s="17"/>
      <c r="W740" s="17"/>
      <c r="X740" s="13"/>
      <c r="AC740" s="15"/>
      <c r="AD740" s="16"/>
      <c r="AE740" s="16"/>
      <c r="AF740" s="16"/>
      <c r="AG740" s="16"/>
      <c r="AH740" s="13"/>
      <c r="AL740" s="18"/>
    </row>
    <row r="741" ht="15.75" customHeight="1">
      <c r="C741" s="12"/>
      <c r="D741" s="13"/>
      <c r="E741" s="14"/>
      <c r="I741" s="15"/>
      <c r="J741" s="16"/>
      <c r="K741" s="16"/>
      <c r="L741" s="16"/>
      <c r="M741" s="16"/>
      <c r="N741" s="13"/>
      <c r="S741" s="15"/>
      <c r="T741" s="17"/>
      <c r="U741" s="17"/>
      <c r="V741" s="17"/>
      <c r="W741" s="17"/>
      <c r="X741" s="13"/>
      <c r="AC741" s="15"/>
      <c r="AD741" s="16"/>
      <c r="AE741" s="16"/>
      <c r="AF741" s="16"/>
      <c r="AG741" s="16"/>
      <c r="AH741" s="13"/>
      <c r="AL741" s="18"/>
    </row>
    <row r="742" ht="15.75" customHeight="1">
      <c r="C742" s="12"/>
      <c r="D742" s="13"/>
      <c r="E742" s="14"/>
      <c r="I742" s="15"/>
      <c r="J742" s="16"/>
      <c r="K742" s="16"/>
      <c r="L742" s="16"/>
      <c r="M742" s="16"/>
      <c r="N742" s="13"/>
      <c r="S742" s="15"/>
      <c r="T742" s="17"/>
      <c r="U742" s="17"/>
      <c r="V742" s="17"/>
      <c r="W742" s="17"/>
      <c r="X742" s="13"/>
      <c r="AC742" s="15"/>
      <c r="AD742" s="16"/>
      <c r="AE742" s="16"/>
      <c r="AF742" s="16"/>
      <c r="AG742" s="16"/>
      <c r="AH742" s="13"/>
      <c r="AL742" s="18"/>
    </row>
    <row r="743" ht="15.75" customHeight="1">
      <c r="C743" s="12"/>
      <c r="D743" s="13"/>
      <c r="E743" s="14"/>
      <c r="I743" s="15"/>
      <c r="J743" s="16"/>
      <c r="K743" s="16"/>
      <c r="L743" s="16"/>
      <c r="M743" s="16"/>
      <c r="N743" s="13"/>
      <c r="S743" s="15"/>
      <c r="T743" s="17"/>
      <c r="U743" s="17"/>
      <c r="V743" s="17"/>
      <c r="W743" s="17"/>
      <c r="X743" s="13"/>
      <c r="AC743" s="15"/>
      <c r="AD743" s="16"/>
      <c r="AE743" s="16"/>
      <c r="AF743" s="16"/>
      <c r="AG743" s="16"/>
      <c r="AH743" s="13"/>
      <c r="AL743" s="18"/>
    </row>
    <row r="744" ht="15.75" customHeight="1">
      <c r="C744" s="12"/>
      <c r="D744" s="13"/>
      <c r="E744" s="14"/>
      <c r="I744" s="15"/>
      <c r="J744" s="16"/>
      <c r="K744" s="16"/>
      <c r="L744" s="16"/>
      <c r="M744" s="16"/>
      <c r="N744" s="13"/>
      <c r="S744" s="15"/>
      <c r="T744" s="17"/>
      <c r="U744" s="17"/>
      <c r="V744" s="17"/>
      <c r="W744" s="17"/>
      <c r="X744" s="13"/>
      <c r="AC744" s="15"/>
      <c r="AD744" s="16"/>
      <c r="AE744" s="16"/>
      <c r="AF744" s="16"/>
      <c r="AG744" s="16"/>
      <c r="AH744" s="13"/>
      <c r="AL744" s="18"/>
    </row>
    <row r="745" ht="15.75" customHeight="1">
      <c r="C745" s="12"/>
      <c r="D745" s="13"/>
      <c r="E745" s="14"/>
      <c r="I745" s="15"/>
      <c r="J745" s="16"/>
      <c r="K745" s="16"/>
      <c r="L745" s="16"/>
      <c r="M745" s="16"/>
      <c r="N745" s="13"/>
      <c r="S745" s="15"/>
      <c r="T745" s="17"/>
      <c r="U745" s="17"/>
      <c r="V745" s="17"/>
      <c r="W745" s="17"/>
      <c r="X745" s="13"/>
      <c r="AC745" s="15"/>
      <c r="AD745" s="16"/>
      <c r="AE745" s="16"/>
      <c r="AF745" s="16"/>
      <c r="AG745" s="16"/>
      <c r="AH745" s="13"/>
      <c r="AL745" s="18"/>
    </row>
    <row r="746" ht="15.75" customHeight="1">
      <c r="C746" s="12"/>
      <c r="D746" s="13"/>
      <c r="E746" s="14"/>
      <c r="I746" s="15"/>
      <c r="J746" s="16"/>
      <c r="K746" s="16"/>
      <c r="L746" s="16"/>
      <c r="M746" s="16"/>
      <c r="N746" s="13"/>
      <c r="S746" s="15"/>
      <c r="T746" s="17"/>
      <c r="U746" s="17"/>
      <c r="V746" s="17"/>
      <c r="W746" s="17"/>
      <c r="X746" s="13"/>
      <c r="AC746" s="15"/>
      <c r="AD746" s="16"/>
      <c r="AE746" s="16"/>
      <c r="AF746" s="16"/>
      <c r="AG746" s="16"/>
      <c r="AH746" s="13"/>
      <c r="AL746" s="18"/>
    </row>
    <row r="747" ht="15.75" customHeight="1">
      <c r="C747" s="12"/>
      <c r="D747" s="13"/>
      <c r="E747" s="14"/>
      <c r="I747" s="15"/>
      <c r="J747" s="16"/>
      <c r="K747" s="16"/>
      <c r="L747" s="16"/>
      <c r="M747" s="16"/>
      <c r="N747" s="13"/>
      <c r="S747" s="15"/>
      <c r="T747" s="17"/>
      <c r="U747" s="17"/>
      <c r="V747" s="17"/>
      <c r="W747" s="17"/>
      <c r="X747" s="13"/>
      <c r="AC747" s="15"/>
      <c r="AD747" s="16"/>
      <c r="AE747" s="16"/>
      <c r="AF747" s="16"/>
      <c r="AG747" s="16"/>
      <c r="AH747" s="13"/>
      <c r="AL747" s="18"/>
    </row>
    <row r="748" ht="15.75" customHeight="1">
      <c r="C748" s="12"/>
      <c r="D748" s="13"/>
      <c r="E748" s="14"/>
      <c r="I748" s="15"/>
      <c r="J748" s="16"/>
      <c r="K748" s="16"/>
      <c r="L748" s="16"/>
      <c r="M748" s="16"/>
      <c r="N748" s="13"/>
      <c r="S748" s="15"/>
      <c r="T748" s="17"/>
      <c r="U748" s="17"/>
      <c r="V748" s="17"/>
      <c r="W748" s="17"/>
      <c r="X748" s="13"/>
      <c r="AC748" s="15"/>
      <c r="AD748" s="16"/>
      <c r="AE748" s="16"/>
      <c r="AF748" s="16"/>
      <c r="AG748" s="16"/>
      <c r="AH748" s="13"/>
      <c r="AL748" s="18"/>
    </row>
    <row r="749" ht="15.75" customHeight="1">
      <c r="C749" s="12"/>
      <c r="D749" s="13"/>
      <c r="E749" s="14"/>
      <c r="I749" s="15"/>
      <c r="J749" s="16"/>
      <c r="K749" s="16"/>
      <c r="L749" s="16"/>
      <c r="M749" s="16"/>
      <c r="N749" s="13"/>
      <c r="S749" s="15"/>
      <c r="T749" s="17"/>
      <c r="U749" s="17"/>
      <c r="V749" s="17"/>
      <c r="W749" s="17"/>
      <c r="X749" s="13"/>
      <c r="AC749" s="15"/>
      <c r="AD749" s="16"/>
      <c r="AE749" s="16"/>
      <c r="AF749" s="16"/>
      <c r="AG749" s="16"/>
      <c r="AH749" s="13"/>
      <c r="AL749" s="18"/>
    </row>
    <row r="750" ht="15.75" customHeight="1">
      <c r="C750" s="12"/>
      <c r="D750" s="13"/>
      <c r="E750" s="14"/>
      <c r="I750" s="15"/>
      <c r="J750" s="16"/>
      <c r="K750" s="16"/>
      <c r="L750" s="16"/>
      <c r="M750" s="16"/>
      <c r="N750" s="13"/>
      <c r="S750" s="15"/>
      <c r="T750" s="17"/>
      <c r="U750" s="17"/>
      <c r="V750" s="17"/>
      <c r="W750" s="17"/>
      <c r="X750" s="13"/>
      <c r="AC750" s="15"/>
      <c r="AD750" s="16"/>
      <c r="AE750" s="16"/>
      <c r="AF750" s="16"/>
      <c r="AG750" s="16"/>
      <c r="AH750" s="13"/>
      <c r="AL750" s="18"/>
    </row>
    <row r="751" ht="15.75" customHeight="1">
      <c r="C751" s="12"/>
      <c r="D751" s="13"/>
      <c r="E751" s="14"/>
      <c r="I751" s="15"/>
      <c r="J751" s="16"/>
      <c r="K751" s="16"/>
      <c r="L751" s="16"/>
      <c r="M751" s="16"/>
      <c r="N751" s="13"/>
      <c r="S751" s="15"/>
      <c r="T751" s="17"/>
      <c r="U751" s="17"/>
      <c r="V751" s="17"/>
      <c r="W751" s="17"/>
      <c r="X751" s="13"/>
      <c r="AC751" s="15"/>
      <c r="AD751" s="16"/>
      <c r="AE751" s="16"/>
      <c r="AF751" s="16"/>
      <c r="AG751" s="16"/>
      <c r="AH751" s="13"/>
      <c r="AL751" s="18"/>
    </row>
    <row r="752" ht="15.75" customHeight="1">
      <c r="C752" s="12"/>
      <c r="D752" s="13"/>
      <c r="E752" s="14"/>
      <c r="I752" s="15"/>
      <c r="J752" s="16"/>
      <c r="K752" s="16"/>
      <c r="L752" s="16"/>
      <c r="M752" s="16"/>
      <c r="N752" s="13"/>
      <c r="S752" s="15"/>
      <c r="T752" s="17"/>
      <c r="U752" s="17"/>
      <c r="V752" s="17"/>
      <c r="W752" s="17"/>
      <c r="X752" s="13"/>
      <c r="AC752" s="15"/>
      <c r="AD752" s="16"/>
      <c r="AE752" s="16"/>
      <c r="AF752" s="16"/>
      <c r="AG752" s="16"/>
      <c r="AH752" s="13"/>
      <c r="AL752" s="18"/>
    </row>
    <row r="753" ht="15.75" customHeight="1">
      <c r="C753" s="12"/>
      <c r="D753" s="13"/>
      <c r="E753" s="14"/>
      <c r="I753" s="15"/>
      <c r="J753" s="16"/>
      <c r="K753" s="16"/>
      <c r="L753" s="16"/>
      <c r="M753" s="16"/>
      <c r="N753" s="13"/>
      <c r="S753" s="15"/>
      <c r="T753" s="17"/>
      <c r="U753" s="17"/>
      <c r="V753" s="17"/>
      <c r="W753" s="17"/>
      <c r="X753" s="13"/>
      <c r="AC753" s="15"/>
      <c r="AD753" s="16"/>
      <c r="AE753" s="16"/>
      <c r="AF753" s="16"/>
      <c r="AG753" s="16"/>
      <c r="AH753" s="13"/>
      <c r="AL753" s="18"/>
    </row>
    <row r="754" ht="15.75" customHeight="1">
      <c r="C754" s="12"/>
      <c r="D754" s="13"/>
      <c r="E754" s="14"/>
      <c r="I754" s="15"/>
      <c r="J754" s="16"/>
      <c r="K754" s="16"/>
      <c r="L754" s="16"/>
      <c r="M754" s="16"/>
      <c r="N754" s="13"/>
      <c r="S754" s="15"/>
      <c r="T754" s="17"/>
      <c r="U754" s="17"/>
      <c r="V754" s="17"/>
      <c r="W754" s="17"/>
      <c r="X754" s="13"/>
      <c r="AC754" s="15"/>
      <c r="AD754" s="16"/>
      <c r="AE754" s="16"/>
      <c r="AF754" s="16"/>
      <c r="AG754" s="16"/>
      <c r="AH754" s="13"/>
      <c r="AL754" s="18"/>
    </row>
    <row r="755" ht="15.75" customHeight="1">
      <c r="C755" s="12"/>
      <c r="D755" s="13"/>
      <c r="E755" s="14"/>
      <c r="I755" s="15"/>
      <c r="J755" s="16"/>
      <c r="K755" s="16"/>
      <c r="L755" s="16"/>
      <c r="M755" s="16"/>
      <c r="N755" s="13"/>
      <c r="S755" s="15"/>
      <c r="T755" s="17"/>
      <c r="U755" s="17"/>
      <c r="V755" s="17"/>
      <c r="W755" s="17"/>
      <c r="X755" s="13"/>
      <c r="AC755" s="15"/>
      <c r="AD755" s="16"/>
      <c r="AE755" s="16"/>
      <c r="AF755" s="16"/>
      <c r="AG755" s="16"/>
      <c r="AH755" s="13"/>
      <c r="AL755" s="18"/>
    </row>
    <row r="756" ht="15.75" customHeight="1">
      <c r="C756" s="12"/>
      <c r="D756" s="13"/>
      <c r="E756" s="14"/>
      <c r="I756" s="15"/>
      <c r="J756" s="16"/>
      <c r="K756" s="16"/>
      <c r="L756" s="16"/>
      <c r="M756" s="16"/>
      <c r="N756" s="13"/>
      <c r="S756" s="15"/>
      <c r="T756" s="17"/>
      <c r="U756" s="17"/>
      <c r="V756" s="17"/>
      <c r="W756" s="17"/>
      <c r="X756" s="13"/>
      <c r="AC756" s="15"/>
      <c r="AD756" s="16"/>
      <c r="AE756" s="16"/>
      <c r="AF756" s="16"/>
      <c r="AG756" s="16"/>
      <c r="AH756" s="13"/>
      <c r="AL756" s="18"/>
    </row>
    <row r="757" ht="15.75" customHeight="1">
      <c r="C757" s="12"/>
      <c r="D757" s="13"/>
      <c r="E757" s="14"/>
      <c r="I757" s="15"/>
      <c r="J757" s="16"/>
      <c r="K757" s="16"/>
      <c r="L757" s="16"/>
      <c r="M757" s="16"/>
      <c r="N757" s="13"/>
      <c r="S757" s="15"/>
      <c r="T757" s="17"/>
      <c r="U757" s="17"/>
      <c r="V757" s="17"/>
      <c r="W757" s="17"/>
      <c r="X757" s="13"/>
      <c r="AC757" s="15"/>
      <c r="AD757" s="16"/>
      <c r="AE757" s="16"/>
      <c r="AF757" s="16"/>
      <c r="AG757" s="16"/>
      <c r="AH757" s="13"/>
      <c r="AL757" s="18"/>
    </row>
    <row r="758" ht="15.75" customHeight="1">
      <c r="C758" s="12"/>
      <c r="D758" s="13"/>
      <c r="E758" s="14"/>
      <c r="I758" s="15"/>
      <c r="J758" s="16"/>
      <c r="K758" s="16"/>
      <c r="L758" s="16"/>
      <c r="M758" s="16"/>
      <c r="N758" s="13"/>
      <c r="S758" s="15"/>
      <c r="T758" s="17"/>
      <c r="U758" s="17"/>
      <c r="V758" s="17"/>
      <c r="W758" s="17"/>
      <c r="X758" s="13"/>
      <c r="AC758" s="15"/>
      <c r="AD758" s="16"/>
      <c r="AE758" s="16"/>
      <c r="AF758" s="16"/>
      <c r="AG758" s="16"/>
      <c r="AH758" s="13"/>
      <c r="AL758" s="18"/>
    </row>
    <row r="759" ht="15.75" customHeight="1">
      <c r="C759" s="12"/>
      <c r="D759" s="13"/>
      <c r="E759" s="14"/>
      <c r="I759" s="15"/>
      <c r="J759" s="16"/>
      <c r="K759" s="16"/>
      <c r="L759" s="16"/>
      <c r="M759" s="16"/>
      <c r="N759" s="13"/>
      <c r="S759" s="15"/>
      <c r="T759" s="17"/>
      <c r="U759" s="17"/>
      <c r="V759" s="17"/>
      <c r="W759" s="17"/>
      <c r="X759" s="13"/>
      <c r="AC759" s="15"/>
      <c r="AD759" s="16"/>
      <c r="AE759" s="16"/>
      <c r="AF759" s="16"/>
      <c r="AG759" s="16"/>
      <c r="AH759" s="13"/>
      <c r="AL759" s="18"/>
    </row>
    <row r="760" ht="15.75" customHeight="1">
      <c r="C760" s="12"/>
      <c r="D760" s="13"/>
      <c r="E760" s="14"/>
      <c r="I760" s="15"/>
      <c r="J760" s="16"/>
      <c r="K760" s="16"/>
      <c r="L760" s="16"/>
      <c r="M760" s="16"/>
      <c r="N760" s="13"/>
      <c r="S760" s="15"/>
      <c r="T760" s="17"/>
      <c r="U760" s="17"/>
      <c r="V760" s="17"/>
      <c r="W760" s="17"/>
      <c r="X760" s="13"/>
      <c r="AC760" s="15"/>
      <c r="AD760" s="16"/>
      <c r="AE760" s="16"/>
      <c r="AF760" s="16"/>
      <c r="AG760" s="16"/>
      <c r="AH760" s="13"/>
      <c r="AL760" s="18"/>
    </row>
    <row r="761" ht="15.75" customHeight="1">
      <c r="C761" s="12"/>
      <c r="D761" s="13"/>
      <c r="E761" s="14"/>
      <c r="I761" s="15"/>
      <c r="J761" s="16"/>
      <c r="K761" s="16"/>
      <c r="L761" s="16"/>
      <c r="M761" s="16"/>
      <c r="N761" s="13"/>
      <c r="S761" s="15"/>
      <c r="T761" s="17"/>
      <c r="U761" s="17"/>
      <c r="V761" s="17"/>
      <c r="W761" s="17"/>
      <c r="X761" s="13"/>
      <c r="AC761" s="15"/>
      <c r="AD761" s="16"/>
      <c r="AE761" s="16"/>
      <c r="AF761" s="16"/>
      <c r="AG761" s="16"/>
      <c r="AH761" s="13"/>
      <c r="AL761" s="18"/>
    </row>
    <row r="762" ht="15.75" customHeight="1">
      <c r="C762" s="12"/>
      <c r="D762" s="13"/>
      <c r="E762" s="14"/>
      <c r="I762" s="15"/>
      <c r="J762" s="16"/>
      <c r="K762" s="16"/>
      <c r="L762" s="16"/>
      <c r="M762" s="16"/>
      <c r="N762" s="13"/>
      <c r="S762" s="15"/>
      <c r="T762" s="17"/>
      <c r="U762" s="17"/>
      <c r="V762" s="17"/>
      <c r="W762" s="17"/>
      <c r="X762" s="13"/>
      <c r="AC762" s="15"/>
      <c r="AD762" s="16"/>
      <c r="AE762" s="16"/>
      <c r="AF762" s="16"/>
      <c r="AG762" s="16"/>
      <c r="AH762" s="13"/>
      <c r="AL762" s="18"/>
    </row>
    <row r="763" ht="15.75" customHeight="1">
      <c r="C763" s="12"/>
      <c r="D763" s="13"/>
      <c r="E763" s="14"/>
      <c r="I763" s="15"/>
      <c r="J763" s="16"/>
      <c r="K763" s="16"/>
      <c r="L763" s="16"/>
      <c r="M763" s="16"/>
      <c r="N763" s="13"/>
      <c r="S763" s="15"/>
      <c r="T763" s="17"/>
      <c r="U763" s="17"/>
      <c r="V763" s="17"/>
      <c r="W763" s="17"/>
      <c r="X763" s="13"/>
      <c r="AC763" s="15"/>
      <c r="AD763" s="16"/>
      <c r="AE763" s="16"/>
      <c r="AF763" s="16"/>
      <c r="AG763" s="16"/>
      <c r="AH763" s="13"/>
      <c r="AL763" s="18"/>
    </row>
    <row r="764" ht="15.75" customHeight="1">
      <c r="C764" s="12"/>
      <c r="D764" s="13"/>
      <c r="E764" s="14"/>
      <c r="I764" s="15"/>
      <c r="J764" s="16"/>
      <c r="K764" s="16"/>
      <c r="L764" s="16"/>
      <c r="M764" s="16"/>
      <c r="N764" s="13"/>
      <c r="S764" s="15"/>
      <c r="T764" s="17"/>
      <c r="U764" s="17"/>
      <c r="V764" s="17"/>
      <c r="W764" s="17"/>
      <c r="X764" s="13"/>
      <c r="AC764" s="15"/>
      <c r="AD764" s="16"/>
      <c r="AE764" s="16"/>
      <c r="AF764" s="16"/>
      <c r="AG764" s="16"/>
      <c r="AH764" s="13"/>
      <c r="AL764" s="18"/>
    </row>
    <row r="765" ht="15.75" customHeight="1">
      <c r="C765" s="12"/>
      <c r="D765" s="13"/>
      <c r="E765" s="14"/>
      <c r="I765" s="15"/>
      <c r="J765" s="16"/>
      <c r="K765" s="16"/>
      <c r="L765" s="16"/>
      <c r="M765" s="16"/>
      <c r="N765" s="13"/>
      <c r="S765" s="15"/>
      <c r="T765" s="17"/>
      <c r="U765" s="17"/>
      <c r="V765" s="17"/>
      <c r="W765" s="17"/>
      <c r="X765" s="13"/>
      <c r="AC765" s="15"/>
      <c r="AD765" s="16"/>
      <c r="AE765" s="16"/>
      <c r="AF765" s="16"/>
      <c r="AG765" s="16"/>
      <c r="AH765" s="13"/>
      <c r="AL765" s="18"/>
    </row>
    <row r="766" ht="15.75" customHeight="1">
      <c r="C766" s="12"/>
      <c r="D766" s="13"/>
      <c r="E766" s="14"/>
      <c r="I766" s="15"/>
      <c r="J766" s="16"/>
      <c r="K766" s="16"/>
      <c r="L766" s="16"/>
      <c r="M766" s="16"/>
      <c r="N766" s="13"/>
      <c r="S766" s="15"/>
      <c r="T766" s="17"/>
      <c r="U766" s="17"/>
      <c r="V766" s="17"/>
      <c r="W766" s="17"/>
      <c r="X766" s="13"/>
      <c r="AC766" s="15"/>
      <c r="AD766" s="16"/>
      <c r="AE766" s="16"/>
      <c r="AF766" s="16"/>
      <c r="AG766" s="16"/>
      <c r="AH766" s="13"/>
      <c r="AL766" s="18"/>
    </row>
    <row r="767" ht="15.75" customHeight="1">
      <c r="C767" s="12"/>
      <c r="D767" s="13"/>
      <c r="E767" s="14"/>
      <c r="I767" s="15"/>
      <c r="J767" s="16"/>
      <c r="K767" s="16"/>
      <c r="L767" s="16"/>
      <c r="M767" s="16"/>
      <c r="N767" s="13"/>
      <c r="S767" s="15"/>
      <c r="T767" s="17"/>
      <c r="U767" s="17"/>
      <c r="V767" s="17"/>
      <c r="W767" s="17"/>
      <c r="X767" s="13"/>
      <c r="AC767" s="15"/>
      <c r="AD767" s="16"/>
      <c r="AE767" s="16"/>
      <c r="AF767" s="16"/>
      <c r="AG767" s="16"/>
      <c r="AH767" s="13"/>
      <c r="AL767" s="18"/>
    </row>
    <row r="768" ht="15.75" customHeight="1">
      <c r="C768" s="12"/>
      <c r="D768" s="13"/>
      <c r="E768" s="14"/>
      <c r="I768" s="15"/>
      <c r="J768" s="16"/>
      <c r="K768" s="16"/>
      <c r="L768" s="16"/>
      <c r="M768" s="16"/>
      <c r="N768" s="13"/>
      <c r="S768" s="15"/>
      <c r="T768" s="17"/>
      <c r="U768" s="17"/>
      <c r="V768" s="17"/>
      <c r="W768" s="17"/>
      <c r="X768" s="13"/>
      <c r="AC768" s="15"/>
      <c r="AD768" s="16"/>
      <c r="AE768" s="16"/>
      <c r="AF768" s="16"/>
      <c r="AG768" s="16"/>
      <c r="AH768" s="13"/>
      <c r="AL768" s="18"/>
    </row>
    <row r="769" ht="15.75" customHeight="1">
      <c r="C769" s="12"/>
      <c r="D769" s="13"/>
      <c r="E769" s="14"/>
      <c r="I769" s="15"/>
      <c r="J769" s="16"/>
      <c r="K769" s="16"/>
      <c r="L769" s="16"/>
      <c r="M769" s="16"/>
      <c r="N769" s="13"/>
      <c r="S769" s="15"/>
      <c r="T769" s="17"/>
      <c r="U769" s="17"/>
      <c r="V769" s="17"/>
      <c r="W769" s="17"/>
      <c r="X769" s="13"/>
      <c r="AC769" s="15"/>
      <c r="AD769" s="16"/>
      <c r="AE769" s="16"/>
      <c r="AF769" s="16"/>
      <c r="AG769" s="16"/>
      <c r="AH769" s="13"/>
      <c r="AL769" s="18"/>
    </row>
    <row r="770" ht="15.75" customHeight="1">
      <c r="C770" s="12"/>
      <c r="D770" s="13"/>
      <c r="E770" s="14"/>
      <c r="I770" s="15"/>
      <c r="J770" s="16"/>
      <c r="K770" s="16"/>
      <c r="L770" s="16"/>
      <c r="M770" s="16"/>
      <c r="N770" s="13"/>
      <c r="S770" s="15"/>
      <c r="T770" s="17"/>
      <c r="U770" s="17"/>
      <c r="V770" s="17"/>
      <c r="W770" s="17"/>
      <c r="X770" s="13"/>
      <c r="AC770" s="15"/>
      <c r="AD770" s="16"/>
      <c r="AE770" s="16"/>
      <c r="AF770" s="16"/>
      <c r="AG770" s="16"/>
      <c r="AH770" s="13"/>
      <c r="AL770" s="18"/>
    </row>
    <row r="771" ht="15.75" customHeight="1">
      <c r="C771" s="12"/>
      <c r="D771" s="13"/>
      <c r="E771" s="14"/>
      <c r="I771" s="15"/>
      <c r="J771" s="16"/>
      <c r="K771" s="16"/>
      <c r="L771" s="16"/>
      <c r="M771" s="16"/>
      <c r="N771" s="13"/>
      <c r="S771" s="15"/>
      <c r="T771" s="17"/>
      <c r="U771" s="17"/>
      <c r="V771" s="17"/>
      <c r="W771" s="17"/>
      <c r="X771" s="13"/>
      <c r="AC771" s="15"/>
      <c r="AD771" s="16"/>
      <c r="AE771" s="16"/>
      <c r="AF771" s="16"/>
      <c r="AG771" s="16"/>
      <c r="AH771" s="13"/>
      <c r="AL771" s="18"/>
    </row>
    <row r="772" ht="15.75" customHeight="1">
      <c r="C772" s="12"/>
      <c r="D772" s="13"/>
      <c r="E772" s="14"/>
      <c r="I772" s="15"/>
      <c r="J772" s="16"/>
      <c r="K772" s="16"/>
      <c r="L772" s="16"/>
      <c r="M772" s="16"/>
      <c r="N772" s="13"/>
      <c r="S772" s="15"/>
      <c r="T772" s="17"/>
      <c r="U772" s="17"/>
      <c r="V772" s="17"/>
      <c r="W772" s="17"/>
      <c r="X772" s="13"/>
      <c r="AC772" s="15"/>
      <c r="AD772" s="16"/>
      <c r="AE772" s="16"/>
      <c r="AF772" s="16"/>
      <c r="AG772" s="16"/>
      <c r="AH772" s="13"/>
      <c r="AL772" s="18"/>
    </row>
    <row r="773" ht="15.75" customHeight="1">
      <c r="C773" s="12"/>
      <c r="D773" s="13"/>
      <c r="E773" s="14"/>
      <c r="I773" s="15"/>
      <c r="J773" s="16"/>
      <c r="K773" s="16"/>
      <c r="L773" s="16"/>
      <c r="M773" s="16"/>
      <c r="N773" s="13"/>
      <c r="S773" s="15"/>
      <c r="T773" s="17"/>
      <c r="U773" s="17"/>
      <c r="V773" s="17"/>
      <c r="W773" s="17"/>
      <c r="X773" s="13"/>
      <c r="AC773" s="15"/>
      <c r="AD773" s="16"/>
      <c r="AE773" s="16"/>
      <c r="AF773" s="16"/>
      <c r="AG773" s="16"/>
      <c r="AH773" s="13"/>
      <c r="AL773" s="18"/>
    </row>
    <row r="774" ht="15.75" customHeight="1">
      <c r="C774" s="12"/>
      <c r="D774" s="13"/>
      <c r="E774" s="14"/>
      <c r="I774" s="15"/>
      <c r="J774" s="16"/>
      <c r="K774" s="16"/>
      <c r="L774" s="16"/>
      <c r="M774" s="16"/>
      <c r="N774" s="13"/>
      <c r="S774" s="15"/>
      <c r="T774" s="17"/>
      <c r="U774" s="17"/>
      <c r="V774" s="17"/>
      <c r="W774" s="17"/>
      <c r="X774" s="13"/>
      <c r="AC774" s="15"/>
      <c r="AD774" s="16"/>
      <c r="AE774" s="16"/>
      <c r="AF774" s="16"/>
      <c r="AG774" s="16"/>
      <c r="AH774" s="13"/>
      <c r="AL774" s="18"/>
    </row>
    <row r="775" ht="15.75" customHeight="1">
      <c r="C775" s="12"/>
      <c r="D775" s="13"/>
      <c r="E775" s="14"/>
      <c r="I775" s="15"/>
      <c r="J775" s="16"/>
      <c r="K775" s="16"/>
      <c r="L775" s="16"/>
      <c r="M775" s="16"/>
      <c r="N775" s="13"/>
      <c r="S775" s="15"/>
      <c r="T775" s="17"/>
      <c r="U775" s="17"/>
      <c r="V775" s="17"/>
      <c r="W775" s="17"/>
      <c r="X775" s="13"/>
      <c r="AC775" s="15"/>
      <c r="AD775" s="16"/>
      <c r="AE775" s="16"/>
      <c r="AF775" s="16"/>
      <c r="AG775" s="16"/>
      <c r="AH775" s="13"/>
      <c r="AL775" s="18"/>
    </row>
    <row r="776" ht="15.75" customHeight="1">
      <c r="C776" s="12"/>
      <c r="D776" s="13"/>
      <c r="E776" s="14"/>
      <c r="I776" s="15"/>
      <c r="J776" s="16"/>
      <c r="K776" s="16"/>
      <c r="L776" s="16"/>
      <c r="M776" s="16"/>
      <c r="N776" s="13"/>
      <c r="S776" s="15"/>
      <c r="T776" s="17"/>
      <c r="U776" s="17"/>
      <c r="V776" s="17"/>
      <c r="W776" s="17"/>
      <c r="X776" s="13"/>
      <c r="AC776" s="15"/>
      <c r="AD776" s="16"/>
      <c r="AE776" s="16"/>
      <c r="AF776" s="16"/>
      <c r="AG776" s="16"/>
      <c r="AH776" s="13"/>
      <c r="AL776" s="18"/>
    </row>
    <row r="777" ht="15.75" customHeight="1">
      <c r="C777" s="12"/>
      <c r="D777" s="13"/>
      <c r="E777" s="14"/>
      <c r="I777" s="15"/>
      <c r="J777" s="16"/>
      <c r="K777" s="16"/>
      <c r="L777" s="16"/>
      <c r="M777" s="16"/>
      <c r="N777" s="13"/>
      <c r="S777" s="15"/>
      <c r="T777" s="17"/>
      <c r="U777" s="17"/>
      <c r="V777" s="17"/>
      <c r="W777" s="17"/>
      <c r="X777" s="13"/>
      <c r="AC777" s="15"/>
      <c r="AD777" s="16"/>
      <c r="AE777" s="16"/>
      <c r="AF777" s="16"/>
      <c r="AG777" s="16"/>
      <c r="AH777" s="13"/>
      <c r="AL777" s="18"/>
    </row>
    <row r="778" ht="15.75" customHeight="1">
      <c r="C778" s="12"/>
      <c r="D778" s="13"/>
      <c r="E778" s="14"/>
      <c r="I778" s="15"/>
      <c r="J778" s="16"/>
      <c r="K778" s="16"/>
      <c r="L778" s="16"/>
      <c r="M778" s="16"/>
      <c r="N778" s="13"/>
      <c r="S778" s="15"/>
      <c r="T778" s="17"/>
      <c r="U778" s="17"/>
      <c r="V778" s="17"/>
      <c r="W778" s="17"/>
      <c r="X778" s="13"/>
      <c r="AC778" s="15"/>
      <c r="AD778" s="16"/>
      <c r="AE778" s="16"/>
      <c r="AF778" s="16"/>
      <c r="AG778" s="16"/>
      <c r="AH778" s="13"/>
      <c r="AL778" s="18"/>
    </row>
    <row r="779" ht="15.75" customHeight="1">
      <c r="C779" s="12"/>
      <c r="D779" s="13"/>
      <c r="E779" s="14"/>
      <c r="I779" s="15"/>
      <c r="J779" s="16"/>
      <c r="K779" s="16"/>
      <c r="L779" s="16"/>
      <c r="M779" s="16"/>
      <c r="N779" s="13"/>
      <c r="S779" s="15"/>
      <c r="T779" s="17"/>
      <c r="U779" s="17"/>
      <c r="V779" s="17"/>
      <c r="W779" s="17"/>
      <c r="X779" s="13"/>
      <c r="AC779" s="15"/>
      <c r="AD779" s="16"/>
      <c r="AE779" s="16"/>
      <c r="AF779" s="16"/>
      <c r="AG779" s="16"/>
      <c r="AH779" s="13"/>
      <c r="AL779" s="18"/>
    </row>
    <row r="780" ht="15.75" customHeight="1">
      <c r="C780" s="12"/>
      <c r="D780" s="13"/>
      <c r="E780" s="14"/>
      <c r="I780" s="15"/>
      <c r="J780" s="16"/>
      <c r="K780" s="16"/>
      <c r="L780" s="16"/>
      <c r="M780" s="16"/>
      <c r="N780" s="13"/>
      <c r="S780" s="15"/>
      <c r="T780" s="17"/>
      <c r="U780" s="17"/>
      <c r="V780" s="17"/>
      <c r="W780" s="17"/>
      <c r="X780" s="13"/>
      <c r="AC780" s="15"/>
      <c r="AD780" s="16"/>
      <c r="AE780" s="16"/>
      <c r="AF780" s="16"/>
      <c r="AG780" s="16"/>
      <c r="AH780" s="13"/>
      <c r="AL780" s="18"/>
    </row>
    <row r="781" ht="15.75" customHeight="1">
      <c r="C781" s="12"/>
      <c r="D781" s="13"/>
      <c r="E781" s="14"/>
      <c r="I781" s="15"/>
      <c r="J781" s="16"/>
      <c r="K781" s="16"/>
      <c r="L781" s="16"/>
      <c r="M781" s="16"/>
      <c r="N781" s="13"/>
      <c r="S781" s="15"/>
      <c r="T781" s="17"/>
      <c r="U781" s="17"/>
      <c r="V781" s="17"/>
      <c r="W781" s="17"/>
      <c r="X781" s="13"/>
      <c r="AC781" s="15"/>
      <c r="AD781" s="16"/>
      <c r="AE781" s="16"/>
      <c r="AF781" s="16"/>
      <c r="AG781" s="16"/>
      <c r="AH781" s="13"/>
      <c r="AL781" s="18"/>
    </row>
    <row r="782" ht="15.75" customHeight="1">
      <c r="C782" s="12"/>
      <c r="D782" s="13"/>
      <c r="E782" s="14"/>
      <c r="I782" s="15"/>
      <c r="J782" s="16"/>
      <c r="K782" s="16"/>
      <c r="L782" s="16"/>
      <c r="M782" s="16"/>
      <c r="N782" s="13"/>
      <c r="S782" s="15"/>
      <c r="T782" s="17"/>
      <c r="U782" s="17"/>
      <c r="V782" s="17"/>
      <c r="W782" s="17"/>
      <c r="X782" s="13"/>
      <c r="AC782" s="15"/>
      <c r="AD782" s="16"/>
      <c r="AE782" s="16"/>
      <c r="AF782" s="16"/>
      <c r="AG782" s="16"/>
      <c r="AH782" s="13"/>
      <c r="AL782" s="18"/>
    </row>
    <row r="783" ht="15.75" customHeight="1">
      <c r="C783" s="12"/>
      <c r="D783" s="13"/>
      <c r="E783" s="14"/>
      <c r="I783" s="15"/>
      <c r="J783" s="16"/>
      <c r="K783" s="16"/>
      <c r="L783" s="16"/>
      <c r="M783" s="16"/>
      <c r="N783" s="13"/>
      <c r="S783" s="15"/>
      <c r="T783" s="17"/>
      <c r="U783" s="17"/>
      <c r="V783" s="17"/>
      <c r="W783" s="17"/>
      <c r="X783" s="13"/>
      <c r="AC783" s="15"/>
      <c r="AD783" s="16"/>
      <c r="AE783" s="16"/>
      <c r="AF783" s="16"/>
      <c r="AG783" s="16"/>
      <c r="AH783" s="13"/>
      <c r="AL783" s="18"/>
    </row>
    <row r="784" ht="15.75" customHeight="1">
      <c r="C784" s="12"/>
      <c r="D784" s="13"/>
      <c r="E784" s="14"/>
      <c r="I784" s="15"/>
      <c r="J784" s="16"/>
      <c r="K784" s="16"/>
      <c r="L784" s="16"/>
      <c r="M784" s="16"/>
      <c r="N784" s="13"/>
      <c r="S784" s="15"/>
      <c r="T784" s="17"/>
      <c r="U784" s="17"/>
      <c r="V784" s="17"/>
      <c r="W784" s="17"/>
      <c r="X784" s="13"/>
      <c r="AC784" s="15"/>
      <c r="AD784" s="16"/>
      <c r="AE784" s="16"/>
      <c r="AF784" s="16"/>
      <c r="AG784" s="16"/>
      <c r="AH784" s="13"/>
      <c r="AL784" s="18"/>
    </row>
    <row r="785" ht="15.75" customHeight="1">
      <c r="C785" s="12"/>
      <c r="D785" s="13"/>
      <c r="E785" s="14"/>
      <c r="I785" s="15"/>
      <c r="J785" s="16"/>
      <c r="K785" s="16"/>
      <c r="L785" s="16"/>
      <c r="M785" s="16"/>
      <c r="N785" s="13"/>
      <c r="S785" s="15"/>
      <c r="T785" s="17"/>
      <c r="U785" s="17"/>
      <c r="V785" s="17"/>
      <c r="W785" s="17"/>
      <c r="X785" s="13"/>
      <c r="AC785" s="15"/>
      <c r="AD785" s="16"/>
      <c r="AE785" s="16"/>
      <c r="AF785" s="16"/>
      <c r="AG785" s="16"/>
      <c r="AH785" s="13"/>
      <c r="AL785" s="18"/>
    </row>
    <row r="786" ht="15.75" customHeight="1">
      <c r="C786" s="12"/>
      <c r="D786" s="13"/>
      <c r="E786" s="14"/>
      <c r="I786" s="15"/>
      <c r="J786" s="16"/>
      <c r="K786" s="16"/>
      <c r="L786" s="16"/>
      <c r="M786" s="16"/>
      <c r="N786" s="13"/>
      <c r="S786" s="15"/>
      <c r="T786" s="17"/>
      <c r="U786" s="17"/>
      <c r="V786" s="17"/>
      <c r="W786" s="17"/>
      <c r="X786" s="13"/>
      <c r="AC786" s="15"/>
      <c r="AD786" s="16"/>
      <c r="AE786" s="16"/>
      <c r="AF786" s="16"/>
      <c r="AG786" s="16"/>
      <c r="AH786" s="13"/>
      <c r="AL786" s="18"/>
    </row>
    <row r="787" ht="15.75" customHeight="1">
      <c r="C787" s="12"/>
      <c r="D787" s="13"/>
      <c r="E787" s="14"/>
      <c r="I787" s="15"/>
      <c r="J787" s="16"/>
      <c r="K787" s="16"/>
      <c r="L787" s="16"/>
      <c r="M787" s="16"/>
      <c r="N787" s="13"/>
      <c r="S787" s="15"/>
      <c r="T787" s="17"/>
      <c r="U787" s="17"/>
      <c r="V787" s="17"/>
      <c r="W787" s="17"/>
      <c r="X787" s="13"/>
      <c r="AC787" s="15"/>
      <c r="AD787" s="16"/>
      <c r="AE787" s="16"/>
      <c r="AF787" s="16"/>
      <c r="AG787" s="16"/>
      <c r="AH787" s="13"/>
      <c r="AL787" s="18"/>
    </row>
    <row r="788" ht="15.75" customHeight="1">
      <c r="C788" s="12"/>
      <c r="D788" s="13"/>
      <c r="E788" s="14"/>
      <c r="I788" s="15"/>
      <c r="J788" s="16"/>
      <c r="K788" s="16"/>
      <c r="L788" s="16"/>
      <c r="M788" s="16"/>
      <c r="N788" s="13"/>
      <c r="S788" s="15"/>
      <c r="T788" s="17"/>
      <c r="U788" s="17"/>
      <c r="V788" s="17"/>
      <c r="W788" s="17"/>
      <c r="X788" s="13"/>
      <c r="AC788" s="15"/>
      <c r="AD788" s="16"/>
      <c r="AE788" s="16"/>
      <c r="AF788" s="16"/>
      <c r="AG788" s="16"/>
      <c r="AH788" s="13"/>
      <c r="AL788" s="18"/>
    </row>
    <row r="789" ht="15.75" customHeight="1">
      <c r="C789" s="12"/>
      <c r="D789" s="13"/>
      <c r="E789" s="14"/>
      <c r="I789" s="15"/>
      <c r="J789" s="16"/>
      <c r="K789" s="16"/>
      <c r="L789" s="16"/>
      <c r="M789" s="16"/>
      <c r="N789" s="13"/>
      <c r="S789" s="15"/>
      <c r="T789" s="17"/>
      <c r="U789" s="17"/>
      <c r="V789" s="17"/>
      <c r="W789" s="17"/>
      <c r="X789" s="13"/>
      <c r="AC789" s="15"/>
      <c r="AD789" s="16"/>
      <c r="AE789" s="16"/>
      <c r="AF789" s="16"/>
      <c r="AG789" s="16"/>
      <c r="AH789" s="13"/>
      <c r="AL789" s="18"/>
    </row>
    <row r="790" ht="15.75" customHeight="1">
      <c r="C790" s="12"/>
      <c r="D790" s="13"/>
      <c r="E790" s="14"/>
      <c r="I790" s="15"/>
      <c r="J790" s="16"/>
      <c r="K790" s="16"/>
      <c r="L790" s="16"/>
      <c r="M790" s="16"/>
      <c r="N790" s="13"/>
      <c r="S790" s="15"/>
      <c r="T790" s="17"/>
      <c r="U790" s="17"/>
      <c r="V790" s="17"/>
      <c r="W790" s="17"/>
      <c r="X790" s="13"/>
      <c r="AC790" s="15"/>
      <c r="AD790" s="16"/>
      <c r="AE790" s="16"/>
      <c r="AF790" s="16"/>
      <c r="AG790" s="16"/>
      <c r="AH790" s="13"/>
      <c r="AL790" s="18"/>
    </row>
    <row r="791" ht="15.75" customHeight="1">
      <c r="C791" s="12"/>
      <c r="D791" s="13"/>
      <c r="E791" s="14"/>
      <c r="I791" s="15"/>
      <c r="J791" s="16"/>
      <c r="K791" s="16"/>
      <c r="L791" s="16"/>
      <c r="M791" s="16"/>
      <c r="N791" s="13"/>
      <c r="S791" s="15"/>
      <c r="T791" s="17"/>
      <c r="U791" s="17"/>
      <c r="V791" s="17"/>
      <c r="W791" s="17"/>
      <c r="X791" s="13"/>
      <c r="AC791" s="15"/>
      <c r="AD791" s="16"/>
      <c r="AE791" s="16"/>
      <c r="AF791" s="16"/>
      <c r="AG791" s="16"/>
      <c r="AH791" s="13"/>
      <c r="AL791" s="18"/>
    </row>
    <row r="792" ht="15.75" customHeight="1">
      <c r="C792" s="12"/>
      <c r="D792" s="13"/>
      <c r="E792" s="14"/>
      <c r="I792" s="15"/>
      <c r="J792" s="16"/>
      <c r="K792" s="16"/>
      <c r="L792" s="16"/>
      <c r="M792" s="16"/>
      <c r="N792" s="13"/>
      <c r="S792" s="15"/>
      <c r="T792" s="17"/>
      <c r="U792" s="17"/>
      <c r="V792" s="17"/>
      <c r="W792" s="17"/>
      <c r="X792" s="13"/>
      <c r="AC792" s="15"/>
      <c r="AD792" s="16"/>
      <c r="AE792" s="16"/>
      <c r="AF792" s="16"/>
      <c r="AG792" s="16"/>
      <c r="AH792" s="13"/>
      <c r="AL792" s="18"/>
    </row>
    <row r="793" ht="15.75" customHeight="1">
      <c r="C793" s="12"/>
      <c r="D793" s="13"/>
      <c r="E793" s="14"/>
      <c r="I793" s="15"/>
      <c r="J793" s="16"/>
      <c r="K793" s="16"/>
      <c r="L793" s="16"/>
      <c r="M793" s="16"/>
      <c r="N793" s="13"/>
      <c r="S793" s="15"/>
      <c r="T793" s="17"/>
      <c r="U793" s="17"/>
      <c r="V793" s="17"/>
      <c r="W793" s="17"/>
      <c r="X793" s="13"/>
      <c r="AC793" s="15"/>
      <c r="AD793" s="16"/>
      <c r="AE793" s="16"/>
      <c r="AF793" s="16"/>
      <c r="AG793" s="16"/>
      <c r="AH793" s="13"/>
      <c r="AL793" s="18"/>
    </row>
    <row r="794" ht="15.75" customHeight="1">
      <c r="C794" s="12"/>
      <c r="D794" s="13"/>
      <c r="E794" s="14"/>
      <c r="I794" s="15"/>
      <c r="J794" s="16"/>
      <c r="K794" s="16"/>
      <c r="L794" s="16"/>
      <c r="M794" s="16"/>
      <c r="N794" s="13"/>
      <c r="S794" s="15"/>
      <c r="T794" s="17"/>
      <c r="U794" s="17"/>
      <c r="V794" s="17"/>
      <c r="W794" s="17"/>
      <c r="X794" s="13"/>
      <c r="AC794" s="15"/>
      <c r="AD794" s="16"/>
      <c r="AE794" s="16"/>
      <c r="AF794" s="16"/>
      <c r="AG794" s="16"/>
      <c r="AH794" s="13"/>
      <c r="AL794" s="18"/>
    </row>
    <row r="795" ht="15.75" customHeight="1">
      <c r="C795" s="12"/>
      <c r="D795" s="13"/>
      <c r="E795" s="14"/>
      <c r="I795" s="15"/>
      <c r="J795" s="16"/>
      <c r="K795" s="16"/>
      <c r="L795" s="16"/>
      <c r="M795" s="16"/>
      <c r="N795" s="13"/>
      <c r="S795" s="15"/>
      <c r="T795" s="17"/>
      <c r="U795" s="17"/>
      <c r="V795" s="17"/>
      <c r="W795" s="17"/>
      <c r="X795" s="13"/>
      <c r="AC795" s="15"/>
      <c r="AD795" s="16"/>
      <c r="AE795" s="16"/>
      <c r="AF795" s="16"/>
      <c r="AG795" s="16"/>
      <c r="AH795" s="13"/>
      <c r="AL795" s="18"/>
    </row>
    <row r="796" ht="15.75" customHeight="1">
      <c r="C796" s="12"/>
      <c r="D796" s="13"/>
      <c r="E796" s="14"/>
      <c r="I796" s="15"/>
      <c r="J796" s="16"/>
      <c r="K796" s="16"/>
      <c r="L796" s="16"/>
      <c r="M796" s="16"/>
      <c r="N796" s="13"/>
      <c r="S796" s="15"/>
      <c r="T796" s="17"/>
      <c r="U796" s="17"/>
      <c r="V796" s="17"/>
      <c r="W796" s="17"/>
      <c r="X796" s="13"/>
      <c r="AC796" s="15"/>
      <c r="AD796" s="16"/>
      <c r="AE796" s="16"/>
      <c r="AF796" s="16"/>
      <c r="AG796" s="16"/>
      <c r="AH796" s="13"/>
      <c r="AL796" s="18"/>
    </row>
    <row r="797" ht="15.75" customHeight="1">
      <c r="C797" s="12"/>
      <c r="D797" s="13"/>
      <c r="E797" s="14"/>
      <c r="I797" s="15"/>
      <c r="J797" s="16"/>
      <c r="K797" s="16"/>
      <c r="L797" s="16"/>
      <c r="M797" s="16"/>
      <c r="N797" s="13"/>
      <c r="S797" s="15"/>
      <c r="T797" s="17"/>
      <c r="U797" s="17"/>
      <c r="V797" s="17"/>
      <c r="W797" s="17"/>
      <c r="X797" s="13"/>
      <c r="AC797" s="15"/>
      <c r="AD797" s="16"/>
      <c r="AE797" s="16"/>
      <c r="AF797" s="16"/>
      <c r="AG797" s="16"/>
      <c r="AH797" s="13"/>
      <c r="AL797" s="18"/>
    </row>
    <row r="798" ht="15.75" customHeight="1">
      <c r="C798" s="12"/>
      <c r="D798" s="13"/>
      <c r="E798" s="14"/>
      <c r="I798" s="15"/>
      <c r="J798" s="16"/>
      <c r="K798" s="16"/>
      <c r="L798" s="16"/>
      <c r="M798" s="16"/>
      <c r="N798" s="13"/>
      <c r="S798" s="15"/>
      <c r="T798" s="17"/>
      <c r="U798" s="17"/>
      <c r="V798" s="17"/>
      <c r="W798" s="17"/>
      <c r="X798" s="13"/>
      <c r="AC798" s="15"/>
      <c r="AD798" s="16"/>
      <c r="AE798" s="16"/>
      <c r="AF798" s="16"/>
      <c r="AG798" s="16"/>
      <c r="AH798" s="13"/>
      <c r="AL798" s="18"/>
    </row>
    <row r="799" ht="15.75" customHeight="1">
      <c r="C799" s="12"/>
      <c r="D799" s="13"/>
      <c r="E799" s="14"/>
      <c r="I799" s="15"/>
      <c r="J799" s="16"/>
      <c r="K799" s="16"/>
      <c r="L799" s="16"/>
      <c r="M799" s="16"/>
      <c r="N799" s="13"/>
      <c r="S799" s="15"/>
      <c r="T799" s="17"/>
      <c r="U799" s="17"/>
      <c r="V799" s="17"/>
      <c r="W799" s="17"/>
      <c r="X799" s="13"/>
      <c r="AC799" s="15"/>
      <c r="AD799" s="16"/>
      <c r="AE799" s="16"/>
      <c r="AF799" s="16"/>
      <c r="AG799" s="16"/>
      <c r="AH799" s="13"/>
      <c r="AL799" s="18"/>
    </row>
    <row r="800" ht="15.75" customHeight="1">
      <c r="C800" s="12"/>
      <c r="D800" s="13"/>
      <c r="E800" s="14"/>
      <c r="I800" s="15"/>
      <c r="J800" s="16"/>
      <c r="K800" s="16"/>
      <c r="L800" s="16"/>
      <c r="M800" s="16"/>
      <c r="N800" s="13"/>
      <c r="S800" s="15"/>
      <c r="T800" s="17"/>
      <c r="U800" s="17"/>
      <c r="V800" s="17"/>
      <c r="W800" s="17"/>
      <c r="X800" s="13"/>
      <c r="AC800" s="15"/>
      <c r="AD800" s="16"/>
      <c r="AE800" s="16"/>
      <c r="AF800" s="16"/>
      <c r="AG800" s="16"/>
      <c r="AH800" s="13"/>
      <c r="AL800" s="18"/>
    </row>
    <row r="801" ht="15.75" customHeight="1">
      <c r="C801" s="12"/>
      <c r="D801" s="13"/>
      <c r="E801" s="14"/>
      <c r="I801" s="15"/>
      <c r="J801" s="16"/>
      <c r="K801" s="16"/>
      <c r="L801" s="16"/>
      <c r="M801" s="16"/>
      <c r="N801" s="13"/>
      <c r="S801" s="15"/>
      <c r="T801" s="17"/>
      <c r="U801" s="17"/>
      <c r="V801" s="17"/>
      <c r="W801" s="17"/>
      <c r="X801" s="13"/>
      <c r="AC801" s="15"/>
      <c r="AD801" s="16"/>
      <c r="AE801" s="16"/>
      <c r="AF801" s="16"/>
      <c r="AG801" s="16"/>
      <c r="AH801" s="13"/>
      <c r="AL801" s="18"/>
    </row>
    <row r="802" ht="15.75" customHeight="1">
      <c r="C802" s="12"/>
      <c r="D802" s="13"/>
      <c r="E802" s="14"/>
      <c r="I802" s="15"/>
      <c r="J802" s="16"/>
      <c r="K802" s="16"/>
      <c r="L802" s="16"/>
      <c r="M802" s="16"/>
      <c r="N802" s="13"/>
      <c r="S802" s="15"/>
      <c r="T802" s="17"/>
      <c r="U802" s="17"/>
      <c r="V802" s="17"/>
      <c r="W802" s="17"/>
      <c r="X802" s="13"/>
      <c r="AC802" s="15"/>
      <c r="AD802" s="16"/>
      <c r="AE802" s="16"/>
      <c r="AF802" s="16"/>
      <c r="AG802" s="16"/>
      <c r="AH802" s="13"/>
      <c r="AL802" s="18"/>
    </row>
    <row r="803" ht="15.75" customHeight="1">
      <c r="C803" s="12"/>
      <c r="D803" s="13"/>
      <c r="E803" s="14"/>
      <c r="I803" s="15"/>
      <c r="J803" s="16"/>
      <c r="K803" s="16"/>
      <c r="L803" s="16"/>
      <c r="M803" s="16"/>
      <c r="N803" s="13"/>
      <c r="S803" s="15"/>
      <c r="T803" s="17"/>
      <c r="U803" s="17"/>
      <c r="V803" s="17"/>
      <c r="W803" s="17"/>
      <c r="X803" s="13"/>
      <c r="AC803" s="15"/>
      <c r="AD803" s="16"/>
      <c r="AE803" s="16"/>
      <c r="AF803" s="16"/>
      <c r="AG803" s="16"/>
      <c r="AH803" s="13"/>
      <c r="AL803" s="18"/>
    </row>
    <row r="804" ht="15.75" customHeight="1">
      <c r="C804" s="12"/>
      <c r="D804" s="13"/>
      <c r="E804" s="14"/>
      <c r="I804" s="15"/>
      <c r="J804" s="16"/>
      <c r="K804" s="16"/>
      <c r="L804" s="16"/>
      <c r="M804" s="16"/>
      <c r="N804" s="13"/>
      <c r="S804" s="15"/>
      <c r="T804" s="17"/>
      <c r="U804" s="17"/>
      <c r="V804" s="17"/>
      <c r="W804" s="17"/>
      <c r="X804" s="13"/>
      <c r="AC804" s="15"/>
      <c r="AD804" s="16"/>
      <c r="AE804" s="16"/>
      <c r="AF804" s="16"/>
      <c r="AG804" s="16"/>
      <c r="AH804" s="13"/>
      <c r="AL804" s="18"/>
    </row>
    <row r="805" ht="15.75" customHeight="1">
      <c r="C805" s="12"/>
      <c r="D805" s="13"/>
      <c r="E805" s="14"/>
      <c r="I805" s="15"/>
      <c r="J805" s="16"/>
      <c r="K805" s="16"/>
      <c r="L805" s="16"/>
      <c r="M805" s="16"/>
      <c r="N805" s="13"/>
      <c r="S805" s="15"/>
      <c r="T805" s="17"/>
      <c r="U805" s="17"/>
      <c r="V805" s="17"/>
      <c r="W805" s="17"/>
      <c r="X805" s="13"/>
      <c r="AC805" s="15"/>
      <c r="AD805" s="16"/>
      <c r="AE805" s="16"/>
      <c r="AF805" s="16"/>
      <c r="AG805" s="16"/>
      <c r="AH805" s="13"/>
      <c r="AL805" s="18"/>
    </row>
    <row r="806" ht="15.75" customHeight="1">
      <c r="C806" s="12"/>
      <c r="D806" s="13"/>
      <c r="E806" s="14"/>
      <c r="I806" s="15"/>
      <c r="J806" s="16"/>
      <c r="K806" s="16"/>
      <c r="L806" s="16"/>
      <c r="M806" s="16"/>
      <c r="N806" s="13"/>
      <c r="S806" s="15"/>
      <c r="T806" s="17"/>
      <c r="U806" s="17"/>
      <c r="V806" s="17"/>
      <c r="W806" s="17"/>
      <c r="X806" s="13"/>
      <c r="AC806" s="15"/>
      <c r="AD806" s="16"/>
      <c r="AE806" s="16"/>
      <c r="AF806" s="16"/>
      <c r="AG806" s="16"/>
      <c r="AH806" s="13"/>
      <c r="AL806" s="18"/>
    </row>
    <row r="807" ht="15.75" customHeight="1">
      <c r="C807" s="12"/>
      <c r="D807" s="13"/>
      <c r="E807" s="14"/>
      <c r="I807" s="15"/>
      <c r="J807" s="16"/>
      <c r="K807" s="16"/>
      <c r="L807" s="16"/>
      <c r="M807" s="16"/>
      <c r="N807" s="13"/>
      <c r="S807" s="15"/>
      <c r="T807" s="17"/>
      <c r="U807" s="17"/>
      <c r="V807" s="17"/>
      <c r="W807" s="17"/>
      <c r="X807" s="13"/>
      <c r="AC807" s="15"/>
      <c r="AD807" s="16"/>
      <c r="AE807" s="16"/>
      <c r="AF807" s="16"/>
      <c r="AG807" s="16"/>
      <c r="AH807" s="13"/>
      <c r="AL807" s="18"/>
    </row>
    <row r="808" ht="15.75" customHeight="1">
      <c r="C808" s="12"/>
      <c r="D808" s="13"/>
      <c r="E808" s="14"/>
      <c r="I808" s="15"/>
      <c r="J808" s="16"/>
      <c r="K808" s="16"/>
      <c r="L808" s="16"/>
      <c r="M808" s="16"/>
      <c r="N808" s="13"/>
      <c r="S808" s="15"/>
      <c r="T808" s="17"/>
      <c r="U808" s="17"/>
      <c r="V808" s="17"/>
      <c r="W808" s="17"/>
      <c r="X808" s="13"/>
      <c r="AC808" s="15"/>
      <c r="AD808" s="16"/>
      <c r="AE808" s="16"/>
      <c r="AF808" s="16"/>
      <c r="AG808" s="16"/>
      <c r="AH808" s="13"/>
      <c r="AL808" s="18"/>
    </row>
    <row r="809" ht="15.75" customHeight="1">
      <c r="C809" s="12"/>
      <c r="D809" s="13"/>
      <c r="E809" s="14"/>
      <c r="I809" s="15"/>
      <c r="J809" s="16"/>
      <c r="K809" s="16"/>
      <c r="L809" s="16"/>
      <c r="M809" s="16"/>
      <c r="N809" s="13"/>
      <c r="S809" s="15"/>
      <c r="T809" s="17"/>
      <c r="U809" s="17"/>
      <c r="V809" s="17"/>
      <c r="W809" s="17"/>
      <c r="X809" s="13"/>
      <c r="AC809" s="15"/>
      <c r="AD809" s="16"/>
      <c r="AE809" s="16"/>
      <c r="AF809" s="16"/>
      <c r="AG809" s="16"/>
      <c r="AH809" s="13"/>
      <c r="AL809" s="18"/>
    </row>
    <row r="810" ht="15.75" customHeight="1">
      <c r="C810" s="12"/>
      <c r="D810" s="13"/>
      <c r="E810" s="14"/>
      <c r="I810" s="15"/>
      <c r="J810" s="16"/>
      <c r="K810" s="16"/>
      <c r="L810" s="16"/>
      <c r="M810" s="16"/>
      <c r="N810" s="13"/>
      <c r="S810" s="15"/>
      <c r="T810" s="17"/>
      <c r="U810" s="17"/>
      <c r="V810" s="17"/>
      <c r="W810" s="17"/>
      <c r="X810" s="13"/>
      <c r="AC810" s="15"/>
      <c r="AD810" s="16"/>
      <c r="AE810" s="16"/>
      <c r="AF810" s="16"/>
      <c r="AG810" s="16"/>
      <c r="AH810" s="13"/>
      <c r="AL810" s="18"/>
    </row>
    <row r="811" ht="15.75" customHeight="1">
      <c r="C811" s="12"/>
      <c r="D811" s="13"/>
      <c r="E811" s="14"/>
      <c r="I811" s="15"/>
      <c r="J811" s="16"/>
      <c r="K811" s="16"/>
      <c r="L811" s="16"/>
      <c r="M811" s="16"/>
      <c r="N811" s="13"/>
      <c r="S811" s="15"/>
      <c r="T811" s="17"/>
      <c r="U811" s="17"/>
      <c r="V811" s="17"/>
      <c r="W811" s="17"/>
      <c r="X811" s="13"/>
      <c r="AC811" s="15"/>
      <c r="AD811" s="16"/>
      <c r="AE811" s="16"/>
      <c r="AF811" s="16"/>
      <c r="AG811" s="16"/>
      <c r="AH811" s="13"/>
      <c r="AL811" s="18"/>
    </row>
    <row r="812" ht="15.75" customHeight="1">
      <c r="C812" s="12"/>
      <c r="D812" s="13"/>
      <c r="E812" s="14"/>
      <c r="I812" s="15"/>
      <c r="J812" s="16"/>
      <c r="K812" s="16"/>
      <c r="L812" s="16"/>
      <c r="M812" s="16"/>
      <c r="N812" s="13"/>
      <c r="S812" s="15"/>
      <c r="T812" s="17"/>
      <c r="U812" s="17"/>
      <c r="V812" s="17"/>
      <c r="W812" s="17"/>
      <c r="X812" s="13"/>
      <c r="AC812" s="15"/>
      <c r="AD812" s="16"/>
      <c r="AE812" s="16"/>
      <c r="AF812" s="16"/>
      <c r="AG812" s="16"/>
      <c r="AH812" s="13"/>
      <c r="AL812" s="18"/>
    </row>
    <row r="813" ht="15.75" customHeight="1">
      <c r="C813" s="12"/>
      <c r="D813" s="13"/>
      <c r="E813" s="14"/>
      <c r="I813" s="15"/>
      <c r="J813" s="16"/>
      <c r="K813" s="16"/>
      <c r="L813" s="16"/>
      <c r="M813" s="16"/>
      <c r="N813" s="13"/>
      <c r="S813" s="15"/>
      <c r="T813" s="17"/>
      <c r="U813" s="17"/>
      <c r="V813" s="17"/>
      <c r="W813" s="17"/>
      <c r="X813" s="13"/>
      <c r="AC813" s="15"/>
      <c r="AD813" s="16"/>
      <c r="AE813" s="16"/>
      <c r="AF813" s="16"/>
      <c r="AG813" s="16"/>
      <c r="AH813" s="13"/>
      <c r="AL813" s="18"/>
    </row>
    <row r="814" ht="15.75" customHeight="1">
      <c r="C814" s="12"/>
      <c r="D814" s="13"/>
      <c r="E814" s="14"/>
      <c r="I814" s="15"/>
      <c r="J814" s="16"/>
      <c r="K814" s="16"/>
      <c r="L814" s="16"/>
      <c r="M814" s="16"/>
      <c r="N814" s="13"/>
      <c r="S814" s="15"/>
      <c r="T814" s="17"/>
      <c r="U814" s="17"/>
      <c r="V814" s="17"/>
      <c r="W814" s="17"/>
      <c r="X814" s="13"/>
      <c r="AC814" s="15"/>
      <c r="AD814" s="16"/>
      <c r="AE814" s="16"/>
      <c r="AF814" s="16"/>
      <c r="AG814" s="16"/>
      <c r="AH814" s="13"/>
      <c r="AL814" s="18"/>
    </row>
    <row r="815" ht="15.75" customHeight="1">
      <c r="C815" s="12"/>
      <c r="D815" s="13"/>
      <c r="E815" s="14"/>
      <c r="I815" s="15"/>
      <c r="J815" s="16"/>
      <c r="K815" s="16"/>
      <c r="L815" s="16"/>
      <c r="M815" s="16"/>
      <c r="N815" s="13"/>
      <c r="S815" s="15"/>
      <c r="T815" s="17"/>
      <c r="U815" s="17"/>
      <c r="V815" s="17"/>
      <c r="W815" s="17"/>
      <c r="X815" s="13"/>
      <c r="AC815" s="15"/>
      <c r="AD815" s="16"/>
      <c r="AE815" s="16"/>
      <c r="AF815" s="16"/>
      <c r="AG815" s="16"/>
      <c r="AH815" s="13"/>
      <c r="AL815" s="18"/>
    </row>
    <row r="816" ht="15.75" customHeight="1">
      <c r="C816" s="12"/>
      <c r="D816" s="13"/>
      <c r="E816" s="14"/>
      <c r="I816" s="15"/>
      <c r="J816" s="16"/>
      <c r="K816" s="16"/>
      <c r="L816" s="16"/>
      <c r="M816" s="16"/>
      <c r="N816" s="13"/>
      <c r="S816" s="15"/>
      <c r="T816" s="17"/>
      <c r="U816" s="17"/>
      <c r="V816" s="17"/>
      <c r="W816" s="17"/>
      <c r="X816" s="13"/>
      <c r="AC816" s="15"/>
      <c r="AD816" s="16"/>
      <c r="AE816" s="16"/>
      <c r="AF816" s="16"/>
      <c r="AG816" s="16"/>
      <c r="AH816" s="13"/>
      <c r="AL816" s="18"/>
    </row>
    <row r="817" ht="15.75" customHeight="1">
      <c r="C817" s="12"/>
      <c r="D817" s="13"/>
      <c r="E817" s="14"/>
      <c r="I817" s="15"/>
      <c r="J817" s="16"/>
      <c r="K817" s="16"/>
      <c r="L817" s="16"/>
      <c r="M817" s="16"/>
      <c r="N817" s="13"/>
      <c r="S817" s="15"/>
      <c r="T817" s="17"/>
      <c r="U817" s="17"/>
      <c r="V817" s="17"/>
      <c r="W817" s="17"/>
      <c r="X817" s="13"/>
      <c r="AC817" s="15"/>
      <c r="AD817" s="16"/>
      <c r="AE817" s="16"/>
      <c r="AF817" s="16"/>
      <c r="AG817" s="16"/>
      <c r="AH817" s="13"/>
      <c r="AL817" s="18"/>
    </row>
    <row r="818" ht="15.75" customHeight="1">
      <c r="C818" s="12"/>
      <c r="D818" s="13"/>
      <c r="E818" s="14"/>
      <c r="I818" s="15"/>
      <c r="J818" s="16"/>
      <c r="K818" s="16"/>
      <c r="L818" s="16"/>
      <c r="M818" s="16"/>
      <c r="N818" s="13"/>
      <c r="S818" s="15"/>
      <c r="T818" s="17"/>
      <c r="U818" s="17"/>
      <c r="V818" s="17"/>
      <c r="W818" s="17"/>
      <c r="X818" s="13"/>
      <c r="AC818" s="15"/>
      <c r="AD818" s="16"/>
      <c r="AE818" s="16"/>
      <c r="AF818" s="16"/>
      <c r="AG818" s="16"/>
      <c r="AH818" s="13"/>
      <c r="AL818" s="18"/>
    </row>
    <row r="819" ht="15.75" customHeight="1">
      <c r="C819" s="12"/>
      <c r="D819" s="13"/>
      <c r="E819" s="14"/>
      <c r="I819" s="15"/>
      <c r="J819" s="16"/>
      <c r="K819" s="16"/>
      <c r="L819" s="16"/>
      <c r="M819" s="16"/>
      <c r="N819" s="13"/>
      <c r="S819" s="15"/>
      <c r="T819" s="17"/>
      <c r="U819" s="17"/>
      <c r="V819" s="17"/>
      <c r="W819" s="17"/>
      <c r="X819" s="13"/>
      <c r="AC819" s="15"/>
      <c r="AD819" s="16"/>
      <c r="AE819" s="16"/>
      <c r="AF819" s="16"/>
      <c r="AG819" s="16"/>
      <c r="AH819" s="13"/>
      <c r="AL819" s="18"/>
    </row>
    <row r="820" ht="15.75" customHeight="1">
      <c r="C820" s="12"/>
      <c r="D820" s="13"/>
      <c r="E820" s="14"/>
      <c r="I820" s="15"/>
      <c r="J820" s="16"/>
      <c r="K820" s="16"/>
      <c r="L820" s="16"/>
      <c r="M820" s="16"/>
      <c r="N820" s="13"/>
      <c r="S820" s="15"/>
      <c r="T820" s="17"/>
      <c r="U820" s="17"/>
      <c r="V820" s="17"/>
      <c r="W820" s="17"/>
      <c r="X820" s="13"/>
      <c r="AC820" s="15"/>
      <c r="AD820" s="16"/>
      <c r="AE820" s="16"/>
      <c r="AF820" s="16"/>
      <c r="AG820" s="16"/>
      <c r="AH820" s="13"/>
      <c r="AL820" s="18"/>
    </row>
    <row r="821" ht="15.75" customHeight="1">
      <c r="C821" s="12"/>
      <c r="D821" s="13"/>
      <c r="E821" s="14"/>
      <c r="I821" s="15"/>
      <c r="J821" s="16"/>
      <c r="K821" s="16"/>
      <c r="L821" s="16"/>
      <c r="M821" s="16"/>
      <c r="N821" s="13"/>
      <c r="S821" s="15"/>
      <c r="T821" s="17"/>
      <c r="U821" s="17"/>
      <c r="V821" s="17"/>
      <c r="W821" s="17"/>
      <c r="X821" s="13"/>
      <c r="AC821" s="15"/>
      <c r="AD821" s="16"/>
      <c r="AE821" s="16"/>
      <c r="AF821" s="16"/>
      <c r="AG821" s="16"/>
      <c r="AH821" s="13"/>
      <c r="AL821" s="18"/>
    </row>
    <row r="822" ht="15.75" customHeight="1">
      <c r="C822" s="12"/>
      <c r="D822" s="13"/>
      <c r="E822" s="14"/>
      <c r="I822" s="15"/>
      <c r="J822" s="16"/>
      <c r="K822" s="16"/>
      <c r="L822" s="16"/>
      <c r="M822" s="16"/>
      <c r="N822" s="13"/>
      <c r="S822" s="15"/>
      <c r="T822" s="17"/>
      <c r="U822" s="17"/>
      <c r="V822" s="17"/>
      <c r="W822" s="17"/>
      <c r="X822" s="13"/>
      <c r="AC822" s="15"/>
      <c r="AD822" s="16"/>
      <c r="AE822" s="16"/>
      <c r="AF822" s="16"/>
      <c r="AG822" s="16"/>
      <c r="AH822" s="13"/>
      <c r="AL822" s="18"/>
    </row>
    <row r="823" ht="15.75" customHeight="1">
      <c r="C823" s="12"/>
      <c r="D823" s="13"/>
      <c r="E823" s="14"/>
      <c r="I823" s="15"/>
      <c r="J823" s="16"/>
      <c r="K823" s="16"/>
      <c r="L823" s="16"/>
      <c r="M823" s="16"/>
      <c r="N823" s="13"/>
      <c r="S823" s="15"/>
      <c r="T823" s="17"/>
      <c r="U823" s="17"/>
      <c r="V823" s="17"/>
      <c r="W823" s="17"/>
      <c r="X823" s="13"/>
      <c r="AC823" s="15"/>
      <c r="AD823" s="16"/>
      <c r="AE823" s="16"/>
      <c r="AF823" s="16"/>
      <c r="AG823" s="16"/>
      <c r="AH823" s="13"/>
      <c r="AL823" s="18"/>
    </row>
    <row r="824" ht="15.75" customHeight="1">
      <c r="C824" s="12"/>
      <c r="D824" s="13"/>
      <c r="E824" s="14"/>
      <c r="I824" s="15"/>
      <c r="J824" s="16"/>
      <c r="K824" s="16"/>
      <c r="L824" s="16"/>
      <c r="M824" s="16"/>
      <c r="N824" s="13"/>
      <c r="S824" s="15"/>
      <c r="T824" s="17"/>
      <c r="U824" s="17"/>
      <c r="V824" s="17"/>
      <c r="W824" s="17"/>
      <c r="X824" s="13"/>
      <c r="AC824" s="15"/>
      <c r="AD824" s="16"/>
      <c r="AE824" s="16"/>
      <c r="AF824" s="16"/>
      <c r="AG824" s="16"/>
      <c r="AH824" s="13"/>
      <c r="AL824" s="18"/>
    </row>
    <row r="825" ht="15.75" customHeight="1">
      <c r="C825" s="12"/>
      <c r="D825" s="13"/>
      <c r="E825" s="14"/>
      <c r="I825" s="15"/>
      <c r="J825" s="16"/>
      <c r="K825" s="16"/>
      <c r="L825" s="16"/>
      <c r="M825" s="16"/>
      <c r="N825" s="13"/>
      <c r="S825" s="15"/>
      <c r="T825" s="17"/>
      <c r="U825" s="17"/>
      <c r="V825" s="17"/>
      <c r="W825" s="17"/>
      <c r="X825" s="13"/>
      <c r="AC825" s="15"/>
      <c r="AD825" s="16"/>
      <c r="AE825" s="16"/>
      <c r="AF825" s="16"/>
      <c r="AG825" s="16"/>
      <c r="AH825" s="13"/>
      <c r="AL825" s="18"/>
    </row>
    <row r="826" ht="15.75" customHeight="1">
      <c r="C826" s="12"/>
      <c r="D826" s="13"/>
      <c r="E826" s="14"/>
      <c r="I826" s="15"/>
      <c r="J826" s="16"/>
      <c r="K826" s="16"/>
      <c r="L826" s="16"/>
      <c r="M826" s="16"/>
      <c r="N826" s="13"/>
      <c r="S826" s="15"/>
      <c r="T826" s="17"/>
      <c r="U826" s="17"/>
      <c r="V826" s="17"/>
      <c r="W826" s="17"/>
      <c r="X826" s="13"/>
      <c r="AC826" s="15"/>
      <c r="AD826" s="16"/>
      <c r="AE826" s="16"/>
      <c r="AF826" s="16"/>
      <c r="AG826" s="16"/>
      <c r="AH826" s="13"/>
      <c r="AL826" s="18"/>
    </row>
    <row r="827" ht="15.75" customHeight="1">
      <c r="C827" s="12"/>
      <c r="D827" s="13"/>
      <c r="E827" s="14"/>
      <c r="I827" s="15"/>
      <c r="J827" s="16"/>
      <c r="K827" s="16"/>
      <c r="L827" s="16"/>
      <c r="M827" s="16"/>
      <c r="N827" s="13"/>
      <c r="S827" s="15"/>
      <c r="T827" s="17"/>
      <c r="U827" s="17"/>
      <c r="V827" s="17"/>
      <c r="W827" s="17"/>
      <c r="X827" s="13"/>
      <c r="AC827" s="15"/>
      <c r="AD827" s="16"/>
      <c r="AE827" s="16"/>
      <c r="AF827" s="16"/>
      <c r="AG827" s="16"/>
      <c r="AH827" s="13"/>
      <c r="AL827" s="18"/>
    </row>
    <row r="828" ht="15.75" customHeight="1">
      <c r="C828" s="12"/>
      <c r="D828" s="13"/>
      <c r="E828" s="14"/>
      <c r="I828" s="15"/>
      <c r="J828" s="16"/>
      <c r="K828" s="16"/>
      <c r="L828" s="16"/>
      <c r="M828" s="16"/>
      <c r="N828" s="13"/>
      <c r="S828" s="15"/>
      <c r="T828" s="17"/>
      <c r="U828" s="17"/>
      <c r="V828" s="17"/>
      <c r="W828" s="17"/>
      <c r="X828" s="13"/>
      <c r="AC828" s="15"/>
      <c r="AD828" s="16"/>
      <c r="AE828" s="16"/>
      <c r="AF828" s="16"/>
      <c r="AG828" s="16"/>
      <c r="AH828" s="13"/>
      <c r="AL828" s="18"/>
    </row>
    <row r="829" ht="15.75" customHeight="1">
      <c r="C829" s="12"/>
      <c r="D829" s="13"/>
      <c r="E829" s="14"/>
      <c r="I829" s="15"/>
      <c r="J829" s="16"/>
      <c r="K829" s="16"/>
      <c r="L829" s="16"/>
      <c r="M829" s="16"/>
      <c r="N829" s="13"/>
      <c r="S829" s="15"/>
      <c r="T829" s="17"/>
      <c r="U829" s="17"/>
      <c r="V829" s="17"/>
      <c r="W829" s="17"/>
      <c r="X829" s="13"/>
      <c r="AC829" s="15"/>
      <c r="AD829" s="16"/>
      <c r="AE829" s="16"/>
      <c r="AF829" s="16"/>
      <c r="AG829" s="16"/>
      <c r="AH829" s="13"/>
      <c r="AL829" s="18"/>
    </row>
    <row r="830" ht="15.75" customHeight="1">
      <c r="C830" s="12"/>
      <c r="D830" s="13"/>
      <c r="E830" s="14"/>
      <c r="I830" s="15"/>
      <c r="J830" s="16"/>
      <c r="K830" s="16"/>
      <c r="L830" s="16"/>
      <c r="M830" s="16"/>
      <c r="N830" s="13"/>
      <c r="S830" s="15"/>
      <c r="T830" s="17"/>
      <c r="U830" s="17"/>
      <c r="V830" s="17"/>
      <c r="W830" s="17"/>
      <c r="X830" s="13"/>
      <c r="AC830" s="15"/>
      <c r="AD830" s="16"/>
      <c r="AE830" s="16"/>
      <c r="AF830" s="16"/>
      <c r="AG830" s="16"/>
      <c r="AH830" s="13"/>
      <c r="AL830" s="18"/>
    </row>
    <row r="831" ht="15.75" customHeight="1">
      <c r="C831" s="12"/>
      <c r="D831" s="13"/>
      <c r="E831" s="14"/>
      <c r="I831" s="15"/>
      <c r="J831" s="16"/>
      <c r="K831" s="16"/>
      <c r="L831" s="16"/>
      <c r="M831" s="16"/>
      <c r="N831" s="13"/>
      <c r="S831" s="15"/>
      <c r="T831" s="17"/>
      <c r="U831" s="17"/>
      <c r="V831" s="17"/>
      <c r="W831" s="17"/>
      <c r="X831" s="13"/>
      <c r="AC831" s="15"/>
      <c r="AD831" s="16"/>
      <c r="AE831" s="16"/>
      <c r="AF831" s="16"/>
      <c r="AG831" s="16"/>
      <c r="AH831" s="13"/>
      <c r="AL831" s="18"/>
    </row>
    <row r="832" ht="15.75" customHeight="1">
      <c r="C832" s="12"/>
      <c r="D832" s="13"/>
      <c r="E832" s="14"/>
      <c r="I832" s="15"/>
      <c r="J832" s="16"/>
      <c r="K832" s="16"/>
      <c r="L832" s="16"/>
      <c r="M832" s="16"/>
      <c r="N832" s="13"/>
      <c r="S832" s="15"/>
      <c r="T832" s="17"/>
      <c r="U832" s="17"/>
      <c r="V832" s="17"/>
      <c r="W832" s="17"/>
      <c r="X832" s="13"/>
      <c r="AC832" s="15"/>
      <c r="AD832" s="16"/>
      <c r="AE832" s="16"/>
      <c r="AF832" s="16"/>
      <c r="AG832" s="16"/>
      <c r="AH832" s="13"/>
      <c r="AL832" s="18"/>
    </row>
    <row r="833" ht="15.75" customHeight="1">
      <c r="C833" s="12"/>
      <c r="D833" s="13"/>
      <c r="E833" s="14"/>
      <c r="I833" s="15"/>
      <c r="J833" s="16"/>
      <c r="K833" s="16"/>
      <c r="L833" s="16"/>
      <c r="M833" s="16"/>
      <c r="N833" s="13"/>
      <c r="S833" s="15"/>
      <c r="T833" s="17"/>
      <c r="U833" s="17"/>
      <c r="V833" s="17"/>
      <c r="W833" s="17"/>
      <c r="X833" s="13"/>
      <c r="AC833" s="15"/>
      <c r="AD833" s="16"/>
      <c r="AE833" s="16"/>
      <c r="AF833" s="16"/>
      <c r="AG833" s="16"/>
      <c r="AH833" s="13"/>
      <c r="AL833" s="18"/>
    </row>
    <row r="834" ht="15.75" customHeight="1">
      <c r="C834" s="12"/>
      <c r="D834" s="13"/>
      <c r="E834" s="14"/>
      <c r="I834" s="15"/>
      <c r="J834" s="16"/>
      <c r="K834" s="16"/>
      <c r="L834" s="16"/>
      <c r="M834" s="16"/>
      <c r="N834" s="13"/>
      <c r="S834" s="15"/>
      <c r="T834" s="17"/>
      <c r="U834" s="17"/>
      <c r="V834" s="17"/>
      <c r="W834" s="17"/>
      <c r="X834" s="13"/>
      <c r="AC834" s="15"/>
      <c r="AD834" s="16"/>
      <c r="AE834" s="16"/>
      <c r="AF834" s="16"/>
      <c r="AG834" s="16"/>
      <c r="AH834" s="13"/>
      <c r="AL834" s="18"/>
    </row>
    <row r="835" ht="15.75" customHeight="1">
      <c r="C835" s="12"/>
      <c r="D835" s="13"/>
      <c r="E835" s="14"/>
      <c r="I835" s="15"/>
      <c r="J835" s="16"/>
      <c r="K835" s="16"/>
      <c r="L835" s="16"/>
      <c r="M835" s="16"/>
      <c r="N835" s="13"/>
      <c r="S835" s="15"/>
      <c r="T835" s="17"/>
      <c r="U835" s="17"/>
      <c r="V835" s="17"/>
      <c r="W835" s="17"/>
      <c r="X835" s="13"/>
      <c r="AC835" s="15"/>
      <c r="AD835" s="16"/>
      <c r="AE835" s="16"/>
      <c r="AF835" s="16"/>
      <c r="AG835" s="16"/>
      <c r="AH835" s="13"/>
      <c r="AL835" s="18"/>
    </row>
    <row r="836" ht="15.75" customHeight="1">
      <c r="C836" s="12"/>
      <c r="D836" s="13"/>
      <c r="E836" s="14"/>
      <c r="I836" s="15"/>
      <c r="J836" s="16"/>
      <c r="K836" s="16"/>
      <c r="L836" s="16"/>
      <c r="M836" s="16"/>
      <c r="N836" s="13"/>
      <c r="S836" s="15"/>
      <c r="T836" s="17"/>
      <c r="U836" s="17"/>
      <c r="V836" s="17"/>
      <c r="W836" s="17"/>
      <c r="X836" s="13"/>
      <c r="AC836" s="15"/>
      <c r="AD836" s="16"/>
      <c r="AE836" s="16"/>
      <c r="AF836" s="16"/>
      <c r="AG836" s="16"/>
      <c r="AH836" s="13"/>
      <c r="AL836" s="18"/>
    </row>
    <row r="837" ht="15.75" customHeight="1">
      <c r="C837" s="12"/>
      <c r="D837" s="13"/>
      <c r="E837" s="14"/>
      <c r="I837" s="15"/>
      <c r="J837" s="16"/>
      <c r="K837" s="16"/>
      <c r="L837" s="16"/>
      <c r="M837" s="16"/>
      <c r="N837" s="13"/>
      <c r="S837" s="15"/>
      <c r="T837" s="17"/>
      <c r="U837" s="17"/>
      <c r="V837" s="17"/>
      <c r="W837" s="17"/>
      <c r="X837" s="13"/>
      <c r="AC837" s="15"/>
      <c r="AD837" s="16"/>
      <c r="AE837" s="16"/>
      <c r="AF837" s="16"/>
      <c r="AG837" s="16"/>
      <c r="AH837" s="13"/>
      <c r="AL837" s="18"/>
    </row>
    <row r="838" ht="15.75" customHeight="1">
      <c r="C838" s="12"/>
      <c r="D838" s="13"/>
      <c r="E838" s="14"/>
      <c r="I838" s="15"/>
      <c r="J838" s="16"/>
      <c r="K838" s="16"/>
      <c r="L838" s="16"/>
      <c r="M838" s="16"/>
      <c r="N838" s="13"/>
      <c r="S838" s="15"/>
      <c r="T838" s="17"/>
      <c r="U838" s="17"/>
      <c r="V838" s="17"/>
      <c r="W838" s="17"/>
      <c r="X838" s="13"/>
      <c r="AC838" s="15"/>
      <c r="AD838" s="16"/>
      <c r="AE838" s="16"/>
      <c r="AF838" s="16"/>
      <c r="AG838" s="16"/>
      <c r="AH838" s="13"/>
      <c r="AL838" s="18"/>
    </row>
    <row r="839" ht="15.75" customHeight="1">
      <c r="C839" s="12"/>
      <c r="D839" s="13"/>
      <c r="E839" s="14"/>
      <c r="I839" s="15"/>
      <c r="J839" s="16"/>
      <c r="K839" s="16"/>
      <c r="L839" s="16"/>
      <c r="M839" s="16"/>
      <c r="N839" s="13"/>
      <c r="S839" s="15"/>
      <c r="T839" s="17"/>
      <c r="U839" s="17"/>
      <c r="V839" s="17"/>
      <c r="W839" s="17"/>
      <c r="X839" s="13"/>
      <c r="AC839" s="15"/>
      <c r="AD839" s="16"/>
      <c r="AE839" s="16"/>
      <c r="AF839" s="16"/>
      <c r="AG839" s="16"/>
      <c r="AH839" s="13"/>
      <c r="AL839" s="18"/>
    </row>
    <row r="840" ht="15.75" customHeight="1">
      <c r="C840" s="12"/>
      <c r="D840" s="13"/>
      <c r="E840" s="14"/>
      <c r="I840" s="15"/>
      <c r="J840" s="16"/>
      <c r="K840" s="16"/>
      <c r="L840" s="16"/>
      <c r="M840" s="16"/>
      <c r="N840" s="13"/>
      <c r="S840" s="15"/>
      <c r="T840" s="17"/>
      <c r="U840" s="17"/>
      <c r="V840" s="17"/>
      <c r="W840" s="17"/>
      <c r="X840" s="13"/>
      <c r="AC840" s="15"/>
      <c r="AD840" s="16"/>
      <c r="AE840" s="16"/>
      <c r="AF840" s="16"/>
      <c r="AG840" s="16"/>
      <c r="AH840" s="13"/>
      <c r="AL840" s="18"/>
    </row>
    <row r="841" ht="15.75" customHeight="1">
      <c r="C841" s="12"/>
      <c r="D841" s="13"/>
      <c r="E841" s="14"/>
      <c r="I841" s="15"/>
      <c r="J841" s="16"/>
      <c r="K841" s="16"/>
      <c r="L841" s="16"/>
      <c r="M841" s="16"/>
      <c r="N841" s="13"/>
      <c r="S841" s="15"/>
      <c r="T841" s="17"/>
      <c r="U841" s="17"/>
      <c r="V841" s="17"/>
      <c r="W841" s="17"/>
      <c r="X841" s="13"/>
      <c r="AC841" s="15"/>
      <c r="AD841" s="16"/>
      <c r="AE841" s="16"/>
      <c r="AF841" s="16"/>
      <c r="AG841" s="16"/>
      <c r="AH841" s="13"/>
      <c r="AL841" s="18"/>
    </row>
    <row r="842" ht="15.75" customHeight="1">
      <c r="C842" s="12"/>
      <c r="D842" s="13"/>
      <c r="E842" s="14"/>
      <c r="I842" s="15"/>
      <c r="J842" s="16"/>
      <c r="K842" s="16"/>
      <c r="L842" s="16"/>
      <c r="M842" s="16"/>
      <c r="N842" s="13"/>
      <c r="S842" s="15"/>
      <c r="T842" s="17"/>
      <c r="U842" s="17"/>
      <c r="V842" s="17"/>
      <c r="W842" s="17"/>
      <c r="X842" s="13"/>
      <c r="AC842" s="15"/>
      <c r="AD842" s="16"/>
      <c r="AE842" s="16"/>
      <c r="AF842" s="16"/>
      <c r="AG842" s="16"/>
      <c r="AH842" s="13"/>
      <c r="AL842" s="18"/>
    </row>
    <row r="843" ht="15.75" customHeight="1">
      <c r="C843" s="12"/>
      <c r="D843" s="13"/>
      <c r="E843" s="14"/>
      <c r="I843" s="15"/>
      <c r="J843" s="16"/>
      <c r="K843" s="16"/>
      <c r="L843" s="16"/>
      <c r="M843" s="16"/>
      <c r="N843" s="13"/>
      <c r="S843" s="15"/>
      <c r="T843" s="17"/>
      <c r="U843" s="17"/>
      <c r="V843" s="17"/>
      <c r="W843" s="17"/>
      <c r="X843" s="13"/>
      <c r="AC843" s="15"/>
      <c r="AD843" s="16"/>
      <c r="AE843" s="16"/>
      <c r="AF843" s="16"/>
      <c r="AG843" s="16"/>
      <c r="AH843" s="13"/>
      <c r="AL843" s="18"/>
    </row>
    <row r="844" ht="15.75" customHeight="1">
      <c r="C844" s="12"/>
      <c r="D844" s="13"/>
      <c r="E844" s="14"/>
      <c r="I844" s="15"/>
      <c r="J844" s="16"/>
      <c r="K844" s="16"/>
      <c r="L844" s="16"/>
      <c r="M844" s="16"/>
      <c r="N844" s="13"/>
      <c r="S844" s="15"/>
      <c r="T844" s="17"/>
      <c r="U844" s="17"/>
      <c r="V844" s="17"/>
      <c r="W844" s="17"/>
      <c r="X844" s="13"/>
      <c r="AC844" s="15"/>
      <c r="AD844" s="16"/>
      <c r="AE844" s="16"/>
      <c r="AF844" s="16"/>
      <c r="AG844" s="16"/>
      <c r="AH844" s="13"/>
      <c r="AL844" s="18"/>
    </row>
    <row r="845" ht="15.75" customHeight="1">
      <c r="C845" s="12"/>
      <c r="D845" s="13"/>
      <c r="E845" s="14"/>
      <c r="I845" s="15"/>
      <c r="J845" s="16"/>
      <c r="K845" s="16"/>
      <c r="L845" s="16"/>
      <c r="M845" s="16"/>
      <c r="N845" s="13"/>
      <c r="S845" s="15"/>
      <c r="T845" s="17"/>
      <c r="U845" s="17"/>
      <c r="V845" s="17"/>
      <c r="W845" s="17"/>
      <c r="X845" s="13"/>
      <c r="AC845" s="15"/>
      <c r="AD845" s="16"/>
      <c r="AE845" s="16"/>
      <c r="AF845" s="16"/>
      <c r="AG845" s="16"/>
      <c r="AH845" s="13"/>
      <c r="AL845" s="18"/>
    </row>
    <row r="846" ht="15.75" customHeight="1">
      <c r="C846" s="12"/>
      <c r="D846" s="13"/>
      <c r="E846" s="14"/>
      <c r="I846" s="15"/>
      <c r="J846" s="16"/>
      <c r="K846" s="16"/>
      <c r="L846" s="16"/>
      <c r="M846" s="16"/>
      <c r="N846" s="13"/>
      <c r="S846" s="15"/>
      <c r="T846" s="17"/>
      <c r="U846" s="17"/>
      <c r="V846" s="17"/>
      <c r="W846" s="17"/>
      <c r="X846" s="13"/>
      <c r="AC846" s="15"/>
      <c r="AD846" s="16"/>
      <c r="AE846" s="16"/>
      <c r="AF846" s="16"/>
      <c r="AG846" s="16"/>
      <c r="AH846" s="13"/>
      <c r="AL846" s="18"/>
    </row>
    <row r="847" ht="15.75" customHeight="1">
      <c r="C847" s="12"/>
      <c r="D847" s="13"/>
      <c r="E847" s="14"/>
      <c r="I847" s="15"/>
      <c r="J847" s="16"/>
      <c r="K847" s="16"/>
      <c r="L847" s="16"/>
      <c r="M847" s="16"/>
      <c r="N847" s="13"/>
      <c r="S847" s="15"/>
      <c r="T847" s="17"/>
      <c r="U847" s="17"/>
      <c r="V847" s="17"/>
      <c r="W847" s="17"/>
      <c r="X847" s="13"/>
      <c r="AC847" s="15"/>
      <c r="AD847" s="16"/>
      <c r="AE847" s="16"/>
      <c r="AF847" s="16"/>
      <c r="AG847" s="16"/>
      <c r="AH847" s="13"/>
      <c r="AL847" s="18"/>
    </row>
    <row r="848" ht="15.75" customHeight="1">
      <c r="C848" s="12"/>
      <c r="D848" s="13"/>
      <c r="E848" s="14"/>
      <c r="I848" s="15"/>
      <c r="J848" s="16"/>
      <c r="K848" s="16"/>
      <c r="L848" s="16"/>
      <c r="M848" s="16"/>
      <c r="N848" s="13"/>
      <c r="S848" s="15"/>
      <c r="T848" s="17"/>
      <c r="U848" s="17"/>
      <c r="V848" s="17"/>
      <c r="W848" s="17"/>
      <c r="X848" s="13"/>
      <c r="AC848" s="15"/>
      <c r="AD848" s="16"/>
      <c r="AE848" s="16"/>
      <c r="AF848" s="16"/>
      <c r="AG848" s="16"/>
      <c r="AH848" s="13"/>
      <c r="AL848" s="18"/>
    </row>
    <row r="849" ht="15.75" customHeight="1">
      <c r="C849" s="12"/>
      <c r="D849" s="13"/>
      <c r="E849" s="14"/>
      <c r="I849" s="15"/>
      <c r="J849" s="16"/>
      <c r="K849" s="16"/>
      <c r="L849" s="16"/>
      <c r="M849" s="16"/>
      <c r="N849" s="13"/>
      <c r="S849" s="15"/>
      <c r="T849" s="17"/>
      <c r="U849" s="17"/>
      <c r="V849" s="17"/>
      <c r="W849" s="17"/>
      <c r="X849" s="13"/>
      <c r="AC849" s="15"/>
      <c r="AD849" s="16"/>
      <c r="AE849" s="16"/>
      <c r="AF849" s="16"/>
      <c r="AG849" s="16"/>
      <c r="AH849" s="13"/>
      <c r="AL849" s="18"/>
    </row>
    <row r="850" ht="15.75" customHeight="1">
      <c r="C850" s="12"/>
      <c r="D850" s="13"/>
      <c r="E850" s="14"/>
      <c r="I850" s="15"/>
      <c r="J850" s="16"/>
      <c r="K850" s="16"/>
      <c r="L850" s="16"/>
      <c r="M850" s="16"/>
      <c r="N850" s="13"/>
      <c r="S850" s="15"/>
      <c r="T850" s="17"/>
      <c r="U850" s="17"/>
      <c r="V850" s="17"/>
      <c r="W850" s="17"/>
      <c r="X850" s="13"/>
      <c r="AC850" s="15"/>
      <c r="AD850" s="16"/>
      <c r="AE850" s="16"/>
      <c r="AF850" s="16"/>
      <c r="AG850" s="16"/>
      <c r="AH850" s="13"/>
      <c r="AL850" s="18"/>
    </row>
    <row r="851" ht="15.75" customHeight="1">
      <c r="C851" s="12"/>
      <c r="D851" s="13"/>
      <c r="E851" s="14"/>
      <c r="I851" s="15"/>
      <c r="J851" s="16"/>
      <c r="K851" s="16"/>
      <c r="L851" s="16"/>
      <c r="M851" s="16"/>
      <c r="N851" s="13"/>
      <c r="S851" s="15"/>
      <c r="T851" s="17"/>
      <c r="U851" s="17"/>
      <c r="V851" s="17"/>
      <c r="W851" s="17"/>
      <c r="X851" s="13"/>
      <c r="AC851" s="15"/>
      <c r="AD851" s="16"/>
      <c r="AE851" s="16"/>
      <c r="AF851" s="16"/>
      <c r="AG851" s="16"/>
      <c r="AH851" s="13"/>
      <c r="AL851" s="18"/>
    </row>
    <row r="852" ht="15.75" customHeight="1">
      <c r="C852" s="12"/>
      <c r="D852" s="13"/>
      <c r="E852" s="14"/>
      <c r="I852" s="15"/>
      <c r="J852" s="16"/>
      <c r="K852" s="16"/>
      <c r="L852" s="16"/>
      <c r="M852" s="16"/>
      <c r="N852" s="13"/>
      <c r="S852" s="15"/>
      <c r="T852" s="17"/>
      <c r="U852" s="17"/>
      <c r="V852" s="17"/>
      <c r="W852" s="17"/>
      <c r="X852" s="13"/>
      <c r="AC852" s="15"/>
      <c r="AD852" s="16"/>
      <c r="AE852" s="16"/>
      <c r="AF852" s="16"/>
      <c r="AG852" s="16"/>
      <c r="AH852" s="13"/>
      <c r="AL852" s="18"/>
    </row>
    <row r="853" ht="15.75" customHeight="1">
      <c r="C853" s="12"/>
      <c r="D853" s="13"/>
      <c r="E853" s="14"/>
      <c r="I853" s="15"/>
      <c r="J853" s="16"/>
      <c r="K853" s="16"/>
      <c r="L853" s="16"/>
      <c r="M853" s="16"/>
      <c r="N853" s="13"/>
      <c r="S853" s="15"/>
      <c r="T853" s="17"/>
      <c r="U853" s="17"/>
      <c r="V853" s="17"/>
      <c r="W853" s="17"/>
      <c r="X853" s="13"/>
      <c r="AC853" s="15"/>
      <c r="AD853" s="16"/>
      <c r="AE853" s="16"/>
      <c r="AF853" s="16"/>
      <c r="AG853" s="16"/>
      <c r="AH853" s="13"/>
      <c r="AL853" s="18"/>
    </row>
    <row r="854" ht="15.75" customHeight="1">
      <c r="C854" s="12"/>
      <c r="D854" s="13"/>
      <c r="E854" s="14"/>
      <c r="I854" s="15"/>
      <c r="J854" s="16"/>
      <c r="K854" s="16"/>
      <c r="L854" s="16"/>
      <c r="M854" s="16"/>
      <c r="N854" s="13"/>
      <c r="S854" s="15"/>
      <c r="T854" s="17"/>
      <c r="U854" s="17"/>
      <c r="V854" s="17"/>
      <c r="W854" s="17"/>
      <c r="X854" s="13"/>
      <c r="AC854" s="15"/>
      <c r="AD854" s="16"/>
      <c r="AE854" s="16"/>
      <c r="AF854" s="16"/>
      <c r="AG854" s="16"/>
      <c r="AH854" s="13"/>
      <c r="AL854" s="18"/>
    </row>
    <row r="855" ht="15.75" customHeight="1">
      <c r="C855" s="12"/>
      <c r="D855" s="13"/>
      <c r="E855" s="14"/>
      <c r="I855" s="15"/>
      <c r="J855" s="16"/>
      <c r="K855" s="16"/>
      <c r="L855" s="16"/>
      <c r="M855" s="16"/>
      <c r="N855" s="13"/>
      <c r="S855" s="15"/>
      <c r="T855" s="17"/>
      <c r="U855" s="17"/>
      <c r="V855" s="17"/>
      <c r="W855" s="17"/>
      <c r="X855" s="13"/>
      <c r="AC855" s="15"/>
      <c r="AD855" s="16"/>
      <c r="AE855" s="16"/>
      <c r="AF855" s="16"/>
      <c r="AG855" s="16"/>
      <c r="AH855" s="13"/>
      <c r="AL855" s="18"/>
    </row>
    <row r="856" ht="15.75" customHeight="1">
      <c r="C856" s="12"/>
      <c r="D856" s="13"/>
      <c r="E856" s="14"/>
      <c r="I856" s="15"/>
      <c r="J856" s="16"/>
      <c r="K856" s="16"/>
      <c r="L856" s="16"/>
      <c r="M856" s="16"/>
      <c r="N856" s="13"/>
      <c r="S856" s="15"/>
      <c r="T856" s="17"/>
      <c r="U856" s="17"/>
      <c r="V856" s="17"/>
      <c r="W856" s="17"/>
      <c r="X856" s="13"/>
      <c r="AC856" s="15"/>
      <c r="AD856" s="16"/>
      <c r="AE856" s="16"/>
      <c r="AF856" s="16"/>
      <c r="AG856" s="16"/>
      <c r="AH856" s="13"/>
      <c r="AL856" s="18"/>
    </row>
    <row r="857" ht="15.75" customHeight="1">
      <c r="C857" s="12"/>
      <c r="D857" s="13"/>
      <c r="E857" s="14"/>
      <c r="I857" s="15"/>
      <c r="J857" s="16"/>
      <c r="K857" s="16"/>
      <c r="L857" s="16"/>
      <c r="M857" s="16"/>
      <c r="N857" s="13"/>
      <c r="S857" s="15"/>
      <c r="T857" s="17"/>
      <c r="U857" s="17"/>
      <c r="V857" s="17"/>
      <c r="W857" s="17"/>
      <c r="X857" s="13"/>
      <c r="AC857" s="15"/>
      <c r="AD857" s="16"/>
      <c r="AE857" s="16"/>
      <c r="AF857" s="16"/>
      <c r="AG857" s="16"/>
      <c r="AH857" s="13"/>
      <c r="AL857" s="18"/>
    </row>
    <row r="858" ht="15.75" customHeight="1">
      <c r="C858" s="12"/>
      <c r="D858" s="13"/>
      <c r="E858" s="14"/>
      <c r="I858" s="15"/>
      <c r="J858" s="16"/>
      <c r="K858" s="16"/>
      <c r="L858" s="16"/>
      <c r="M858" s="16"/>
      <c r="N858" s="13"/>
      <c r="S858" s="15"/>
      <c r="T858" s="17"/>
      <c r="U858" s="17"/>
      <c r="V858" s="17"/>
      <c r="W858" s="17"/>
      <c r="X858" s="13"/>
      <c r="AC858" s="15"/>
      <c r="AD858" s="16"/>
      <c r="AE858" s="16"/>
      <c r="AF858" s="16"/>
      <c r="AG858" s="16"/>
      <c r="AH858" s="13"/>
      <c r="AL858" s="18"/>
    </row>
    <row r="859" ht="15.75" customHeight="1">
      <c r="C859" s="12"/>
      <c r="D859" s="13"/>
      <c r="E859" s="14"/>
      <c r="I859" s="15"/>
      <c r="J859" s="16"/>
      <c r="K859" s="16"/>
      <c r="L859" s="16"/>
      <c r="M859" s="16"/>
      <c r="N859" s="13"/>
      <c r="S859" s="15"/>
      <c r="T859" s="17"/>
      <c r="U859" s="17"/>
      <c r="V859" s="17"/>
      <c r="W859" s="17"/>
      <c r="X859" s="13"/>
      <c r="AC859" s="15"/>
      <c r="AD859" s="16"/>
      <c r="AE859" s="16"/>
      <c r="AF859" s="16"/>
      <c r="AG859" s="16"/>
      <c r="AH859" s="13"/>
      <c r="AL859" s="18"/>
    </row>
    <row r="860" ht="15.75" customHeight="1">
      <c r="C860" s="12"/>
      <c r="D860" s="13"/>
      <c r="E860" s="14"/>
      <c r="I860" s="15"/>
      <c r="J860" s="16"/>
      <c r="K860" s="16"/>
      <c r="L860" s="16"/>
      <c r="M860" s="16"/>
      <c r="N860" s="13"/>
      <c r="S860" s="15"/>
      <c r="T860" s="17"/>
      <c r="U860" s="17"/>
      <c r="V860" s="17"/>
      <c r="W860" s="17"/>
      <c r="X860" s="13"/>
      <c r="AC860" s="15"/>
      <c r="AD860" s="16"/>
      <c r="AE860" s="16"/>
      <c r="AF860" s="16"/>
      <c r="AG860" s="16"/>
      <c r="AH860" s="13"/>
      <c r="AL860" s="18"/>
    </row>
    <row r="861" ht="15.75" customHeight="1">
      <c r="C861" s="12"/>
      <c r="D861" s="13"/>
      <c r="E861" s="14"/>
      <c r="I861" s="15"/>
      <c r="J861" s="16"/>
      <c r="K861" s="16"/>
      <c r="L861" s="16"/>
      <c r="M861" s="16"/>
      <c r="N861" s="13"/>
      <c r="S861" s="15"/>
      <c r="T861" s="17"/>
      <c r="U861" s="17"/>
      <c r="V861" s="17"/>
      <c r="W861" s="17"/>
      <c r="X861" s="13"/>
      <c r="AC861" s="15"/>
      <c r="AD861" s="16"/>
      <c r="AE861" s="16"/>
      <c r="AF861" s="16"/>
      <c r="AG861" s="16"/>
      <c r="AH861" s="13"/>
      <c r="AL861" s="18"/>
    </row>
    <row r="862" ht="15.75" customHeight="1">
      <c r="C862" s="12"/>
      <c r="D862" s="13"/>
      <c r="E862" s="14"/>
      <c r="I862" s="15"/>
      <c r="J862" s="16"/>
      <c r="K862" s="16"/>
      <c r="L862" s="16"/>
      <c r="M862" s="16"/>
      <c r="N862" s="13"/>
      <c r="S862" s="15"/>
      <c r="T862" s="17"/>
      <c r="U862" s="17"/>
      <c r="V862" s="17"/>
      <c r="W862" s="17"/>
      <c r="X862" s="13"/>
      <c r="AC862" s="15"/>
      <c r="AD862" s="16"/>
      <c r="AE862" s="16"/>
      <c r="AF862" s="16"/>
      <c r="AG862" s="16"/>
      <c r="AH862" s="13"/>
      <c r="AL862" s="18"/>
    </row>
    <row r="863" ht="15.75" customHeight="1">
      <c r="C863" s="12"/>
      <c r="D863" s="13"/>
      <c r="E863" s="14"/>
      <c r="I863" s="15"/>
      <c r="J863" s="16"/>
      <c r="K863" s="16"/>
      <c r="L863" s="16"/>
      <c r="M863" s="16"/>
      <c r="N863" s="13"/>
      <c r="S863" s="15"/>
      <c r="T863" s="17"/>
      <c r="U863" s="17"/>
      <c r="V863" s="17"/>
      <c r="W863" s="17"/>
      <c r="X863" s="13"/>
      <c r="AC863" s="15"/>
      <c r="AD863" s="16"/>
      <c r="AE863" s="16"/>
      <c r="AF863" s="16"/>
      <c r="AG863" s="16"/>
      <c r="AH863" s="13"/>
      <c r="AL863" s="18"/>
    </row>
    <row r="864" ht="15.75" customHeight="1">
      <c r="C864" s="12"/>
      <c r="D864" s="13"/>
      <c r="E864" s="14"/>
      <c r="I864" s="15"/>
      <c r="J864" s="16"/>
      <c r="K864" s="16"/>
      <c r="L864" s="16"/>
      <c r="M864" s="16"/>
      <c r="N864" s="13"/>
      <c r="S864" s="15"/>
      <c r="T864" s="17"/>
      <c r="U864" s="17"/>
      <c r="V864" s="17"/>
      <c r="W864" s="17"/>
      <c r="X864" s="13"/>
      <c r="AC864" s="15"/>
      <c r="AD864" s="16"/>
      <c r="AE864" s="16"/>
      <c r="AF864" s="16"/>
      <c r="AG864" s="16"/>
      <c r="AH864" s="13"/>
      <c r="AL864" s="18"/>
    </row>
    <row r="865" ht="15.75" customHeight="1">
      <c r="C865" s="12"/>
      <c r="D865" s="13"/>
      <c r="E865" s="14"/>
      <c r="I865" s="15"/>
      <c r="J865" s="16"/>
      <c r="K865" s="16"/>
      <c r="L865" s="16"/>
      <c r="M865" s="16"/>
      <c r="N865" s="13"/>
      <c r="S865" s="15"/>
      <c r="T865" s="17"/>
      <c r="U865" s="17"/>
      <c r="V865" s="17"/>
      <c r="W865" s="17"/>
      <c r="X865" s="13"/>
      <c r="AC865" s="15"/>
      <c r="AD865" s="16"/>
      <c r="AE865" s="16"/>
      <c r="AF865" s="16"/>
      <c r="AG865" s="16"/>
      <c r="AH865" s="13"/>
      <c r="AL865" s="18"/>
    </row>
    <row r="866" ht="15.75" customHeight="1">
      <c r="C866" s="12"/>
      <c r="D866" s="13"/>
      <c r="E866" s="14"/>
      <c r="I866" s="15"/>
      <c r="J866" s="16"/>
      <c r="K866" s="16"/>
      <c r="L866" s="16"/>
      <c r="M866" s="16"/>
      <c r="N866" s="13"/>
      <c r="S866" s="15"/>
      <c r="T866" s="17"/>
      <c r="U866" s="17"/>
      <c r="V866" s="17"/>
      <c r="W866" s="17"/>
      <c r="X866" s="13"/>
      <c r="AC866" s="15"/>
      <c r="AD866" s="16"/>
      <c r="AE866" s="16"/>
      <c r="AF866" s="16"/>
      <c r="AG866" s="16"/>
      <c r="AH866" s="13"/>
      <c r="AL866" s="18"/>
    </row>
    <row r="867" ht="15.75" customHeight="1">
      <c r="C867" s="12"/>
      <c r="D867" s="13"/>
      <c r="E867" s="14"/>
      <c r="I867" s="15"/>
      <c r="J867" s="16"/>
      <c r="K867" s="16"/>
      <c r="L867" s="16"/>
      <c r="M867" s="16"/>
      <c r="N867" s="13"/>
      <c r="S867" s="15"/>
      <c r="T867" s="17"/>
      <c r="U867" s="17"/>
      <c r="V867" s="17"/>
      <c r="W867" s="17"/>
      <c r="X867" s="13"/>
      <c r="AC867" s="15"/>
      <c r="AD867" s="16"/>
      <c r="AE867" s="16"/>
      <c r="AF867" s="16"/>
      <c r="AG867" s="16"/>
      <c r="AH867" s="13"/>
      <c r="AL867" s="18"/>
    </row>
    <row r="868" ht="15.75" customHeight="1">
      <c r="C868" s="12"/>
      <c r="D868" s="13"/>
      <c r="E868" s="14"/>
      <c r="I868" s="15"/>
      <c r="J868" s="16"/>
      <c r="K868" s="16"/>
      <c r="L868" s="16"/>
      <c r="M868" s="16"/>
      <c r="N868" s="13"/>
      <c r="S868" s="15"/>
      <c r="T868" s="17"/>
      <c r="U868" s="17"/>
      <c r="V868" s="17"/>
      <c r="W868" s="17"/>
      <c r="X868" s="13"/>
      <c r="AC868" s="15"/>
      <c r="AD868" s="16"/>
      <c r="AE868" s="16"/>
      <c r="AF868" s="16"/>
      <c r="AG868" s="16"/>
      <c r="AH868" s="13"/>
      <c r="AL868" s="18"/>
    </row>
    <row r="869" ht="15.75" customHeight="1">
      <c r="C869" s="12"/>
      <c r="D869" s="13"/>
      <c r="E869" s="14"/>
      <c r="I869" s="15"/>
      <c r="J869" s="16"/>
      <c r="K869" s="16"/>
      <c r="L869" s="16"/>
      <c r="M869" s="16"/>
      <c r="N869" s="13"/>
      <c r="S869" s="15"/>
      <c r="T869" s="17"/>
      <c r="U869" s="17"/>
      <c r="V869" s="17"/>
      <c r="W869" s="17"/>
      <c r="X869" s="13"/>
      <c r="AC869" s="15"/>
      <c r="AD869" s="16"/>
      <c r="AE869" s="16"/>
      <c r="AF869" s="16"/>
      <c r="AG869" s="16"/>
      <c r="AH869" s="13"/>
      <c r="AL869" s="18"/>
    </row>
    <row r="870" ht="15.75" customHeight="1">
      <c r="C870" s="12"/>
      <c r="D870" s="13"/>
      <c r="E870" s="14"/>
      <c r="I870" s="15"/>
      <c r="J870" s="16"/>
      <c r="K870" s="16"/>
      <c r="L870" s="16"/>
      <c r="M870" s="16"/>
      <c r="N870" s="13"/>
      <c r="S870" s="15"/>
      <c r="T870" s="17"/>
      <c r="U870" s="17"/>
      <c r="V870" s="17"/>
      <c r="W870" s="17"/>
      <c r="X870" s="13"/>
      <c r="AC870" s="15"/>
      <c r="AD870" s="16"/>
      <c r="AE870" s="16"/>
      <c r="AF870" s="16"/>
      <c r="AG870" s="16"/>
      <c r="AH870" s="13"/>
      <c r="AL870" s="18"/>
    </row>
    <row r="871" ht="15.75" customHeight="1">
      <c r="C871" s="12"/>
      <c r="D871" s="13"/>
      <c r="E871" s="14"/>
      <c r="I871" s="15"/>
      <c r="J871" s="16"/>
      <c r="K871" s="16"/>
      <c r="L871" s="16"/>
      <c r="M871" s="16"/>
      <c r="N871" s="13"/>
      <c r="S871" s="15"/>
      <c r="T871" s="17"/>
      <c r="U871" s="17"/>
      <c r="V871" s="17"/>
      <c r="W871" s="17"/>
      <c r="X871" s="13"/>
      <c r="AC871" s="15"/>
      <c r="AD871" s="16"/>
      <c r="AE871" s="16"/>
      <c r="AF871" s="16"/>
      <c r="AG871" s="16"/>
      <c r="AH871" s="13"/>
      <c r="AL871" s="18"/>
    </row>
    <row r="872" ht="15.75" customHeight="1">
      <c r="C872" s="12"/>
      <c r="D872" s="13"/>
      <c r="E872" s="14"/>
      <c r="I872" s="15"/>
      <c r="J872" s="16"/>
      <c r="K872" s="16"/>
      <c r="L872" s="16"/>
      <c r="M872" s="16"/>
      <c r="N872" s="13"/>
      <c r="S872" s="15"/>
      <c r="T872" s="17"/>
      <c r="U872" s="17"/>
      <c r="V872" s="17"/>
      <c r="W872" s="17"/>
      <c r="X872" s="13"/>
      <c r="AC872" s="15"/>
      <c r="AD872" s="16"/>
      <c r="AE872" s="16"/>
      <c r="AF872" s="16"/>
      <c r="AG872" s="16"/>
      <c r="AH872" s="13"/>
      <c r="AL872" s="18"/>
    </row>
    <row r="873" ht="15.75" customHeight="1">
      <c r="C873" s="12"/>
      <c r="D873" s="13"/>
      <c r="E873" s="14"/>
      <c r="I873" s="15"/>
      <c r="J873" s="16"/>
      <c r="K873" s="16"/>
      <c r="L873" s="16"/>
      <c r="M873" s="16"/>
      <c r="N873" s="13"/>
      <c r="S873" s="15"/>
      <c r="T873" s="17"/>
      <c r="U873" s="17"/>
      <c r="V873" s="17"/>
      <c r="W873" s="17"/>
      <c r="X873" s="13"/>
      <c r="AC873" s="15"/>
      <c r="AD873" s="16"/>
      <c r="AE873" s="16"/>
      <c r="AF873" s="16"/>
      <c r="AG873" s="16"/>
      <c r="AH873" s="13"/>
      <c r="AL873" s="18"/>
    </row>
    <row r="874" ht="15.75" customHeight="1">
      <c r="C874" s="12"/>
      <c r="D874" s="13"/>
      <c r="E874" s="14"/>
      <c r="I874" s="15"/>
      <c r="J874" s="16"/>
      <c r="K874" s="16"/>
      <c r="L874" s="16"/>
      <c r="M874" s="16"/>
      <c r="N874" s="13"/>
      <c r="S874" s="15"/>
      <c r="T874" s="17"/>
      <c r="U874" s="17"/>
      <c r="V874" s="17"/>
      <c r="W874" s="17"/>
      <c r="X874" s="13"/>
      <c r="AC874" s="15"/>
      <c r="AD874" s="16"/>
      <c r="AE874" s="16"/>
      <c r="AF874" s="16"/>
      <c r="AG874" s="16"/>
      <c r="AH874" s="13"/>
      <c r="AL874" s="18"/>
    </row>
    <row r="875" ht="15.75" customHeight="1">
      <c r="C875" s="12"/>
      <c r="D875" s="13"/>
      <c r="E875" s="14"/>
      <c r="I875" s="15"/>
      <c r="J875" s="16"/>
      <c r="K875" s="16"/>
      <c r="L875" s="16"/>
      <c r="M875" s="16"/>
      <c r="N875" s="13"/>
      <c r="S875" s="15"/>
      <c r="T875" s="17"/>
      <c r="U875" s="17"/>
      <c r="V875" s="17"/>
      <c r="W875" s="17"/>
      <c r="X875" s="13"/>
      <c r="AC875" s="15"/>
      <c r="AD875" s="16"/>
      <c r="AE875" s="16"/>
      <c r="AF875" s="16"/>
      <c r="AG875" s="16"/>
      <c r="AH875" s="13"/>
      <c r="AL875" s="18"/>
    </row>
    <row r="876" ht="15.75" customHeight="1">
      <c r="C876" s="12"/>
      <c r="D876" s="13"/>
      <c r="E876" s="14"/>
      <c r="I876" s="15"/>
      <c r="J876" s="16"/>
      <c r="K876" s="16"/>
      <c r="L876" s="16"/>
      <c r="M876" s="16"/>
      <c r="N876" s="13"/>
      <c r="S876" s="15"/>
      <c r="T876" s="17"/>
      <c r="U876" s="17"/>
      <c r="V876" s="17"/>
      <c r="W876" s="17"/>
      <c r="X876" s="13"/>
      <c r="AC876" s="15"/>
      <c r="AD876" s="16"/>
      <c r="AE876" s="16"/>
      <c r="AF876" s="16"/>
      <c r="AG876" s="16"/>
      <c r="AH876" s="13"/>
      <c r="AL876" s="18"/>
    </row>
    <row r="877" ht="15.75" customHeight="1">
      <c r="C877" s="12"/>
      <c r="D877" s="13"/>
      <c r="E877" s="14"/>
      <c r="I877" s="15"/>
      <c r="J877" s="16"/>
      <c r="K877" s="16"/>
      <c r="L877" s="16"/>
      <c r="M877" s="16"/>
      <c r="N877" s="13"/>
      <c r="S877" s="15"/>
      <c r="T877" s="17"/>
      <c r="U877" s="17"/>
      <c r="V877" s="17"/>
      <c r="W877" s="17"/>
      <c r="X877" s="13"/>
      <c r="AC877" s="15"/>
      <c r="AD877" s="16"/>
      <c r="AE877" s="16"/>
      <c r="AF877" s="16"/>
      <c r="AG877" s="16"/>
      <c r="AH877" s="13"/>
      <c r="AL877" s="18"/>
    </row>
    <row r="878" ht="15.75" customHeight="1">
      <c r="C878" s="12"/>
      <c r="D878" s="13"/>
      <c r="E878" s="14"/>
      <c r="I878" s="15"/>
      <c r="J878" s="16"/>
      <c r="K878" s="16"/>
      <c r="L878" s="16"/>
      <c r="M878" s="16"/>
      <c r="N878" s="13"/>
      <c r="S878" s="15"/>
      <c r="T878" s="17"/>
      <c r="U878" s="17"/>
      <c r="V878" s="17"/>
      <c r="W878" s="17"/>
      <c r="X878" s="13"/>
      <c r="AC878" s="15"/>
      <c r="AD878" s="16"/>
      <c r="AE878" s="16"/>
      <c r="AF878" s="16"/>
      <c r="AG878" s="16"/>
      <c r="AH878" s="13"/>
      <c r="AL878" s="18"/>
    </row>
    <row r="879" ht="15.75" customHeight="1">
      <c r="C879" s="12"/>
      <c r="D879" s="13"/>
      <c r="E879" s="14"/>
      <c r="I879" s="15"/>
      <c r="J879" s="16"/>
      <c r="K879" s="16"/>
      <c r="L879" s="16"/>
      <c r="M879" s="16"/>
      <c r="N879" s="13"/>
      <c r="S879" s="15"/>
      <c r="T879" s="17"/>
      <c r="U879" s="17"/>
      <c r="V879" s="17"/>
      <c r="W879" s="17"/>
      <c r="X879" s="13"/>
      <c r="AC879" s="15"/>
      <c r="AD879" s="16"/>
      <c r="AE879" s="16"/>
      <c r="AF879" s="16"/>
      <c r="AG879" s="16"/>
      <c r="AH879" s="13"/>
      <c r="AL879" s="18"/>
    </row>
    <row r="880" ht="15.75" customHeight="1">
      <c r="C880" s="12"/>
      <c r="D880" s="13"/>
      <c r="E880" s="14"/>
      <c r="I880" s="15"/>
      <c r="J880" s="16"/>
      <c r="K880" s="16"/>
      <c r="L880" s="16"/>
      <c r="M880" s="16"/>
      <c r="N880" s="13"/>
      <c r="S880" s="15"/>
      <c r="T880" s="17"/>
      <c r="U880" s="17"/>
      <c r="V880" s="17"/>
      <c r="W880" s="17"/>
      <c r="X880" s="13"/>
      <c r="AC880" s="15"/>
      <c r="AD880" s="16"/>
      <c r="AE880" s="16"/>
      <c r="AF880" s="16"/>
      <c r="AG880" s="16"/>
      <c r="AH880" s="13"/>
      <c r="AL880" s="18"/>
    </row>
    <row r="881" ht="15.75" customHeight="1">
      <c r="C881" s="12"/>
      <c r="D881" s="13"/>
      <c r="E881" s="14"/>
      <c r="I881" s="15"/>
      <c r="J881" s="16"/>
      <c r="K881" s="16"/>
      <c r="L881" s="16"/>
      <c r="M881" s="16"/>
      <c r="N881" s="13"/>
      <c r="S881" s="15"/>
      <c r="T881" s="17"/>
      <c r="U881" s="17"/>
      <c r="V881" s="17"/>
      <c r="W881" s="17"/>
      <c r="X881" s="13"/>
      <c r="AC881" s="15"/>
      <c r="AD881" s="16"/>
      <c r="AE881" s="16"/>
      <c r="AF881" s="16"/>
      <c r="AG881" s="16"/>
      <c r="AH881" s="13"/>
      <c r="AL881" s="18"/>
    </row>
    <row r="882" ht="15.75" customHeight="1">
      <c r="C882" s="12"/>
      <c r="D882" s="13"/>
      <c r="E882" s="14"/>
      <c r="I882" s="15"/>
      <c r="J882" s="16"/>
      <c r="K882" s="16"/>
      <c r="L882" s="16"/>
      <c r="M882" s="16"/>
      <c r="N882" s="13"/>
      <c r="S882" s="15"/>
      <c r="T882" s="17"/>
      <c r="U882" s="17"/>
      <c r="V882" s="17"/>
      <c r="W882" s="17"/>
      <c r="X882" s="13"/>
      <c r="AC882" s="15"/>
      <c r="AD882" s="16"/>
      <c r="AE882" s="16"/>
      <c r="AF882" s="16"/>
      <c r="AG882" s="16"/>
      <c r="AH882" s="13"/>
      <c r="AL882" s="18"/>
    </row>
    <row r="883" ht="15.75" customHeight="1">
      <c r="C883" s="12"/>
      <c r="D883" s="13"/>
      <c r="E883" s="14"/>
      <c r="I883" s="15"/>
      <c r="J883" s="16"/>
      <c r="K883" s="16"/>
      <c r="L883" s="16"/>
      <c r="M883" s="16"/>
      <c r="N883" s="13"/>
      <c r="S883" s="15"/>
      <c r="T883" s="17"/>
      <c r="U883" s="17"/>
      <c r="V883" s="17"/>
      <c r="W883" s="17"/>
      <c r="X883" s="13"/>
      <c r="AC883" s="15"/>
      <c r="AD883" s="16"/>
      <c r="AE883" s="16"/>
      <c r="AF883" s="16"/>
      <c r="AG883" s="16"/>
      <c r="AH883" s="13"/>
      <c r="AL883" s="18"/>
    </row>
    <row r="884" ht="15.75" customHeight="1">
      <c r="C884" s="12"/>
      <c r="D884" s="13"/>
      <c r="E884" s="14"/>
      <c r="I884" s="15"/>
      <c r="J884" s="16"/>
      <c r="K884" s="16"/>
      <c r="L884" s="16"/>
      <c r="M884" s="16"/>
      <c r="N884" s="13"/>
      <c r="S884" s="15"/>
      <c r="T884" s="17"/>
      <c r="U884" s="17"/>
      <c r="V884" s="17"/>
      <c r="W884" s="17"/>
      <c r="X884" s="13"/>
      <c r="AC884" s="15"/>
      <c r="AD884" s="16"/>
      <c r="AE884" s="16"/>
      <c r="AF884" s="16"/>
      <c r="AG884" s="16"/>
      <c r="AH884" s="13"/>
      <c r="AL884" s="18"/>
    </row>
    <row r="885" ht="15.75" customHeight="1">
      <c r="C885" s="12"/>
      <c r="D885" s="13"/>
      <c r="E885" s="14"/>
      <c r="I885" s="15"/>
      <c r="J885" s="16"/>
      <c r="K885" s="16"/>
      <c r="L885" s="16"/>
      <c r="M885" s="16"/>
      <c r="N885" s="13"/>
      <c r="S885" s="15"/>
      <c r="T885" s="17"/>
      <c r="U885" s="17"/>
      <c r="V885" s="17"/>
      <c r="W885" s="17"/>
      <c r="X885" s="13"/>
      <c r="AC885" s="15"/>
      <c r="AD885" s="16"/>
      <c r="AE885" s="16"/>
      <c r="AF885" s="16"/>
      <c r="AG885" s="16"/>
      <c r="AH885" s="13"/>
      <c r="AL885" s="18"/>
    </row>
    <row r="886" ht="15.75" customHeight="1">
      <c r="C886" s="12"/>
      <c r="D886" s="13"/>
      <c r="E886" s="14"/>
      <c r="I886" s="15"/>
      <c r="J886" s="16"/>
      <c r="K886" s="16"/>
      <c r="L886" s="16"/>
      <c r="M886" s="16"/>
      <c r="N886" s="13"/>
      <c r="S886" s="15"/>
      <c r="T886" s="17"/>
      <c r="U886" s="17"/>
      <c r="V886" s="17"/>
      <c r="W886" s="17"/>
      <c r="X886" s="13"/>
      <c r="AC886" s="15"/>
      <c r="AD886" s="16"/>
      <c r="AE886" s="16"/>
      <c r="AF886" s="16"/>
      <c r="AG886" s="16"/>
      <c r="AH886" s="13"/>
      <c r="AL886" s="18"/>
    </row>
    <row r="887" ht="15.75" customHeight="1">
      <c r="C887" s="12"/>
      <c r="D887" s="13"/>
      <c r="E887" s="14"/>
      <c r="I887" s="15"/>
      <c r="J887" s="16"/>
      <c r="K887" s="16"/>
      <c r="L887" s="16"/>
      <c r="M887" s="16"/>
      <c r="N887" s="13"/>
      <c r="S887" s="15"/>
      <c r="T887" s="17"/>
      <c r="U887" s="17"/>
      <c r="V887" s="17"/>
      <c r="W887" s="17"/>
      <c r="X887" s="13"/>
      <c r="AC887" s="15"/>
      <c r="AD887" s="16"/>
      <c r="AE887" s="16"/>
      <c r="AF887" s="16"/>
      <c r="AG887" s="16"/>
      <c r="AH887" s="13"/>
      <c r="AL887" s="18"/>
    </row>
    <row r="888" ht="15.75" customHeight="1">
      <c r="C888" s="12"/>
      <c r="D888" s="13"/>
      <c r="E888" s="14"/>
      <c r="I888" s="15"/>
      <c r="J888" s="16"/>
      <c r="K888" s="16"/>
      <c r="L888" s="16"/>
      <c r="M888" s="16"/>
      <c r="N888" s="13"/>
      <c r="S888" s="15"/>
      <c r="T888" s="17"/>
      <c r="U888" s="17"/>
      <c r="V888" s="17"/>
      <c r="W888" s="17"/>
      <c r="X888" s="13"/>
      <c r="AC888" s="15"/>
      <c r="AD888" s="16"/>
      <c r="AE888" s="16"/>
      <c r="AF888" s="16"/>
      <c r="AG888" s="16"/>
      <c r="AH888" s="13"/>
      <c r="AL888" s="18"/>
    </row>
    <row r="889" ht="15.75" customHeight="1">
      <c r="C889" s="12"/>
      <c r="D889" s="13"/>
      <c r="E889" s="14"/>
      <c r="I889" s="15"/>
      <c r="J889" s="16"/>
      <c r="K889" s="16"/>
      <c r="L889" s="16"/>
      <c r="M889" s="16"/>
      <c r="N889" s="13"/>
      <c r="S889" s="15"/>
      <c r="T889" s="17"/>
      <c r="U889" s="17"/>
      <c r="V889" s="17"/>
      <c r="W889" s="17"/>
      <c r="X889" s="13"/>
      <c r="AC889" s="15"/>
      <c r="AD889" s="16"/>
      <c r="AE889" s="16"/>
      <c r="AF889" s="16"/>
      <c r="AG889" s="16"/>
      <c r="AH889" s="13"/>
      <c r="AL889" s="18"/>
    </row>
    <row r="890" ht="15.75" customHeight="1">
      <c r="C890" s="12"/>
      <c r="D890" s="13"/>
      <c r="E890" s="14"/>
      <c r="I890" s="15"/>
      <c r="J890" s="16"/>
      <c r="K890" s="16"/>
      <c r="L890" s="16"/>
      <c r="M890" s="16"/>
      <c r="N890" s="13"/>
      <c r="S890" s="15"/>
      <c r="T890" s="17"/>
      <c r="U890" s="17"/>
      <c r="V890" s="17"/>
      <c r="W890" s="17"/>
      <c r="X890" s="13"/>
      <c r="AC890" s="15"/>
      <c r="AD890" s="16"/>
      <c r="AE890" s="16"/>
      <c r="AF890" s="16"/>
      <c r="AG890" s="16"/>
      <c r="AH890" s="13"/>
      <c r="AL890" s="18"/>
    </row>
    <row r="891" ht="15.75" customHeight="1">
      <c r="C891" s="12"/>
      <c r="D891" s="13"/>
      <c r="E891" s="14"/>
      <c r="I891" s="15"/>
      <c r="J891" s="16"/>
      <c r="K891" s="16"/>
      <c r="L891" s="16"/>
      <c r="M891" s="16"/>
      <c r="N891" s="13"/>
      <c r="S891" s="15"/>
      <c r="T891" s="17"/>
      <c r="U891" s="17"/>
      <c r="V891" s="17"/>
      <c r="W891" s="17"/>
      <c r="X891" s="13"/>
      <c r="AC891" s="15"/>
      <c r="AD891" s="16"/>
      <c r="AE891" s="16"/>
      <c r="AF891" s="16"/>
      <c r="AG891" s="16"/>
      <c r="AH891" s="13"/>
      <c r="AL891" s="18"/>
    </row>
    <row r="892" ht="15.75" customHeight="1">
      <c r="C892" s="12"/>
      <c r="D892" s="13"/>
      <c r="E892" s="14"/>
      <c r="I892" s="15"/>
      <c r="J892" s="16"/>
      <c r="K892" s="16"/>
      <c r="L892" s="16"/>
      <c r="M892" s="16"/>
      <c r="N892" s="13"/>
      <c r="S892" s="15"/>
      <c r="T892" s="17"/>
      <c r="U892" s="17"/>
      <c r="V892" s="17"/>
      <c r="W892" s="17"/>
      <c r="X892" s="13"/>
      <c r="AC892" s="15"/>
      <c r="AD892" s="16"/>
      <c r="AE892" s="16"/>
      <c r="AF892" s="16"/>
      <c r="AG892" s="16"/>
      <c r="AH892" s="13"/>
      <c r="AL892" s="18"/>
    </row>
    <row r="893" ht="15.75" customHeight="1">
      <c r="C893" s="12"/>
      <c r="D893" s="13"/>
      <c r="E893" s="14"/>
      <c r="I893" s="15"/>
      <c r="J893" s="16"/>
      <c r="K893" s="16"/>
      <c r="L893" s="16"/>
      <c r="M893" s="16"/>
      <c r="N893" s="13"/>
      <c r="S893" s="15"/>
      <c r="T893" s="17"/>
      <c r="U893" s="17"/>
      <c r="V893" s="17"/>
      <c r="W893" s="17"/>
      <c r="X893" s="13"/>
      <c r="AC893" s="15"/>
      <c r="AD893" s="16"/>
      <c r="AE893" s="16"/>
      <c r="AF893" s="16"/>
      <c r="AG893" s="16"/>
      <c r="AH893" s="13"/>
      <c r="AL893" s="18"/>
    </row>
    <row r="894" ht="15.75" customHeight="1">
      <c r="C894" s="12"/>
      <c r="D894" s="13"/>
      <c r="E894" s="14"/>
      <c r="I894" s="15"/>
      <c r="J894" s="16"/>
      <c r="K894" s="16"/>
      <c r="L894" s="16"/>
      <c r="M894" s="16"/>
      <c r="N894" s="13"/>
      <c r="S894" s="15"/>
      <c r="T894" s="17"/>
      <c r="U894" s="17"/>
      <c r="V894" s="17"/>
      <c r="W894" s="17"/>
      <c r="X894" s="13"/>
      <c r="AC894" s="15"/>
      <c r="AD894" s="16"/>
      <c r="AE894" s="16"/>
      <c r="AF894" s="16"/>
      <c r="AG894" s="16"/>
      <c r="AH894" s="13"/>
      <c r="AL894" s="18"/>
    </row>
    <row r="895" ht="15.75" customHeight="1">
      <c r="C895" s="12"/>
      <c r="D895" s="13"/>
      <c r="E895" s="14"/>
      <c r="I895" s="15"/>
      <c r="J895" s="16"/>
      <c r="K895" s="16"/>
      <c r="L895" s="16"/>
      <c r="M895" s="16"/>
      <c r="N895" s="13"/>
      <c r="S895" s="15"/>
      <c r="T895" s="17"/>
      <c r="U895" s="17"/>
      <c r="V895" s="17"/>
      <c r="W895" s="17"/>
      <c r="X895" s="13"/>
      <c r="AC895" s="15"/>
      <c r="AD895" s="16"/>
      <c r="AE895" s="16"/>
      <c r="AF895" s="16"/>
      <c r="AG895" s="16"/>
      <c r="AH895" s="13"/>
      <c r="AL895" s="18"/>
    </row>
    <row r="896" ht="15.75" customHeight="1">
      <c r="C896" s="12"/>
      <c r="D896" s="13"/>
      <c r="E896" s="14"/>
      <c r="I896" s="15"/>
      <c r="J896" s="16"/>
      <c r="K896" s="16"/>
      <c r="L896" s="16"/>
      <c r="M896" s="16"/>
      <c r="N896" s="13"/>
      <c r="S896" s="15"/>
      <c r="T896" s="17"/>
      <c r="U896" s="17"/>
      <c r="V896" s="17"/>
      <c r="W896" s="17"/>
      <c r="X896" s="13"/>
      <c r="AC896" s="15"/>
      <c r="AD896" s="16"/>
      <c r="AE896" s="16"/>
      <c r="AF896" s="16"/>
      <c r="AG896" s="16"/>
      <c r="AH896" s="13"/>
      <c r="AL896" s="18"/>
    </row>
    <row r="897" ht="15.75" customHeight="1">
      <c r="C897" s="12"/>
      <c r="D897" s="13"/>
      <c r="E897" s="14"/>
      <c r="I897" s="15"/>
      <c r="J897" s="16"/>
      <c r="K897" s="16"/>
      <c r="L897" s="16"/>
      <c r="M897" s="16"/>
      <c r="N897" s="13"/>
      <c r="S897" s="15"/>
      <c r="T897" s="17"/>
      <c r="U897" s="17"/>
      <c r="V897" s="17"/>
      <c r="W897" s="17"/>
      <c r="X897" s="13"/>
      <c r="AC897" s="15"/>
      <c r="AD897" s="16"/>
      <c r="AE897" s="16"/>
      <c r="AF897" s="16"/>
      <c r="AG897" s="16"/>
      <c r="AH897" s="13"/>
      <c r="AL897" s="18"/>
    </row>
    <row r="898" ht="15.75" customHeight="1">
      <c r="C898" s="12"/>
      <c r="D898" s="13"/>
      <c r="E898" s="14"/>
      <c r="I898" s="15"/>
      <c r="J898" s="16"/>
      <c r="K898" s="16"/>
      <c r="L898" s="16"/>
      <c r="M898" s="16"/>
      <c r="N898" s="13"/>
      <c r="S898" s="15"/>
      <c r="T898" s="17"/>
      <c r="U898" s="17"/>
      <c r="V898" s="17"/>
      <c r="W898" s="17"/>
      <c r="X898" s="13"/>
      <c r="AC898" s="15"/>
      <c r="AD898" s="16"/>
      <c r="AE898" s="16"/>
      <c r="AF898" s="16"/>
      <c r="AG898" s="16"/>
      <c r="AH898" s="13"/>
      <c r="AL898" s="18"/>
    </row>
    <row r="899" ht="15.75" customHeight="1">
      <c r="C899" s="12"/>
      <c r="D899" s="13"/>
      <c r="E899" s="14"/>
      <c r="I899" s="15"/>
      <c r="J899" s="16"/>
      <c r="K899" s="16"/>
      <c r="L899" s="16"/>
      <c r="M899" s="16"/>
      <c r="N899" s="13"/>
      <c r="S899" s="15"/>
      <c r="T899" s="17"/>
      <c r="U899" s="17"/>
      <c r="V899" s="17"/>
      <c r="W899" s="17"/>
      <c r="X899" s="13"/>
      <c r="AC899" s="15"/>
      <c r="AD899" s="16"/>
      <c r="AE899" s="16"/>
      <c r="AF899" s="16"/>
      <c r="AG899" s="16"/>
      <c r="AH899" s="13"/>
      <c r="AL899" s="18"/>
    </row>
    <row r="900" ht="15.75" customHeight="1">
      <c r="C900" s="12"/>
      <c r="D900" s="13"/>
      <c r="E900" s="14"/>
      <c r="I900" s="15"/>
      <c r="J900" s="16"/>
      <c r="K900" s="16"/>
      <c r="L900" s="16"/>
      <c r="M900" s="16"/>
      <c r="N900" s="13"/>
      <c r="S900" s="15"/>
      <c r="T900" s="17"/>
      <c r="U900" s="17"/>
      <c r="V900" s="17"/>
      <c r="W900" s="17"/>
      <c r="X900" s="13"/>
      <c r="AC900" s="15"/>
      <c r="AD900" s="16"/>
      <c r="AE900" s="16"/>
      <c r="AF900" s="16"/>
      <c r="AG900" s="16"/>
      <c r="AH900" s="13"/>
      <c r="AL900" s="18"/>
    </row>
    <row r="901" ht="15.75" customHeight="1">
      <c r="C901" s="12"/>
      <c r="D901" s="13"/>
      <c r="E901" s="14"/>
      <c r="I901" s="15"/>
      <c r="J901" s="16"/>
      <c r="K901" s="16"/>
      <c r="L901" s="16"/>
      <c r="M901" s="16"/>
      <c r="N901" s="13"/>
      <c r="S901" s="15"/>
      <c r="T901" s="17"/>
      <c r="U901" s="17"/>
      <c r="V901" s="17"/>
      <c r="W901" s="17"/>
      <c r="X901" s="13"/>
      <c r="AC901" s="15"/>
      <c r="AD901" s="16"/>
      <c r="AE901" s="16"/>
      <c r="AF901" s="16"/>
      <c r="AG901" s="16"/>
      <c r="AH901" s="13"/>
      <c r="AL901" s="18"/>
    </row>
    <row r="902" ht="15.75" customHeight="1">
      <c r="C902" s="12"/>
      <c r="D902" s="13"/>
      <c r="E902" s="14"/>
      <c r="I902" s="15"/>
      <c r="J902" s="16"/>
      <c r="K902" s="16"/>
      <c r="L902" s="16"/>
      <c r="M902" s="16"/>
      <c r="N902" s="13"/>
      <c r="S902" s="15"/>
      <c r="T902" s="17"/>
      <c r="U902" s="17"/>
      <c r="V902" s="17"/>
      <c r="W902" s="17"/>
      <c r="X902" s="13"/>
      <c r="AC902" s="15"/>
      <c r="AD902" s="16"/>
      <c r="AE902" s="16"/>
      <c r="AF902" s="16"/>
      <c r="AG902" s="16"/>
      <c r="AH902" s="13"/>
      <c r="AL902" s="18"/>
    </row>
    <row r="903" ht="15.75" customHeight="1">
      <c r="C903" s="12"/>
      <c r="D903" s="13"/>
      <c r="E903" s="14"/>
      <c r="I903" s="15"/>
      <c r="J903" s="16"/>
      <c r="K903" s="16"/>
      <c r="L903" s="16"/>
      <c r="M903" s="16"/>
      <c r="N903" s="13"/>
      <c r="S903" s="15"/>
      <c r="T903" s="17"/>
      <c r="U903" s="17"/>
      <c r="V903" s="17"/>
      <c r="W903" s="17"/>
      <c r="X903" s="13"/>
      <c r="AC903" s="15"/>
      <c r="AD903" s="16"/>
      <c r="AE903" s="16"/>
      <c r="AF903" s="16"/>
      <c r="AG903" s="16"/>
      <c r="AH903" s="13"/>
      <c r="AL903" s="18"/>
    </row>
    <row r="904" ht="15.75" customHeight="1">
      <c r="C904" s="12"/>
      <c r="D904" s="13"/>
      <c r="E904" s="14"/>
      <c r="I904" s="15"/>
      <c r="J904" s="16"/>
      <c r="K904" s="16"/>
      <c r="L904" s="16"/>
      <c r="M904" s="16"/>
      <c r="N904" s="13"/>
      <c r="S904" s="15"/>
      <c r="T904" s="17"/>
      <c r="U904" s="17"/>
      <c r="V904" s="17"/>
      <c r="W904" s="17"/>
      <c r="X904" s="13"/>
      <c r="AC904" s="15"/>
      <c r="AD904" s="16"/>
      <c r="AE904" s="16"/>
      <c r="AF904" s="16"/>
      <c r="AG904" s="16"/>
      <c r="AH904" s="13"/>
      <c r="AL904" s="18"/>
    </row>
    <row r="905" ht="15.75" customHeight="1">
      <c r="C905" s="12"/>
      <c r="D905" s="13"/>
      <c r="E905" s="14"/>
      <c r="I905" s="15"/>
      <c r="J905" s="16"/>
      <c r="K905" s="16"/>
      <c r="L905" s="16"/>
      <c r="M905" s="16"/>
      <c r="N905" s="13"/>
      <c r="S905" s="15"/>
      <c r="T905" s="17"/>
      <c r="U905" s="17"/>
      <c r="V905" s="17"/>
      <c r="W905" s="17"/>
      <c r="X905" s="13"/>
      <c r="AC905" s="15"/>
      <c r="AD905" s="16"/>
      <c r="AE905" s="16"/>
      <c r="AF905" s="16"/>
      <c r="AG905" s="16"/>
      <c r="AH905" s="13"/>
      <c r="AL905" s="18"/>
    </row>
    <row r="906" ht="15.75" customHeight="1">
      <c r="C906" s="12"/>
      <c r="D906" s="13"/>
      <c r="E906" s="14"/>
      <c r="I906" s="15"/>
      <c r="J906" s="16"/>
      <c r="K906" s="16"/>
      <c r="L906" s="16"/>
      <c r="M906" s="16"/>
      <c r="N906" s="13"/>
      <c r="S906" s="15"/>
      <c r="T906" s="17"/>
      <c r="U906" s="17"/>
      <c r="V906" s="17"/>
      <c r="W906" s="17"/>
      <c r="X906" s="13"/>
      <c r="AC906" s="15"/>
      <c r="AD906" s="16"/>
      <c r="AE906" s="16"/>
      <c r="AF906" s="16"/>
      <c r="AG906" s="16"/>
      <c r="AH906" s="13"/>
      <c r="AL906" s="18"/>
    </row>
    <row r="907" ht="15.75" customHeight="1">
      <c r="C907" s="12"/>
      <c r="D907" s="13"/>
      <c r="E907" s="14"/>
      <c r="I907" s="15"/>
      <c r="J907" s="16"/>
      <c r="K907" s="16"/>
      <c r="L907" s="16"/>
      <c r="M907" s="16"/>
      <c r="N907" s="13"/>
      <c r="S907" s="15"/>
      <c r="T907" s="17"/>
      <c r="U907" s="17"/>
      <c r="V907" s="17"/>
      <c r="W907" s="17"/>
      <c r="X907" s="13"/>
      <c r="AC907" s="15"/>
      <c r="AD907" s="16"/>
      <c r="AE907" s="16"/>
      <c r="AF907" s="16"/>
      <c r="AG907" s="16"/>
      <c r="AH907" s="13"/>
      <c r="AL907" s="18"/>
    </row>
    <row r="908" ht="15.75" customHeight="1">
      <c r="C908" s="12"/>
      <c r="D908" s="13"/>
      <c r="E908" s="14"/>
      <c r="I908" s="15"/>
      <c r="J908" s="16"/>
      <c r="K908" s="16"/>
      <c r="L908" s="16"/>
      <c r="M908" s="16"/>
      <c r="N908" s="13"/>
      <c r="S908" s="15"/>
      <c r="T908" s="17"/>
      <c r="U908" s="17"/>
      <c r="V908" s="17"/>
      <c r="W908" s="17"/>
      <c r="X908" s="13"/>
      <c r="AC908" s="15"/>
      <c r="AD908" s="16"/>
      <c r="AE908" s="16"/>
      <c r="AF908" s="16"/>
      <c r="AG908" s="16"/>
      <c r="AH908" s="13"/>
      <c r="AL908" s="18"/>
    </row>
    <row r="909" ht="15.75" customHeight="1">
      <c r="C909" s="12"/>
      <c r="D909" s="13"/>
      <c r="E909" s="14"/>
      <c r="I909" s="15"/>
      <c r="J909" s="16"/>
      <c r="K909" s="16"/>
      <c r="L909" s="16"/>
      <c r="M909" s="16"/>
      <c r="N909" s="13"/>
      <c r="S909" s="15"/>
      <c r="T909" s="17"/>
      <c r="U909" s="17"/>
      <c r="V909" s="17"/>
      <c r="W909" s="17"/>
      <c r="X909" s="13"/>
      <c r="AC909" s="15"/>
      <c r="AD909" s="16"/>
      <c r="AE909" s="16"/>
      <c r="AF909" s="16"/>
      <c r="AG909" s="16"/>
      <c r="AH909" s="13"/>
      <c r="AL909" s="18"/>
    </row>
    <row r="910" ht="15.75" customHeight="1">
      <c r="C910" s="12"/>
      <c r="D910" s="13"/>
      <c r="E910" s="14"/>
      <c r="I910" s="15"/>
      <c r="J910" s="16"/>
      <c r="K910" s="16"/>
      <c r="L910" s="16"/>
      <c r="M910" s="16"/>
      <c r="N910" s="13"/>
      <c r="S910" s="15"/>
      <c r="T910" s="17"/>
      <c r="U910" s="17"/>
      <c r="V910" s="17"/>
      <c r="W910" s="17"/>
      <c r="X910" s="13"/>
      <c r="AC910" s="15"/>
      <c r="AD910" s="16"/>
      <c r="AE910" s="16"/>
      <c r="AF910" s="16"/>
      <c r="AG910" s="16"/>
      <c r="AH910" s="13"/>
      <c r="AL910" s="18"/>
    </row>
    <row r="911" ht="15.75" customHeight="1">
      <c r="C911" s="12"/>
      <c r="D911" s="13"/>
      <c r="E911" s="14"/>
      <c r="I911" s="15"/>
      <c r="J911" s="16"/>
      <c r="K911" s="16"/>
      <c r="L911" s="16"/>
      <c r="M911" s="16"/>
      <c r="N911" s="13"/>
      <c r="S911" s="15"/>
      <c r="T911" s="17"/>
      <c r="U911" s="17"/>
      <c r="V911" s="17"/>
      <c r="W911" s="17"/>
      <c r="X911" s="13"/>
      <c r="AC911" s="15"/>
      <c r="AD911" s="16"/>
      <c r="AE911" s="16"/>
      <c r="AF911" s="16"/>
      <c r="AG911" s="16"/>
      <c r="AH911" s="13"/>
      <c r="AL911" s="18"/>
    </row>
    <row r="912" ht="15.75" customHeight="1">
      <c r="C912" s="12"/>
      <c r="D912" s="13"/>
      <c r="E912" s="14"/>
      <c r="I912" s="15"/>
      <c r="J912" s="16"/>
      <c r="K912" s="16"/>
      <c r="L912" s="16"/>
      <c r="M912" s="16"/>
      <c r="N912" s="13"/>
      <c r="S912" s="15"/>
      <c r="T912" s="17"/>
      <c r="U912" s="17"/>
      <c r="V912" s="17"/>
      <c r="W912" s="17"/>
      <c r="X912" s="13"/>
      <c r="AC912" s="15"/>
      <c r="AD912" s="16"/>
      <c r="AE912" s="16"/>
      <c r="AF912" s="16"/>
      <c r="AG912" s="16"/>
      <c r="AH912" s="13"/>
      <c r="AL912" s="18"/>
    </row>
    <row r="913" ht="15.75" customHeight="1">
      <c r="C913" s="12"/>
      <c r="D913" s="13"/>
      <c r="E913" s="14"/>
      <c r="I913" s="15"/>
      <c r="J913" s="16"/>
      <c r="K913" s="16"/>
      <c r="L913" s="16"/>
      <c r="M913" s="16"/>
      <c r="N913" s="13"/>
      <c r="S913" s="15"/>
      <c r="T913" s="17"/>
      <c r="U913" s="17"/>
      <c r="V913" s="17"/>
      <c r="W913" s="17"/>
      <c r="X913" s="13"/>
      <c r="AC913" s="15"/>
      <c r="AD913" s="16"/>
      <c r="AE913" s="16"/>
      <c r="AF913" s="16"/>
      <c r="AG913" s="16"/>
      <c r="AH913" s="13"/>
      <c r="AL913" s="18"/>
    </row>
    <row r="914" ht="15.75" customHeight="1">
      <c r="C914" s="12"/>
      <c r="D914" s="13"/>
      <c r="E914" s="14"/>
      <c r="I914" s="15"/>
      <c r="J914" s="16"/>
      <c r="K914" s="16"/>
      <c r="L914" s="16"/>
      <c r="M914" s="16"/>
      <c r="N914" s="13"/>
      <c r="S914" s="15"/>
      <c r="T914" s="17"/>
      <c r="U914" s="17"/>
      <c r="V914" s="17"/>
      <c r="W914" s="17"/>
      <c r="X914" s="13"/>
      <c r="AC914" s="15"/>
      <c r="AD914" s="16"/>
      <c r="AE914" s="16"/>
      <c r="AF914" s="16"/>
      <c r="AG914" s="16"/>
      <c r="AH914" s="13"/>
      <c r="AL914" s="18"/>
    </row>
    <row r="915" ht="15.75" customHeight="1">
      <c r="C915" s="12"/>
      <c r="D915" s="13"/>
      <c r="E915" s="14"/>
      <c r="I915" s="15"/>
      <c r="J915" s="16"/>
      <c r="K915" s="16"/>
      <c r="L915" s="16"/>
      <c r="M915" s="16"/>
      <c r="N915" s="13"/>
      <c r="S915" s="15"/>
      <c r="T915" s="17"/>
      <c r="U915" s="17"/>
      <c r="V915" s="17"/>
      <c r="W915" s="17"/>
      <c r="X915" s="13"/>
      <c r="AC915" s="15"/>
      <c r="AD915" s="16"/>
      <c r="AE915" s="16"/>
      <c r="AF915" s="16"/>
      <c r="AG915" s="16"/>
      <c r="AH915" s="13"/>
      <c r="AL915" s="18"/>
    </row>
    <row r="916" ht="15.75" customHeight="1">
      <c r="C916" s="12"/>
      <c r="D916" s="13"/>
      <c r="E916" s="14"/>
      <c r="I916" s="15"/>
      <c r="J916" s="16"/>
      <c r="K916" s="16"/>
      <c r="L916" s="16"/>
      <c r="M916" s="16"/>
      <c r="N916" s="13"/>
      <c r="S916" s="15"/>
      <c r="T916" s="17"/>
      <c r="U916" s="17"/>
      <c r="V916" s="17"/>
      <c r="W916" s="17"/>
      <c r="X916" s="13"/>
      <c r="AC916" s="15"/>
      <c r="AD916" s="16"/>
      <c r="AE916" s="16"/>
      <c r="AF916" s="16"/>
      <c r="AG916" s="16"/>
      <c r="AH916" s="13"/>
      <c r="AL916" s="18"/>
    </row>
    <row r="917" ht="15.75" customHeight="1">
      <c r="C917" s="12"/>
      <c r="D917" s="13"/>
      <c r="E917" s="14"/>
      <c r="I917" s="15"/>
      <c r="J917" s="16"/>
      <c r="K917" s="16"/>
      <c r="L917" s="16"/>
      <c r="M917" s="16"/>
      <c r="N917" s="13"/>
      <c r="S917" s="15"/>
      <c r="T917" s="17"/>
      <c r="U917" s="17"/>
      <c r="V917" s="17"/>
      <c r="W917" s="17"/>
      <c r="X917" s="13"/>
      <c r="AC917" s="15"/>
      <c r="AD917" s="16"/>
      <c r="AE917" s="16"/>
      <c r="AF917" s="16"/>
      <c r="AG917" s="16"/>
      <c r="AH917" s="13"/>
      <c r="AL917" s="18"/>
    </row>
    <row r="918" ht="15.75" customHeight="1">
      <c r="C918" s="12"/>
      <c r="D918" s="13"/>
      <c r="E918" s="14"/>
      <c r="I918" s="15"/>
      <c r="J918" s="16"/>
      <c r="K918" s="16"/>
      <c r="L918" s="16"/>
      <c r="M918" s="16"/>
      <c r="N918" s="13"/>
      <c r="S918" s="15"/>
      <c r="T918" s="17"/>
      <c r="U918" s="17"/>
      <c r="V918" s="17"/>
      <c r="W918" s="17"/>
      <c r="X918" s="13"/>
      <c r="AC918" s="15"/>
      <c r="AD918" s="16"/>
      <c r="AE918" s="16"/>
      <c r="AF918" s="16"/>
      <c r="AG918" s="16"/>
      <c r="AH918" s="13"/>
      <c r="AL918" s="18"/>
    </row>
    <row r="919" ht="15.75" customHeight="1">
      <c r="C919" s="12"/>
      <c r="D919" s="13"/>
      <c r="E919" s="14"/>
      <c r="I919" s="15"/>
      <c r="J919" s="16"/>
      <c r="K919" s="16"/>
      <c r="L919" s="16"/>
      <c r="M919" s="16"/>
      <c r="N919" s="13"/>
      <c r="S919" s="15"/>
      <c r="T919" s="17"/>
      <c r="U919" s="17"/>
      <c r="V919" s="17"/>
      <c r="W919" s="17"/>
      <c r="X919" s="13"/>
      <c r="AC919" s="15"/>
      <c r="AD919" s="16"/>
      <c r="AE919" s="16"/>
      <c r="AF919" s="16"/>
      <c r="AG919" s="16"/>
      <c r="AH919" s="13"/>
      <c r="AL919" s="18"/>
    </row>
    <row r="920" ht="15.75" customHeight="1">
      <c r="C920" s="12"/>
      <c r="D920" s="13"/>
      <c r="E920" s="14"/>
      <c r="I920" s="15"/>
      <c r="J920" s="16"/>
      <c r="K920" s="16"/>
      <c r="L920" s="16"/>
      <c r="M920" s="16"/>
      <c r="N920" s="13"/>
      <c r="S920" s="15"/>
      <c r="T920" s="17"/>
      <c r="U920" s="17"/>
      <c r="V920" s="17"/>
      <c r="W920" s="17"/>
      <c r="X920" s="13"/>
      <c r="AC920" s="15"/>
      <c r="AD920" s="16"/>
      <c r="AE920" s="16"/>
      <c r="AF920" s="16"/>
      <c r="AG920" s="16"/>
      <c r="AH920" s="13"/>
      <c r="AL920" s="18"/>
    </row>
    <row r="921" ht="15.75" customHeight="1">
      <c r="C921" s="12"/>
      <c r="D921" s="13"/>
      <c r="E921" s="14"/>
      <c r="I921" s="15"/>
      <c r="J921" s="16"/>
      <c r="K921" s="16"/>
      <c r="L921" s="16"/>
      <c r="M921" s="16"/>
      <c r="N921" s="13"/>
      <c r="S921" s="15"/>
      <c r="T921" s="17"/>
      <c r="U921" s="17"/>
      <c r="V921" s="17"/>
      <c r="W921" s="17"/>
      <c r="X921" s="13"/>
      <c r="AC921" s="15"/>
      <c r="AD921" s="16"/>
      <c r="AE921" s="16"/>
      <c r="AF921" s="16"/>
      <c r="AG921" s="16"/>
      <c r="AH921" s="13"/>
      <c r="AL921" s="18"/>
    </row>
    <row r="922" ht="15.75" customHeight="1">
      <c r="C922" s="12"/>
      <c r="D922" s="13"/>
      <c r="E922" s="14"/>
      <c r="I922" s="15"/>
      <c r="J922" s="16"/>
      <c r="K922" s="16"/>
      <c r="L922" s="16"/>
      <c r="M922" s="16"/>
      <c r="N922" s="13"/>
      <c r="S922" s="15"/>
      <c r="T922" s="17"/>
      <c r="U922" s="17"/>
      <c r="V922" s="17"/>
      <c r="W922" s="17"/>
      <c r="X922" s="13"/>
      <c r="AC922" s="15"/>
      <c r="AD922" s="16"/>
      <c r="AE922" s="16"/>
      <c r="AF922" s="16"/>
      <c r="AG922" s="16"/>
      <c r="AH922" s="13"/>
      <c r="AL922" s="18"/>
    </row>
    <row r="923" ht="15.75" customHeight="1">
      <c r="C923" s="12"/>
      <c r="D923" s="13"/>
      <c r="E923" s="14"/>
      <c r="I923" s="15"/>
      <c r="J923" s="16"/>
      <c r="K923" s="16"/>
      <c r="L923" s="16"/>
      <c r="M923" s="16"/>
      <c r="N923" s="13"/>
      <c r="S923" s="15"/>
      <c r="T923" s="17"/>
      <c r="U923" s="17"/>
      <c r="V923" s="17"/>
      <c r="W923" s="17"/>
      <c r="X923" s="13"/>
      <c r="AC923" s="15"/>
      <c r="AD923" s="16"/>
      <c r="AE923" s="16"/>
      <c r="AF923" s="16"/>
      <c r="AG923" s="16"/>
      <c r="AH923" s="13"/>
      <c r="AL923" s="18"/>
    </row>
    <row r="924" ht="15.75" customHeight="1">
      <c r="C924" s="12"/>
      <c r="D924" s="13"/>
      <c r="E924" s="14"/>
      <c r="I924" s="15"/>
      <c r="J924" s="16"/>
      <c r="K924" s="16"/>
      <c r="L924" s="16"/>
      <c r="M924" s="16"/>
      <c r="N924" s="13"/>
      <c r="S924" s="15"/>
      <c r="T924" s="17"/>
      <c r="U924" s="17"/>
      <c r="V924" s="17"/>
      <c r="W924" s="17"/>
      <c r="X924" s="13"/>
      <c r="AC924" s="15"/>
      <c r="AD924" s="16"/>
      <c r="AE924" s="16"/>
      <c r="AF924" s="16"/>
      <c r="AG924" s="16"/>
      <c r="AH924" s="13"/>
      <c r="AL924" s="18"/>
    </row>
    <row r="925" ht="15.75" customHeight="1">
      <c r="C925" s="12"/>
      <c r="D925" s="13"/>
      <c r="E925" s="14"/>
      <c r="I925" s="15"/>
      <c r="J925" s="16"/>
      <c r="K925" s="16"/>
      <c r="L925" s="16"/>
      <c r="M925" s="16"/>
      <c r="N925" s="13"/>
      <c r="S925" s="15"/>
      <c r="T925" s="17"/>
      <c r="U925" s="17"/>
      <c r="V925" s="17"/>
      <c r="W925" s="17"/>
      <c r="X925" s="13"/>
      <c r="AC925" s="15"/>
      <c r="AD925" s="16"/>
      <c r="AE925" s="16"/>
      <c r="AF925" s="16"/>
      <c r="AG925" s="16"/>
      <c r="AH925" s="13"/>
      <c r="AL925" s="18"/>
    </row>
    <row r="926" ht="15.75" customHeight="1">
      <c r="C926" s="12"/>
      <c r="D926" s="13"/>
      <c r="E926" s="14"/>
      <c r="I926" s="15"/>
      <c r="J926" s="16"/>
      <c r="K926" s="16"/>
      <c r="L926" s="16"/>
      <c r="M926" s="16"/>
      <c r="N926" s="13"/>
      <c r="S926" s="15"/>
      <c r="T926" s="17"/>
      <c r="U926" s="17"/>
      <c r="V926" s="17"/>
      <c r="W926" s="17"/>
      <c r="X926" s="13"/>
      <c r="AC926" s="15"/>
      <c r="AD926" s="16"/>
      <c r="AE926" s="16"/>
      <c r="AF926" s="16"/>
      <c r="AG926" s="16"/>
      <c r="AH926" s="13"/>
      <c r="AL926" s="18"/>
    </row>
    <row r="927" ht="15.75" customHeight="1">
      <c r="C927" s="12"/>
      <c r="D927" s="13"/>
      <c r="E927" s="14"/>
      <c r="I927" s="15"/>
      <c r="J927" s="16"/>
      <c r="K927" s="16"/>
      <c r="L927" s="16"/>
      <c r="M927" s="16"/>
      <c r="N927" s="13"/>
      <c r="S927" s="15"/>
      <c r="T927" s="17"/>
      <c r="U927" s="17"/>
      <c r="V927" s="17"/>
      <c r="W927" s="17"/>
      <c r="X927" s="13"/>
      <c r="AC927" s="15"/>
      <c r="AD927" s="16"/>
      <c r="AE927" s="16"/>
      <c r="AF927" s="16"/>
      <c r="AG927" s="16"/>
      <c r="AH927" s="13"/>
      <c r="AL927" s="18"/>
    </row>
    <row r="928" ht="15.75" customHeight="1">
      <c r="C928" s="12"/>
      <c r="D928" s="13"/>
      <c r="E928" s="14"/>
      <c r="I928" s="15"/>
      <c r="J928" s="16"/>
      <c r="K928" s="16"/>
      <c r="L928" s="16"/>
      <c r="M928" s="16"/>
      <c r="N928" s="13"/>
      <c r="S928" s="15"/>
      <c r="T928" s="17"/>
      <c r="U928" s="17"/>
      <c r="V928" s="17"/>
      <c r="W928" s="17"/>
      <c r="X928" s="13"/>
      <c r="AC928" s="15"/>
      <c r="AD928" s="16"/>
      <c r="AE928" s="16"/>
      <c r="AF928" s="16"/>
      <c r="AG928" s="16"/>
      <c r="AH928" s="13"/>
      <c r="AL928" s="18"/>
    </row>
    <row r="929" ht="15.75" customHeight="1">
      <c r="C929" s="12"/>
      <c r="D929" s="13"/>
      <c r="E929" s="14"/>
      <c r="I929" s="15"/>
      <c r="J929" s="16"/>
      <c r="K929" s="16"/>
      <c r="L929" s="16"/>
      <c r="M929" s="16"/>
      <c r="N929" s="13"/>
      <c r="S929" s="15"/>
      <c r="T929" s="17"/>
      <c r="U929" s="17"/>
      <c r="V929" s="17"/>
      <c r="W929" s="17"/>
      <c r="X929" s="13"/>
      <c r="AC929" s="15"/>
      <c r="AD929" s="16"/>
      <c r="AE929" s="16"/>
      <c r="AF929" s="16"/>
      <c r="AG929" s="16"/>
      <c r="AH929" s="13"/>
      <c r="AL929" s="18"/>
    </row>
    <row r="930" ht="15.75" customHeight="1">
      <c r="C930" s="12"/>
      <c r="D930" s="13"/>
      <c r="E930" s="14"/>
      <c r="I930" s="15"/>
      <c r="J930" s="16"/>
      <c r="K930" s="16"/>
      <c r="L930" s="16"/>
      <c r="M930" s="16"/>
      <c r="N930" s="13"/>
      <c r="S930" s="15"/>
      <c r="T930" s="17"/>
      <c r="U930" s="17"/>
      <c r="V930" s="17"/>
      <c r="W930" s="17"/>
      <c r="X930" s="13"/>
      <c r="AC930" s="15"/>
      <c r="AD930" s="16"/>
      <c r="AE930" s="16"/>
      <c r="AF930" s="16"/>
      <c r="AG930" s="16"/>
      <c r="AH930" s="13"/>
      <c r="AL930" s="18"/>
    </row>
    <row r="931" ht="15.75" customHeight="1">
      <c r="C931" s="12"/>
      <c r="D931" s="13"/>
      <c r="E931" s="14"/>
      <c r="I931" s="15"/>
      <c r="J931" s="16"/>
      <c r="K931" s="16"/>
      <c r="L931" s="16"/>
      <c r="M931" s="16"/>
      <c r="N931" s="13"/>
      <c r="S931" s="15"/>
      <c r="T931" s="17"/>
      <c r="U931" s="17"/>
      <c r="V931" s="17"/>
      <c r="W931" s="17"/>
      <c r="X931" s="13"/>
      <c r="AC931" s="15"/>
      <c r="AD931" s="16"/>
      <c r="AE931" s="16"/>
      <c r="AF931" s="16"/>
      <c r="AG931" s="16"/>
      <c r="AH931" s="13"/>
      <c r="AL931" s="18"/>
    </row>
    <row r="932" ht="15.75" customHeight="1">
      <c r="C932" s="12"/>
      <c r="D932" s="13"/>
      <c r="E932" s="14"/>
      <c r="I932" s="15"/>
      <c r="J932" s="16"/>
      <c r="K932" s="16"/>
      <c r="L932" s="16"/>
      <c r="M932" s="16"/>
      <c r="N932" s="13"/>
      <c r="S932" s="15"/>
      <c r="T932" s="17"/>
      <c r="U932" s="17"/>
      <c r="V932" s="17"/>
      <c r="W932" s="17"/>
      <c r="X932" s="13"/>
      <c r="AC932" s="15"/>
      <c r="AD932" s="16"/>
      <c r="AE932" s="16"/>
      <c r="AF932" s="16"/>
      <c r="AG932" s="16"/>
      <c r="AH932" s="13"/>
      <c r="AL932" s="18"/>
    </row>
    <row r="933" ht="15.75" customHeight="1">
      <c r="C933" s="12"/>
      <c r="D933" s="13"/>
      <c r="E933" s="14"/>
      <c r="I933" s="15"/>
      <c r="J933" s="16"/>
      <c r="K933" s="16"/>
      <c r="L933" s="16"/>
      <c r="M933" s="16"/>
      <c r="N933" s="13"/>
      <c r="S933" s="15"/>
      <c r="T933" s="17"/>
      <c r="U933" s="17"/>
      <c r="V933" s="17"/>
      <c r="W933" s="17"/>
      <c r="X933" s="13"/>
      <c r="AC933" s="15"/>
      <c r="AD933" s="16"/>
      <c r="AE933" s="16"/>
      <c r="AF933" s="16"/>
      <c r="AG933" s="16"/>
      <c r="AH933" s="13"/>
      <c r="AL933" s="18"/>
    </row>
    <row r="934" ht="15.75" customHeight="1">
      <c r="C934" s="12"/>
      <c r="D934" s="13"/>
      <c r="E934" s="14"/>
      <c r="I934" s="15"/>
      <c r="J934" s="16"/>
      <c r="K934" s="16"/>
      <c r="L934" s="16"/>
      <c r="M934" s="16"/>
      <c r="N934" s="13"/>
      <c r="S934" s="15"/>
      <c r="T934" s="17"/>
      <c r="U934" s="17"/>
      <c r="V934" s="17"/>
      <c r="W934" s="17"/>
      <c r="X934" s="13"/>
      <c r="AC934" s="15"/>
      <c r="AD934" s="16"/>
      <c r="AE934" s="16"/>
      <c r="AF934" s="16"/>
      <c r="AG934" s="16"/>
      <c r="AH934" s="13"/>
      <c r="AL934" s="18"/>
    </row>
    <row r="935" ht="15.75" customHeight="1">
      <c r="C935" s="12"/>
      <c r="D935" s="13"/>
      <c r="E935" s="14"/>
      <c r="I935" s="15"/>
      <c r="J935" s="16"/>
      <c r="K935" s="16"/>
      <c r="L935" s="16"/>
      <c r="M935" s="16"/>
      <c r="N935" s="13"/>
      <c r="S935" s="15"/>
      <c r="T935" s="17"/>
      <c r="U935" s="17"/>
      <c r="V935" s="17"/>
      <c r="W935" s="17"/>
      <c r="X935" s="13"/>
      <c r="AC935" s="15"/>
      <c r="AD935" s="16"/>
      <c r="AE935" s="16"/>
      <c r="AF935" s="16"/>
      <c r="AG935" s="16"/>
      <c r="AH935" s="13"/>
      <c r="AL935" s="18"/>
    </row>
    <row r="936" ht="15.75" customHeight="1">
      <c r="C936" s="12"/>
      <c r="D936" s="13"/>
      <c r="E936" s="14"/>
      <c r="I936" s="15"/>
      <c r="J936" s="16"/>
      <c r="K936" s="16"/>
      <c r="L936" s="16"/>
      <c r="M936" s="16"/>
      <c r="N936" s="13"/>
      <c r="S936" s="15"/>
      <c r="T936" s="17"/>
      <c r="U936" s="17"/>
      <c r="V936" s="17"/>
      <c r="W936" s="17"/>
      <c r="X936" s="13"/>
      <c r="AC936" s="15"/>
      <c r="AD936" s="16"/>
      <c r="AE936" s="16"/>
      <c r="AF936" s="16"/>
      <c r="AG936" s="16"/>
      <c r="AH936" s="13"/>
      <c r="AL936" s="18"/>
    </row>
    <row r="937" ht="15.75" customHeight="1">
      <c r="C937" s="12"/>
      <c r="D937" s="13"/>
      <c r="E937" s="14"/>
      <c r="I937" s="15"/>
      <c r="J937" s="16"/>
      <c r="K937" s="16"/>
      <c r="L937" s="16"/>
      <c r="M937" s="16"/>
      <c r="N937" s="13"/>
      <c r="S937" s="15"/>
      <c r="T937" s="17"/>
      <c r="U937" s="17"/>
      <c r="V937" s="17"/>
      <c r="W937" s="17"/>
      <c r="X937" s="13"/>
      <c r="AC937" s="15"/>
      <c r="AD937" s="16"/>
      <c r="AE937" s="16"/>
      <c r="AF937" s="16"/>
      <c r="AG937" s="16"/>
      <c r="AH937" s="13"/>
      <c r="AL937" s="18"/>
    </row>
    <row r="938" ht="15.75" customHeight="1">
      <c r="C938" s="12"/>
      <c r="D938" s="13"/>
      <c r="E938" s="14"/>
      <c r="I938" s="15"/>
      <c r="J938" s="16"/>
      <c r="K938" s="16"/>
      <c r="L938" s="16"/>
      <c r="M938" s="16"/>
      <c r="N938" s="13"/>
      <c r="S938" s="15"/>
      <c r="T938" s="17"/>
      <c r="U938" s="17"/>
      <c r="V938" s="17"/>
      <c r="W938" s="17"/>
      <c r="X938" s="13"/>
      <c r="AC938" s="15"/>
      <c r="AD938" s="16"/>
      <c r="AE938" s="16"/>
      <c r="AF938" s="16"/>
      <c r="AG938" s="16"/>
      <c r="AH938" s="13"/>
      <c r="AL938" s="18"/>
    </row>
    <row r="939" ht="15.75" customHeight="1">
      <c r="C939" s="12"/>
      <c r="D939" s="13"/>
      <c r="E939" s="14"/>
      <c r="I939" s="15"/>
      <c r="J939" s="16"/>
      <c r="K939" s="16"/>
      <c r="L939" s="16"/>
      <c r="M939" s="16"/>
      <c r="N939" s="13"/>
      <c r="S939" s="15"/>
      <c r="T939" s="17"/>
      <c r="U939" s="17"/>
      <c r="V939" s="17"/>
      <c r="W939" s="17"/>
      <c r="X939" s="13"/>
      <c r="AC939" s="15"/>
      <c r="AD939" s="16"/>
      <c r="AE939" s="16"/>
      <c r="AF939" s="16"/>
      <c r="AG939" s="16"/>
      <c r="AH939" s="13"/>
      <c r="AL939" s="18"/>
    </row>
    <row r="940" ht="15.75" customHeight="1">
      <c r="C940" s="12"/>
      <c r="D940" s="13"/>
      <c r="E940" s="14"/>
      <c r="I940" s="15"/>
      <c r="J940" s="16"/>
      <c r="K940" s="16"/>
      <c r="L940" s="16"/>
      <c r="M940" s="16"/>
      <c r="N940" s="13"/>
      <c r="S940" s="15"/>
      <c r="T940" s="17"/>
      <c r="U940" s="17"/>
      <c r="V940" s="17"/>
      <c r="W940" s="17"/>
      <c r="X940" s="13"/>
      <c r="AC940" s="15"/>
      <c r="AD940" s="16"/>
      <c r="AE940" s="16"/>
      <c r="AF940" s="16"/>
      <c r="AG940" s="16"/>
      <c r="AH940" s="13"/>
      <c r="AL940" s="18"/>
    </row>
    <row r="941" ht="15.75" customHeight="1">
      <c r="C941" s="12"/>
      <c r="D941" s="13"/>
      <c r="E941" s="14"/>
      <c r="I941" s="15"/>
      <c r="J941" s="16"/>
      <c r="K941" s="16"/>
      <c r="L941" s="16"/>
      <c r="M941" s="16"/>
      <c r="N941" s="13"/>
      <c r="S941" s="15"/>
      <c r="T941" s="17"/>
      <c r="U941" s="17"/>
      <c r="V941" s="17"/>
      <c r="W941" s="17"/>
      <c r="X941" s="13"/>
      <c r="AC941" s="15"/>
      <c r="AD941" s="16"/>
      <c r="AE941" s="16"/>
      <c r="AF941" s="16"/>
      <c r="AG941" s="16"/>
      <c r="AH941" s="13"/>
      <c r="AL941" s="18"/>
    </row>
    <row r="942" ht="15.75" customHeight="1">
      <c r="C942" s="12"/>
      <c r="D942" s="13"/>
      <c r="E942" s="14"/>
      <c r="I942" s="15"/>
      <c r="J942" s="16"/>
      <c r="K942" s="16"/>
      <c r="L942" s="16"/>
      <c r="M942" s="16"/>
      <c r="N942" s="13"/>
      <c r="S942" s="15"/>
      <c r="T942" s="17"/>
      <c r="U942" s="17"/>
      <c r="V942" s="17"/>
      <c r="W942" s="17"/>
      <c r="X942" s="13"/>
      <c r="AC942" s="15"/>
      <c r="AD942" s="16"/>
      <c r="AE942" s="16"/>
      <c r="AF942" s="16"/>
      <c r="AG942" s="16"/>
      <c r="AH942" s="13"/>
      <c r="AL942" s="18"/>
    </row>
    <row r="943" ht="15.75" customHeight="1">
      <c r="C943" s="12"/>
      <c r="D943" s="13"/>
      <c r="E943" s="14"/>
      <c r="I943" s="15"/>
      <c r="J943" s="16"/>
      <c r="K943" s="16"/>
      <c r="L943" s="16"/>
      <c r="M943" s="16"/>
      <c r="N943" s="13"/>
      <c r="S943" s="15"/>
      <c r="T943" s="17"/>
      <c r="U943" s="17"/>
      <c r="V943" s="17"/>
      <c r="W943" s="17"/>
      <c r="X943" s="13"/>
      <c r="AC943" s="15"/>
      <c r="AD943" s="16"/>
      <c r="AE943" s="16"/>
      <c r="AF943" s="16"/>
      <c r="AG943" s="16"/>
      <c r="AH943" s="13"/>
      <c r="AL943" s="18"/>
    </row>
    <row r="944" ht="15.75" customHeight="1">
      <c r="C944" s="12"/>
      <c r="D944" s="13"/>
      <c r="E944" s="14"/>
      <c r="I944" s="15"/>
      <c r="J944" s="16"/>
      <c r="K944" s="16"/>
      <c r="L944" s="16"/>
      <c r="M944" s="16"/>
      <c r="N944" s="13"/>
      <c r="S944" s="15"/>
      <c r="T944" s="17"/>
      <c r="U944" s="17"/>
      <c r="V944" s="17"/>
      <c r="W944" s="17"/>
      <c r="X944" s="13"/>
      <c r="AC944" s="15"/>
      <c r="AD944" s="16"/>
      <c r="AE944" s="16"/>
      <c r="AF944" s="16"/>
      <c r="AG944" s="16"/>
      <c r="AH944" s="13"/>
      <c r="AL944" s="18"/>
    </row>
    <row r="945" ht="15.75" customHeight="1">
      <c r="C945" s="12"/>
      <c r="D945" s="13"/>
      <c r="E945" s="14"/>
      <c r="I945" s="15"/>
      <c r="J945" s="16"/>
      <c r="K945" s="16"/>
      <c r="L945" s="16"/>
      <c r="M945" s="16"/>
      <c r="N945" s="13"/>
      <c r="S945" s="15"/>
      <c r="T945" s="17"/>
      <c r="U945" s="17"/>
      <c r="V945" s="17"/>
      <c r="W945" s="17"/>
      <c r="X945" s="13"/>
      <c r="AC945" s="15"/>
      <c r="AD945" s="16"/>
      <c r="AE945" s="16"/>
      <c r="AF945" s="16"/>
      <c r="AG945" s="16"/>
      <c r="AH945" s="13"/>
      <c r="AL945" s="18"/>
    </row>
    <row r="946" ht="15.75" customHeight="1">
      <c r="C946" s="12"/>
      <c r="D946" s="13"/>
      <c r="E946" s="14"/>
      <c r="I946" s="15"/>
      <c r="J946" s="16"/>
      <c r="K946" s="16"/>
      <c r="L946" s="16"/>
      <c r="M946" s="16"/>
      <c r="N946" s="13"/>
      <c r="S946" s="15"/>
      <c r="T946" s="17"/>
      <c r="U946" s="17"/>
      <c r="V946" s="17"/>
      <c r="W946" s="17"/>
      <c r="X946" s="13"/>
      <c r="AC946" s="15"/>
      <c r="AD946" s="16"/>
      <c r="AE946" s="16"/>
      <c r="AF946" s="16"/>
      <c r="AG946" s="16"/>
      <c r="AH946" s="13"/>
      <c r="AL946" s="18"/>
    </row>
    <row r="947" ht="15.75" customHeight="1">
      <c r="C947" s="12"/>
      <c r="D947" s="13"/>
      <c r="E947" s="14"/>
      <c r="I947" s="15"/>
      <c r="J947" s="16"/>
      <c r="K947" s="16"/>
      <c r="L947" s="16"/>
      <c r="M947" s="16"/>
      <c r="N947" s="13"/>
      <c r="S947" s="15"/>
      <c r="T947" s="17"/>
      <c r="U947" s="17"/>
      <c r="V947" s="17"/>
      <c r="W947" s="17"/>
      <c r="X947" s="13"/>
      <c r="AC947" s="15"/>
      <c r="AD947" s="16"/>
      <c r="AE947" s="16"/>
      <c r="AF947" s="16"/>
      <c r="AG947" s="16"/>
      <c r="AH947" s="13"/>
      <c r="AL947" s="18"/>
    </row>
    <row r="948" ht="15.75" customHeight="1">
      <c r="C948" s="12"/>
      <c r="D948" s="13"/>
      <c r="E948" s="14"/>
      <c r="I948" s="15"/>
      <c r="J948" s="16"/>
      <c r="K948" s="16"/>
      <c r="L948" s="16"/>
      <c r="M948" s="16"/>
      <c r="N948" s="13"/>
      <c r="S948" s="15"/>
      <c r="T948" s="17"/>
      <c r="U948" s="17"/>
      <c r="V948" s="17"/>
      <c r="W948" s="17"/>
      <c r="X948" s="13"/>
      <c r="AC948" s="15"/>
      <c r="AD948" s="16"/>
      <c r="AE948" s="16"/>
      <c r="AF948" s="16"/>
      <c r="AG948" s="16"/>
      <c r="AH948" s="13"/>
      <c r="AL948" s="18"/>
    </row>
    <row r="949" ht="15.75" customHeight="1">
      <c r="C949" s="12"/>
      <c r="D949" s="13"/>
      <c r="E949" s="14"/>
      <c r="I949" s="15"/>
      <c r="J949" s="16"/>
      <c r="K949" s="16"/>
      <c r="L949" s="16"/>
      <c r="M949" s="16"/>
      <c r="N949" s="13"/>
      <c r="S949" s="15"/>
      <c r="T949" s="17"/>
      <c r="U949" s="17"/>
      <c r="V949" s="17"/>
      <c r="W949" s="17"/>
      <c r="X949" s="13"/>
      <c r="AC949" s="15"/>
      <c r="AD949" s="16"/>
      <c r="AE949" s="16"/>
      <c r="AF949" s="16"/>
      <c r="AG949" s="16"/>
      <c r="AH949" s="13"/>
      <c r="AL949" s="18"/>
    </row>
    <row r="950" ht="15.75" customHeight="1">
      <c r="C950" s="12"/>
      <c r="D950" s="13"/>
      <c r="E950" s="14"/>
      <c r="I950" s="15"/>
      <c r="J950" s="16"/>
      <c r="K950" s="16"/>
      <c r="L950" s="16"/>
      <c r="M950" s="16"/>
      <c r="N950" s="13"/>
      <c r="S950" s="15"/>
      <c r="T950" s="17"/>
      <c r="U950" s="17"/>
      <c r="V950" s="17"/>
      <c r="W950" s="17"/>
      <c r="X950" s="13"/>
      <c r="AC950" s="15"/>
      <c r="AD950" s="16"/>
      <c r="AE950" s="16"/>
      <c r="AF950" s="16"/>
      <c r="AG950" s="16"/>
      <c r="AH950" s="13"/>
      <c r="AL950" s="18"/>
    </row>
    <row r="951" ht="15.75" customHeight="1">
      <c r="C951" s="12"/>
      <c r="D951" s="13"/>
      <c r="E951" s="14"/>
      <c r="I951" s="15"/>
      <c r="J951" s="16"/>
      <c r="K951" s="16"/>
      <c r="L951" s="16"/>
      <c r="M951" s="16"/>
      <c r="N951" s="13"/>
      <c r="S951" s="15"/>
      <c r="T951" s="17"/>
      <c r="U951" s="17"/>
      <c r="V951" s="17"/>
      <c r="W951" s="17"/>
      <c r="X951" s="13"/>
      <c r="AC951" s="15"/>
      <c r="AD951" s="16"/>
      <c r="AE951" s="16"/>
      <c r="AF951" s="16"/>
      <c r="AG951" s="16"/>
      <c r="AH951" s="13"/>
      <c r="AL951" s="18"/>
    </row>
    <row r="952" ht="15.75" customHeight="1">
      <c r="C952" s="12"/>
      <c r="D952" s="13"/>
      <c r="E952" s="14"/>
      <c r="I952" s="15"/>
      <c r="J952" s="16"/>
      <c r="K952" s="16"/>
      <c r="L952" s="16"/>
      <c r="M952" s="16"/>
      <c r="N952" s="13"/>
      <c r="S952" s="15"/>
      <c r="T952" s="17"/>
      <c r="U952" s="17"/>
      <c r="V952" s="17"/>
      <c r="W952" s="17"/>
      <c r="X952" s="13"/>
      <c r="AC952" s="15"/>
      <c r="AD952" s="16"/>
      <c r="AE952" s="16"/>
      <c r="AF952" s="16"/>
      <c r="AG952" s="16"/>
      <c r="AH952" s="13"/>
      <c r="AL952" s="18"/>
    </row>
    <row r="953" ht="15.75" customHeight="1">
      <c r="C953" s="12"/>
      <c r="D953" s="13"/>
      <c r="E953" s="14"/>
      <c r="I953" s="15"/>
      <c r="J953" s="16"/>
      <c r="K953" s="16"/>
      <c r="L953" s="16"/>
      <c r="M953" s="16"/>
      <c r="N953" s="13"/>
      <c r="S953" s="15"/>
      <c r="T953" s="17"/>
      <c r="U953" s="17"/>
      <c r="V953" s="17"/>
      <c r="W953" s="17"/>
      <c r="X953" s="13"/>
      <c r="AC953" s="15"/>
      <c r="AD953" s="16"/>
      <c r="AE953" s="16"/>
      <c r="AF953" s="16"/>
      <c r="AG953" s="16"/>
      <c r="AH953" s="13"/>
      <c r="AL953" s="18"/>
    </row>
    <row r="954" ht="15.75" customHeight="1">
      <c r="C954" s="12"/>
      <c r="D954" s="13"/>
      <c r="E954" s="14"/>
      <c r="I954" s="15"/>
      <c r="J954" s="16"/>
      <c r="K954" s="16"/>
      <c r="L954" s="16"/>
      <c r="M954" s="16"/>
      <c r="N954" s="13"/>
      <c r="S954" s="15"/>
      <c r="T954" s="17"/>
      <c r="U954" s="17"/>
      <c r="V954" s="17"/>
      <c r="W954" s="17"/>
      <c r="X954" s="13"/>
      <c r="AC954" s="15"/>
      <c r="AD954" s="16"/>
      <c r="AE954" s="16"/>
      <c r="AF954" s="16"/>
      <c r="AG954" s="16"/>
      <c r="AH954" s="13"/>
      <c r="AL954" s="18"/>
    </row>
    <row r="955" ht="15.75" customHeight="1">
      <c r="C955" s="12"/>
      <c r="D955" s="13"/>
      <c r="E955" s="14"/>
      <c r="I955" s="15"/>
      <c r="J955" s="16"/>
      <c r="K955" s="16"/>
      <c r="L955" s="16"/>
      <c r="M955" s="16"/>
      <c r="N955" s="13"/>
      <c r="S955" s="15"/>
      <c r="T955" s="17"/>
      <c r="U955" s="17"/>
      <c r="V955" s="17"/>
      <c r="W955" s="17"/>
      <c r="X955" s="13"/>
      <c r="AC955" s="15"/>
      <c r="AD955" s="16"/>
      <c r="AE955" s="16"/>
      <c r="AF955" s="16"/>
      <c r="AG955" s="16"/>
      <c r="AH955" s="13"/>
      <c r="AL955" s="18"/>
    </row>
    <row r="956" ht="15.75" customHeight="1">
      <c r="C956" s="12"/>
      <c r="D956" s="13"/>
      <c r="E956" s="14"/>
      <c r="I956" s="15"/>
      <c r="J956" s="16"/>
      <c r="K956" s="16"/>
      <c r="L956" s="16"/>
      <c r="M956" s="16"/>
      <c r="N956" s="13"/>
      <c r="S956" s="15"/>
      <c r="T956" s="17"/>
      <c r="U956" s="17"/>
      <c r="V956" s="17"/>
      <c r="W956" s="17"/>
      <c r="X956" s="13"/>
      <c r="AC956" s="15"/>
      <c r="AD956" s="16"/>
      <c r="AE956" s="16"/>
      <c r="AF956" s="16"/>
      <c r="AG956" s="16"/>
      <c r="AH956" s="13"/>
      <c r="AL956" s="18"/>
    </row>
    <row r="957" ht="15.75" customHeight="1">
      <c r="C957" s="12"/>
      <c r="D957" s="13"/>
      <c r="E957" s="14"/>
      <c r="I957" s="15"/>
      <c r="J957" s="16"/>
      <c r="K957" s="16"/>
      <c r="L957" s="16"/>
      <c r="M957" s="16"/>
      <c r="N957" s="13"/>
      <c r="S957" s="15"/>
      <c r="T957" s="17"/>
      <c r="U957" s="17"/>
      <c r="V957" s="17"/>
      <c r="W957" s="17"/>
      <c r="X957" s="13"/>
      <c r="AC957" s="15"/>
      <c r="AD957" s="16"/>
      <c r="AE957" s="16"/>
      <c r="AF957" s="16"/>
      <c r="AG957" s="16"/>
      <c r="AH957" s="13"/>
      <c r="AL957" s="18"/>
    </row>
    <row r="958" ht="15.75" customHeight="1">
      <c r="C958" s="12"/>
      <c r="D958" s="13"/>
      <c r="E958" s="14"/>
      <c r="I958" s="15"/>
      <c r="J958" s="16"/>
      <c r="K958" s="16"/>
      <c r="L958" s="16"/>
      <c r="M958" s="16"/>
      <c r="N958" s="13"/>
      <c r="S958" s="15"/>
      <c r="T958" s="17"/>
      <c r="U958" s="17"/>
      <c r="V958" s="17"/>
      <c r="W958" s="17"/>
      <c r="X958" s="13"/>
      <c r="AC958" s="15"/>
      <c r="AD958" s="16"/>
      <c r="AE958" s="16"/>
      <c r="AF958" s="16"/>
      <c r="AG958" s="16"/>
      <c r="AH958" s="13"/>
      <c r="AL958" s="18"/>
    </row>
    <row r="959" ht="15.75" customHeight="1">
      <c r="C959" s="12"/>
      <c r="D959" s="13"/>
      <c r="E959" s="14"/>
      <c r="I959" s="15"/>
      <c r="J959" s="16"/>
      <c r="K959" s="16"/>
      <c r="L959" s="16"/>
      <c r="M959" s="16"/>
      <c r="N959" s="13"/>
      <c r="S959" s="15"/>
      <c r="T959" s="17"/>
      <c r="U959" s="17"/>
      <c r="V959" s="17"/>
      <c r="W959" s="17"/>
      <c r="X959" s="13"/>
      <c r="AC959" s="15"/>
      <c r="AD959" s="16"/>
      <c r="AE959" s="16"/>
      <c r="AF959" s="16"/>
      <c r="AG959" s="16"/>
      <c r="AH959" s="13"/>
      <c r="AL959" s="18"/>
    </row>
    <row r="960" ht="15.75" customHeight="1">
      <c r="C960" s="12"/>
      <c r="D960" s="13"/>
      <c r="E960" s="14"/>
      <c r="I960" s="15"/>
      <c r="J960" s="16"/>
      <c r="K960" s="16"/>
      <c r="L960" s="16"/>
      <c r="M960" s="16"/>
      <c r="N960" s="13"/>
      <c r="S960" s="15"/>
      <c r="T960" s="17"/>
      <c r="U960" s="17"/>
      <c r="V960" s="17"/>
      <c r="W960" s="17"/>
      <c r="X960" s="13"/>
      <c r="AC960" s="15"/>
      <c r="AD960" s="16"/>
      <c r="AE960" s="16"/>
      <c r="AF960" s="16"/>
      <c r="AG960" s="16"/>
      <c r="AH960" s="13"/>
      <c r="AL960" s="18"/>
    </row>
    <row r="961" ht="15.75" customHeight="1">
      <c r="C961" s="12"/>
      <c r="D961" s="13"/>
      <c r="E961" s="14"/>
      <c r="I961" s="15"/>
      <c r="J961" s="16"/>
      <c r="K961" s="16"/>
      <c r="L961" s="16"/>
      <c r="M961" s="16"/>
      <c r="N961" s="13"/>
      <c r="S961" s="15"/>
      <c r="T961" s="17"/>
      <c r="U961" s="17"/>
      <c r="V961" s="17"/>
      <c r="W961" s="17"/>
      <c r="X961" s="13"/>
      <c r="AC961" s="15"/>
      <c r="AD961" s="16"/>
      <c r="AE961" s="16"/>
      <c r="AF961" s="16"/>
      <c r="AG961" s="16"/>
      <c r="AH961" s="13"/>
      <c r="AL961" s="18"/>
    </row>
    <row r="962" ht="15.75" customHeight="1">
      <c r="C962" s="12"/>
      <c r="D962" s="13"/>
      <c r="E962" s="14"/>
      <c r="I962" s="15"/>
      <c r="J962" s="16"/>
      <c r="K962" s="16"/>
      <c r="L962" s="16"/>
      <c r="M962" s="16"/>
      <c r="N962" s="13"/>
      <c r="S962" s="15"/>
      <c r="T962" s="17"/>
      <c r="U962" s="17"/>
      <c r="V962" s="17"/>
      <c r="W962" s="17"/>
      <c r="X962" s="13"/>
      <c r="AC962" s="15"/>
      <c r="AD962" s="16"/>
      <c r="AE962" s="16"/>
      <c r="AF962" s="16"/>
      <c r="AG962" s="16"/>
      <c r="AH962" s="13"/>
      <c r="AL962" s="18"/>
    </row>
    <row r="963" ht="15.75" customHeight="1">
      <c r="C963" s="12"/>
      <c r="D963" s="13"/>
      <c r="E963" s="14"/>
      <c r="I963" s="15"/>
      <c r="J963" s="16"/>
      <c r="K963" s="16"/>
      <c r="L963" s="16"/>
      <c r="M963" s="16"/>
      <c r="N963" s="13"/>
      <c r="S963" s="15"/>
      <c r="T963" s="17"/>
      <c r="U963" s="17"/>
      <c r="V963" s="17"/>
      <c r="W963" s="17"/>
      <c r="X963" s="13"/>
      <c r="AC963" s="15"/>
      <c r="AD963" s="16"/>
      <c r="AE963" s="16"/>
      <c r="AF963" s="16"/>
      <c r="AG963" s="16"/>
      <c r="AH963" s="13"/>
      <c r="AL963" s="18"/>
    </row>
    <row r="964" ht="15.75" customHeight="1">
      <c r="C964" s="12"/>
      <c r="D964" s="13"/>
      <c r="E964" s="14"/>
      <c r="I964" s="15"/>
      <c r="J964" s="16"/>
      <c r="K964" s="16"/>
      <c r="L964" s="16"/>
      <c r="M964" s="16"/>
      <c r="N964" s="13"/>
      <c r="S964" s="15"/>
      <c r="T964" s="17"/>
      <c r="U964" s="17"/>
      <c r="V964" s="17"/>
      <c r="W964" s="17"/>
      <c r="X964" s="13"/>
      <c r="AC964" s="15"/>
      <c r="AD964" s="16"/>
      <c r="AE964" s="16"/>
      <c r="AF964" s="16"/>
      <c r="AG964" s="16"/>
      <c r="AH964" s="13"/>
      <c r="AL964" s="18"/>
    </row>
    <row r="965" ht="15.75" customHeight="1">
      <c r="C965" s="12"/>
      <c r="D965" s="13"/>
      <c r="E965" s="14"/>
      <c r="I965" s="15"/>
      <c r="J965" s="16"/>
      <c r="K965" s="16"/>
      <c r="L965" s="16"/>
      <c r="M965" s="16"/>
      <c r="N965" s="13"/>
      <c r="S965" s="15"/>
      <c r="T965" s="17"/>
      <c r="U965" s="17"/>
      <c r="V965" s="17"/>
      <c r="W965" s="17"/>
      <c r="X965" s="13"/>
      <c r="AC965" s="15"/>
      <c r="AD965" s="16"/>
      <c r="AE965" s="16"/>
      <c r="AF965" s="16"/>
      <c r="AG965" s="16"/>
      <c r="AH965" s="13"/>
      <c r="AL965" s="18"/>
    </row>
    <row r="966" ht="15.75" customHeight="1">
      <c r="C966" s="12"/>
      <c r="D966" s="13"/>
      <c r="E966" s="14"/>
      <c r="I966" s="15"/>
      <c r="J966" s="16"/>
      <c r="K966" s="16"/>
      <c r="L966" s="16"/>
      <c r="M966" s="16"/>
      <c r="N966" s="13"/>
      <c r="S966" s="15"/>
      <c r="T966" s="17"/>
      <c r="U966" s="17"/>
      <c r="V966" s="17"/>
      <c r="W966" s="17"/>
      <c r="X966" s="13"/>
      <c r="AC966" s="15"/>
      <c r="AD966" s="16"/>
      <c r="AE966" s="16"/>
      <c r="AF966" s="16"/>
      <c r="AG966" s="16"/>
      <c r="AH966" s="13"/>
      <c r="AL966" s="18"/>
    </row>
    <row r="967" ht="15.75" customHeight="1">
      <c r="C967" s="12"/>
      <c r="D967" s="13"/>
      <c r="E967" s="14"/>
      <c r="I967" s="15"/>
      <c r="J967" s="16"/>
      <c r="K967" s="16"/>
      <c r="L967" s="16"/>
      <c r="M967" s="16"/>
      <c r="N967" s="13"/>
      <c r="S967" s="15"/>
      <c r="T967" s="17"/>
      <c r="U967" s="17"/>
      <c r="V967" s="17"/>
      <c r="W967" s="17"/>
      <c r="X967" s="13"/>
      <c r="AC967" s="15"/>
      <c r="AD967" s="16"/>
      <c r="AE967" s="16"/>
      <c r="AF967" s="16"/>
      <c r="AG967" s="16"/>
      <c r="AH967" s="13"/>
      <c r="AL967" s="18"/>
    </row>
    <row r="968" ht="15.75" customHeight="1">
      <c r="C968" s="12"/>
      <c r="D968" s="13"/>
      <c r="E968" s="14"/>
      <c r="I968" s="15"/>
      <c r="J968" s="16"/>
      <c r="K968" s="16"/>
      <c r="L968" s="16"/>
      <c r="M968" s="16"/>
      <c r="N968" s="13"/>
      <c r="S968" s="15"/>
      <c r="T968" s="17"/>
      <c r="U968" s="17"/>
      <c r="V968" s="17"/>
      <c r="W968" s="17"/>
      <c r="X968" s="13"/>
      <c r="AC968" s="15"/>
      <c r="AD968" s="16"/>
      <c r="AE968" s="16"/>
      <c r="AF968" s="16"/>
      <c r="AG968" s="16"/>
      <c r="AH968" s="13"/>
      <c r="AL968" s="18"/>
    </row>
    <row r="969" ht="15.75" customHeight="1">
      <c r="C969" s="12"/>
      <c r="D969" s="13"/>
      <c r="E969" s="14"/>
      <c r="I969" s="15"/>
      <c r="J969" s="16"/>
      <c r="K969" s="16"/>
      <c r="L969" s="16"/>
      <c r="M969" s="16"/>
      <c r="N969" s="13"/>
      <c r="S969" s="15"/>
      <c r="T969" s="17"/>
      <c r="U969" s="17"/>
      <c r="V969" s="17"/>
      <c r="W969" s="17"/>
      <c r="X969" s="13"/>
      <c r="AC969" s="15"/>
      <c r="AD969" s="16"/>
      <c r="AE969" s="16"/>
      <c r="AF969" s="16"/>
      <c r="AG969" s="16"/>
      <c r="AH969" s="13"/>
      <c r="AL969" s="18"/>
    </row>
    <row r="970" ht="15.75" customHeight="1">
      <c r="C970" s="12"/>
      <c r="D970" s="13"/>
      <c r="E970" s="14"/>
      <c r="I970" s="15"/>
      <c r="J970" s="16"/>
      <c r="K970" s="16"/>
      <c r="L970" s="16"/>
      <c r="M970" s="16"/>
      <c r="N970" s="13"/>
      <c r="S970" s="15"/>
      <c r="T970" s="17"/>
      <c r="U970" s="17"/>
      <c r="V970" s="17"/>
      <c r="W970" s="17"/>
      <c r="X970" s="13"/>
      <c r="AC970" s="15"/>
      <c r="AD970" s="16"/>
      <c r="AE970" s="16"/>
      <c r="AF970" s="16"/>
      <c r="AG970" s="16"/>
      <c r="AH970" s="13"/>
      <c r="AL970" s="18"/>
    </row>
    <row r="971" ht="15.75" customHeight="1">
      <c r="C971" s="12"/>
      <c r="D971" s="13"/>
      <c r="E971" s="14"/>
      <c r="I971" s="15"/>
      <c r="J971" s="16"/>
      <c r="K971" s="16"/>
      <c r="L971" s="16"/>
      <c r="M971" s="16"/>
      <c r="N971" s="13"/>
      <c r="S971" s="15"/>
      <c r="T971" s="17"/>
      <c r="U971" s="17"/>
      <c r="V971" s="17"/>
      <c r="W971" s="17"/>
      <c r="X971" s="13"/>
      <c r="AC971" s="15"/>
      <c r="AD971" s="16"/>
      <c r="AE971" s="16"/>
      <c r="AF971" s="16"/>
      <c r="AG971" s="16"/>
      <c r="AH971" s="13"/>
      <c r="AL971" s="18"/>
    </row>
    <row r="972" ht="15.75" customHeight="1">
      <c r="C972" s="12"/>
      <c r="D972" s="13"/>
      <c r="E972" s="14"/>
      <c r="I972" s="15"/>
      <c r="J972" s="16"/>
      <c r="K972" s="16"/>
      <c r="L972" s="16"/>
      <c r="M972" s="16"/>
      <c r="N972" s="13"/>
      <c r="S972" s="15"/>
      <c r="T972" s="17"/>
      <c r="U972" s="17"/>
      <c r="V972" s="17"/>
      <c r="W972" s="17"/>
      <c r="X972" s="13"/>
      <c r="AC972" s="15"/>
      <c r="AD972" s="16"/>
      <c r="AE972" s="16"/>
      <c r="AF972" s="16"/>
      <c r="AG972" s="16"/>
      <c r="AH972" s="13"/>
      <c r="AL972" s="18"/>
    </row>
    <row r="973" ht="15.75" customHeight="1">
      <c r="C973" s="12"/>
      <c r="D973" s="13"/>
      <c r="E973" s="14"/>
      <c r="I973" s="15"/>
      <c r="J973" s="16"/>
      <c r="K973" s="16"/>
      <c r="L973" s="16"/>
      <c r="M973" s="16"/>
      <c r="N973" s="13"/>
      <c r="S973" s="15"/>
      <c r="T973" s="17"/>
      <c r="U973" s="17"/>
      <c r="V973" s="17"/>
      <c r="W973" s="17"/>
      <c r="X973" s="13"/>
      <c r="AC973" s="15"/>
      <c r="AD973" s="16"/>
      <c r="AE973" s="16"/>
      <c r="AF973" s="16"/>
      <c r="AG973" s="16"/>
      <c r="AH973" s="13"/>
      <c r="AL973" s="18"/>
    </row>
    <row r="974" ht="15.75" customHeight="1">
      <c r="C974" s="12"/>
      <c r="D974" s="13"/>
      <c r="E974" s="14"/>
      <c r="I974" s="15"/>
      <c r="J974" s="16"/>
      <c r="K974" s="16"/>
      <c r="L974" s="16"/>
      <c r="M974" s="16"/>
      <c r="N974" s="13"/>
      <c r="S974" s="15"/>
      <c r="T974" s="17"/>
      <c r="U974" s="17"/>
      <c r="V974" s="17"/>
      <c r="W974" s="17"/>
      <c r="X974" s="13"/>
      <c r="AC974" s="15"/>
      <c r="AD974" s="16"/>
      <c r="AE974" s="16"/>
      <c r="AF974" s="16"/>
      <c r="AG974" s="16"/>
      <c r="AH974" s="13"/>
      <c r="AL974" s="18"/>
    </row>
    <row r="975" ht="15.75" customHeight="1">
      <c r="C975" s="12"/>
      <c r="D975" s="13"/>
      <c r="E975" s="14"/>
      <c r="I975" s="15"/>
      <c r="J975" s="16"/>
      <c r="K975" s="16"/>
      <c r="L975" s="16"/>
      <c r="M975" s="16"/>
      <c r="N975" s="13"/>
      <c r="S975" s="15"/>
      <c r="T975" s="17"/>
      <c r="U975" s="17"/>
      <c r="V975" s="17"/>
      <c r="W975" s="17"/>
      <c r="X975" s="13"/>
      <c r="AC975" s="15"/>
      <c r="AD975" s="16"/>
      <c r="AE975" s="16"/>
      <c r="AF975" s="16"/>
      <c r="AG975" s="16"/>
      <c r="AH975" s="13"/>
      <c r="AL975" s="18"/>
    </row>
    <row r="976" ht="15.75" customHeight="1">
      <c r="C976" s="12"/>
      <c r="D976" s="13"/>
      <c r="E976" s="14"/>
      <c r="I976" s="15"/>
      <c r="J976" s="16"/>
      <c r="K976" s="16"/>
      <c r="L976" s="16"/>
      <c r="M976" s="16"/>
      <c r="N976" s="13"/>
      <c r="S976" s="15"/>
      <c r="T976" s="17"/>
      <c r="U976" s="17"/>
      <c r="V976" s="17"/>
      <c r="W976" s="17"/>
      <c r="X976" s="13"/>
      <c r="AC976" s="15"/>
      <c r="AD976" s="16"/>
      <c r="AE976" s="16"/>
      <c r="AF976" s="16"/>
      <c r="AG976" s="16"/>
      <c r="AH976" s="13"/>
      <c r="AL976" s="18"/>
    </row>
    <row r="977" ht="15.75" customHeight="1">
      <c r="C977" s="12"/>
      <c r="D977" s="13"/>
      <c r="E977" s="14"/>
      <c r="I977" s="15"/>
      <c r="J977" s="16"/>
      <c r="K977" s="16"/>
      <c r="L977" s="16"/>
      <c r="M977" s="16"/>
      <c r="N977" s="13"/>
      <c r="S977" s="15"/>
      <c r="T977" s="17"/>
      <c r="U977" s="17"/>
      <c r="V977" s="17"/>
      <c r="W977" s="17"/>
      <c r="X977" s="13"/>
      <c r="AC977" s="15"/>
      <c r="AD977" s="16"/>
      <c r="AE977" s="16"/>
      <c r="AF977" s="16"/>
      <c r="AG977" s="16"/>
      <c r="AH977" s="13"/>
      <c r="AL977" s="18"/>
    </row>
    <row r="978" ht="15.75" customHeight="1">
      <c r="C978" s="12"/>
      <c r="D978" s="13"/>
      <c r="E978" s="14"/>
      <c r="I978" s="15"/>
      <c r="J978" s="16"/>
      <c r="K978" s="16"/>
      <c r="L978" s="16"/>
      <c r="M978" s="16"/>
      <c r="N978" s="13"/>
      <c r="S978" s="15"/>
      <c r="T978" s="17"/>
      <c r="U978" s="17"/>
      <c r="V978" s="17"/>
      <c r="W978" s="17"/>
      <c r="X978" s="13"/>
      <c r="AC978" s="15"/>
      <c r="AD978" s="16"/>
      <c r="AE978" s="16"/>
      <c r="AF978" s="16"/>
      <c r="AG978" s="16"/>
      <c r="AH978" s="13"/>
      <c r="AL978" s="18"/>
    </row>
    <row r="979" ht="15.75" customHeight="1">
      <c r="C979" s="12"/>
      <c r="D979" s="13"/>
      <c r="E979" s="14"/>
      <c r="I979" s="15"/>
      <c r="J979" s="16"/>
      <c r="K979" s="16"/>
      <c r="L979" s="16"/>
      <c r="M979" s="16"/>
      <c r="N979" s="13"/>
      <c r="S979" s="15"/>
      <c r="T979" s="17"/>
      <c r="U979" s="17"/>
      <c r="V979" s="17"/>
      <c r="W979" s="17"/>
      <c r="X979" s="13"/>
      <c r="AC979" s="15"/>
      <c r="AD979" s="16"/>
      <c r="AE979" s="16"/>
      <c r="AF979" s="16"/>
      <c r="AG979" s="16"/>
      <c r="AH979" s="13"/>
      <c r="AL979" s="18"/>
    </row>
    <row r="980" ht="15.75" customHeight="1">
      <c r="C980" s="12"/>
      <c r="D980" s="13"/>
      <c r="E980" s="14"/>
      <c r="I980" s="15"/>
      <c r="J980" s="16"/>
      <c r="K980" s="16"/>
      <c r="L980" s="16"/>
      <c r="M980" s="16"/>
      <c r="N980" s="13"/>
      <c r="S980" s="15"/>
      <c r="T980" s="17"/>
      <c r="U980" s="17"/>
      <c r="V980" s="17"/>
      <c r="W980" s="17"/>
      <c r="X980" s="13"/>
      <c r="AC980" s="15"/>
      <c r="AD980" s="16"/>
      <c r="AE980" s="16"/>
      <c r="AF980" s="16"/>
      <c r="AG980" s="16"/>
      <c r="AH980" s="13"/>
      <c r="AL980" s="18"/>
    </row>
    <row r="981" ht="15.75" customHeight="1">
      <c r="C981" s="12"/>
      <c r="D981" s="13"/>
      <c r="E981" s="14"/>
      <c r="I981" s="15"/>
      <c r="J981" s="16"/>
      <c r="K981" s="16"/>
      <c r="L981" s="16"/>
      <c r="M981" s="16"/>
      <c r="N981" s="13"/>
      <c r="S981" s="15"/>
      <c r="T981" s="17"/>
      <c r="U981" s="17"/>
      <c r="V981" s="17"/>
      <c r="W981" s="17"/>
      <c r="X981" s="13"/>
      <c r="AC981" s="15"/>
      <c r="AD981" s="16"/>
      <c r="AE981" s="16"/>
      <c r="AF981" s="16"/>
      <c r="AG981" s="16"/>
      <c r="AH981" s="13"/>
      <c r="AL981" s="18"/>
    </row>
    <row r="982" ht="15.75" customHeight="1">
      <c r="C982" s="12"/>
      <c r="D982" s="13"/>
      <c r="E982" s="14"/>
      <c r="I982" s="15"/>
      <c r="J982" s="16"/>
      <c r="K982" s="16"/>
      <c r="L982" s="16"/>
      <c r="M982" s="16"/>
      <c r="N982" s="13"/>
      <c r="S982" s="15"/>
      <c r="T982" s="17"/>
      <c r="U982" s="17"/>
      <c r="V982" s="17"/>
      <c r="W982" s="17"/>
      <c r="X982" s="13"/>
      <c r="AC982" s="15"/>
      <c r="AD982" s="16"/>
      <c r="AE982" s="16"/>
      <c r="AF982" s="16"/>
      <c r="AG982" s="16"/>
      <c r="AH982" s="13"/>
      <c r="AL982" s="18"/>
    </row>
    <row r="983" ht="15.75" customHeight="1">
      <c r="C983" s="12"/>
      <c r="D983" s="13"/>
      <c r="E983" s="14"/>
      <c r="I983" s="15"/>
      <c r="J983" s="16"/>
      <c r="K983" s="16"/>
      <c r="L983" s="16"/>
      <c r="M983" s="16"/>
      <c r="N983" s="13"/>
      <c r="S983" s="15"/>
      <c r="T983" s="17"/>
      <c r="U983" s="17"/>
      <c r="V983" s="17"/>
      <c r="W983" s="17"/>
      <c r="X983" s="13"/>
      <c r="AC983" s="15"/>
      <c r="AD983" s="16"/>
      <c r="AE983" s="16"/>
      <c r="AF983" s="16"/>
      <c r="AG983" s="16"/>
      <c r="AH983" s="13"/>
      <c r="AL983" s="18"/>
    </row>
    <row r="984" ht="15.75" customHeight="1">
      <c r="C984" s="12"/>
      <c r="D984" s="13"/>
      <c r="E984" s="14"/>
      <c r="I984" s="15"/>
      <c r="J984" s="16"/>
      <c r="K984" s="16"/>
      <c r="L984" s="16"/>
      <c r="M984" s="16"/>
      <c r="N984" s="13"/>
      <c r="S984" s="15"/>
      <c r="T984" s="17"/>
      <c r="U984" s="17"/>
      <c r="V984" s="17"/>
      <c r="W984" s="17"/>
      <c r="X984" s="13"/>
      <c r="AC984" s="15"/>
      <c r="AD984" s="16"/>
      <c r="AE984" s="16"/>
      <c r="AF984" s="16"/>
      <c r="AG984" s="16"/>
      <c r="AH984" s="13"/>
      <c r="AL984" s="18"/>
    </row>
    <row r="985" ht="15.75" customHeight="1">
      <c r="C985" s="12"/>
      <c r="D985" s="13"/>
      <c r="E985" s="14"/>
      <c r="I985" s="15"/>
      <c r="J985" s="16"/>
      <c r="K985" s="16"/>
      <c r="L985" s="16"/>
      <c r="M985" s="16"/>
      <c r="N985" s="13"/>
      <c r="S985" s="15"/>
      <c r="T985" s="17"/>
      <c r="U985" s="17"/>
      <c r="V985" s="17"/>
      <c r="W985" s="17"/>
      <c r="X985" s="13"/>
      <c r="AC985" s="15"/>
      <c r="AD985" s="16"/>
      <c r="AE985" s="16"/>
      <c r="AF985" s="16"/>
      <c r="AG985" s="16"/>
      <c r="AH985" s="13"/>
      <c r="AL985" s="18"/>
    </row>
    <row r="986" ht="15.75" customHeight="1">
      <c r="C986" s="12"/>
      <c r="D986" s="13"/>
      <c r="E986" s="14"/>
      <c r="I986" s="15"/>
      <c r="J986" s="16"/>
      <c r="K986" s="16"/>
      <c r="L986" s="16"/>
      <c r="M986" s="16"/>
      <c r="N986" s="13"/>
      <c r="S986" s="15"/>
      <c r="T986" s="17"/>
      <c r="U986" s="17"/>
      <c r="V986" s="17"/>
      <c r="W986" s="17"/>
      <c r="X986" s="13"/>
      <c r="AC986" s="15"/>
      <c r="AD986" s="16"/>
      <c r="AE986" s="16"/>
      <c r="AF986" s="16"/>
      <c r="AG986" s="16"/>
      <c r="AH986" s="13"/>
      <c r="AL986" s="18"/>
    </row>
    <row r="987" ht="15.75" customHeight="1">
      <c r="C987" s="12"/>
      <c r="D987" s="13"/>
      <c r="E987" s="14"/>
      <c r="I987" s="15"/>
      <c r="J987" s="16"/>
      <c r="K987" s="16"/>
      <c r="L987" s="16"/>
      <c r="M987" s="16"/>
      <c r="N987" s="13"/>
      <c r="S987" s="15"/>
      <c r="T987" s="17"/>
      <c r="U987" s="17"/>
      <c r="V987" s="17"/>
      <c r="W987" s="17"/>
      <c r="X987" s="13"/>
      <c r="AC987" s="15"/>
      <c r="AD987" s="16"/>
      <c r="AE987" s="16"/>
      <c r="AF987" s="16"/>
      <c r="AG987" s="16"/>
      <c r="AH987" s="13"/>
      <c r="AL987" s="18"/>
    </row>
    <row r="988" ht="15.75" customHeight="1">
      <c r="C988" s="12"/>
      <c r="D988" s="13"/>
      <c r="E988" s="14"/>
      <c r="I988" s="15"/>
      <c r="J988" s="16"/>
      <c r="K988" s="16"/>
      <c r="L988" s="16"/>
      <c r="M988" s="16"/>
      <c r="N988" s="13"/>
      <c r="S988" s="15"/>
      <c r="T988" s="17"/>
      <c r="U988" s="17"/>
      <c r="V988" s="17"/>
      <c r="W988" s="17"/>
      <c r="X988" s="13"/>
      <c r="AC988" s="15"/>
      <c r="AD988" s="16"/>
      <c r="AE988" s="16"/>
      <c r="AF988" s="16"/>
      <c r="AG988" s="16"/>
      <c r="AH988" s="13"/>
      <c r="AL988" s="18"/>
    </row>
    <row r="989" ht="15.75" customHeight="1">
      <c r="C989" s="12"/>
      <c r="D989" s="13"/>
      <c r="E989" s="14"/>
      <c r="I989" s="15"/>
      <c r="J989" s="16"/>
      <c r="K989" s="16"/>
      <c r="L989" s="16"/>
      <c r="M989" s="16"/>
      <c r="N989" s="13"/>
      <c r="S989" s="15"/>
      <c r="T989" s="17"/>
      <c r="U989" s="17"/>
      <c r="V989" s="17"/>
      <c r="W989" s="17"/>
      <c r="X989" s="13"/>
      <c r="AC989" s="15"/>
      <c r="AD989" s="16"/>
      <c r="AE989" s="16"/>
      <c r="AF989" s="16"/>
      <c r="AG989" s="16"/>
      <c r="AH989" s="13"/>
      <c r="AL989" s="18"/>
    </row>
    <row r="990" ht="15.75" customHeight="1">
      <c r="C990" s="12"/>
      <c r="D990" s="13"/>
      <c r="E990" s="14"/>
      <c r="I990" s="15"/>
      <c r="J990" s="16"/>
      <c r="K990" s="16"/>
      <c r="L990" s="16"/>
      <c r="M990" s="16"/>
      <c r="N990" s="13"/>
      <c r="S990" s="15"/>
      <c r="T990" s="17"/>
      <c r="U990" s="17"/>
      <c r="V990" s="17"/>
      <c r="W990" s="17"/>
      <c r="X990" s="13"/>
      <c r="AC990" s="15"/>
      <c r="AD990" s="16"/>
      <c r="AE990" s="16"/>
      <c r="AF990" s="16"/>
      <c r="AG990" s="16"/>
      <c r="AH990" s="13"/>
      <c r="AL990" s="18"/>
    </row>
    <row r="991" ht="15.75" customHeight="1">
      <c r="C991" s="12"/>
      <c r="D991" s="13"/>
      <c r="E991" s="14"/>
      <c r="I991" s="15"/>
      <c r="J991" s="16"/>
      <c r="K991" s="16"/>
      <c r="L991" s="16"/>
      <c r="M991" s="16"/>
      <c r="N991" s="13"/>
      <c r="S991" s="15"/>
      <c r="T991" s="17"/>
      <c r="U991" s="17"/>
      <c r="V991" s="17"/>
      <c r="W991" s="17"/>
      <c r="X991" s="13"/>
      <c r="AC991" s="15"/>
      <c r="AD991" s="16"/>
      <c r="AE991" s="16"/>
      <c r="AF991" s="16"/>
      <c r="AG991" s="16"/>
      <c r="AH991" s="13"/>
      <c r="AL991" s="18"/>
    </row>
    <row r="992" ht="15.75" customHeight="1">
      <c r="C992" s="12"/>
      <c r="D992" s="13"/>
      <c r="E992" s="14"/>
      <c r="I992" s="15"/>
      <c r="J992" s="16"/>
      <c r="K992" s="16"/>
      <c r="L992" s="16"/>
      <c r="M992" s="16"/>
      <c r="N992" s="13"/>
      <c r="S992" s="15"/>
      <c r="T992" s="17"/>
      <c r="U992" s="17"/>
      <c r="V992" s="17"/>
      <c r="W992" s="17"/>
      <c r="X992" s="13"/>
      <c r="AC992" s="15"/>
      <c r="AD992" s="16"/>
      <c r="AE992" s="16"/>
      <c r="AF992" s="16"/>
      <c r="AG992" s="16"/>
      <c r="AH992" s="13"/>
      <c r="AL992" s="18"/>
    </row>
    <row r="993" ht="15.75" customHeight="1">
      <c r="C993" s="12"/>
      <c r="D993" s="13"/>
      <c r="E993" s="14"/>
      <c r="I993" s="15"/>
      <c r="J993" s="16"/>
      <c r="K993" s="16"/>
      <c r="L993" s="16"/>
      <c r="M993" s="16"/>
      <c r="N993" s="13"/>
      <c r="S993" s="15"/>
      <c r="T993" s="17"/>
      <c r="U993" s="17"/>
      <c r="V993" s="17"/>
      <c r="W993" s="17"/>
      <c r="X993" s="13"/>
      <c r="AC993" s="15"/>
      <c r="AD993" s="16"/>
      <c r="AE993" s="16"/>
      <c r="AF993" s="16"/>
      <c r="AG993" s="16"/>
      <c r="AH993" s="13"/>
      <c r="AL993" s="18"/>
    </row>
    <row r="994" ht="15.75" customHeight="1">
      <c r="C994" s="12"/>
      <c r="D994" s="13"/>
      <c r="E994" s="14"/>
      <c r="I994" s="15"/>
      <c r="J994" s="16"/>
      <c r="K994" s="16"/>
      <c r="L994" s="16"/>
      <c r="M994" s="16"/>
      <c r="N994" s="13"/>
      <c r="S994" s="15"/>
      <c r="T994" s="17"/>
      <c r="U994" s="17"/>
      <c r="V994" s="17"/>
      <c r="W994" s="17"/>
      <c r="X994" s="13"/>
      <c r="AC994" s="15"/>
      <c r="AD994" s="16"/>
      <c r="AE994" s="16"/>
      <c r="AF994" s="16"/>
      <c r="AG994" s="16"/>
      <c r="AH994" s="13"/>
      <c r="AL994" s="18"/>
    </row>
    <row r="995" ht="15.75" customHeight="1">
      <c r="C995" s="12"/>
      <c r="D995" s="13"/>
      <c r="E995" s="14"/>
      <c r="I995" s="15"/>
      <c r="J995" s="16"/>
      <c r="K995" s="16"/>
      <c r="L995" s="16"/>
      <c r="M995" s="16"/>
      <c r="N995" s="13"/>
      <c r="S995" s="15"/>
      <c r="T995" s="17"/>
      <c r="U995" s="17"/>
      <c r="V995" s="17"/>
      <c r="W995" s="17"/>
      <c r="X995" s="13"/>
      <c r="AC995" s="15"/>
      <c r="AD995" s="16"/>
      <c r="AE995" s="16"/>
      <c r="AF995" s="16"/>
      <c r="AG995" s="16"/>
      <c r="AH995" s="13"/>
      <c r="AL995" s="18"/>
    </row>
    <row r="996" ht="15.75" customHeight="1">
      <c r="C996" s="12"/>
      <c r="D996" s="13"/>
      <c r="E996" s="14"/>
      <c r="I996" s="15"/>
      <c r="J996" s="16"/>
      <c r="K996" s="16"/>
      <c r="L996" s="16"/>
      <c r="M996" s="16"/>
      <c r="N996" s="13"/>
      <c r="S996" s="15"/>
      <c r="T996" s="17"/>
      <c r="U996" s="17"/>
      <c r="V996" s="17"/>
      <c r="W996" s="17"/>
      <c r="X996" s="13"/>
      <c r="AC996" s="15"/>
      <c r="AD996" s="16"/>
      <c r="AE996" s="16"/>
      <c r="AF996" s="16"/>
      <c r="AG996" s="16"/>
      <c r="AH996" s="13"/>
      <c r="AL996" s="18"/>
    </row>
    <row r="997" ht="15.75" customHeight="1">
      <c r="C997" s="12"/>
      <c r="D997" s="13"/>
      <c r="E997" s="14"/>
      <c r="I997" s="15"/>
      <c r="J997" s="16"/>
      <c r="K997" s="16"/>
      <c r="L997" s="16"/>
      <c r="M997" s="16"/>
      <c r="N997" s="13"/>
      <c r="S997" s="15"/>
      <c r="T997" s="17"/>
      <c r="U997" s="17"/>
      <c r="V997" s="17"/>
      <c r="W997" s="17"/>
      <c r="X997" s="13"/>
      <c r="AC997" s="15"/>
      <c r="AD997" s="16"/>
      <c r="AE997" s="16"/>
      <c r="AF997" s="16"/>
      <c r="AG997" s="16"/>
      <c r="AH997" s="13"/>
      <c r="AL997" s="18"/>
    </row>
    <row r="998" ht="15.75" customHeight="1">
      <c r="C998" s="12"/>
      <c r="D998" s="13"/>
      <c r="E998" s="14"/>
      <c r="I998" s="15"/>
      <c r="J998" s="16"/>
      <c r="K998" s="16"/>
      <c r="L998" s="16"/>
      <c r="M998" s="16"/>
      <c r="N998" s="13"/>
      <c r="S998" s="15"/>
      <c r="T998" s="17"/>
      <c r="U998" s="17"/>
      <c r="V998" s="17"/>
      <c r="W998" s="17"/>
      <c r="X998" s="13"/>
      <c r="AC998" s="15"/>
      <c r="AD998" s="16"/>
      <c r="AE998" s="16"/>
      <c r="AF998" s="16"/>
      <c r="AG998" s="16"/>
      <c r="AH998" s="13"/>
      <c r="AL998" s="18"/>
    </row>
  </sheetData>
  <autoFilter ref="$D$1:$D$99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891</v>
      </c>
      <c r="B1" s="19" t="s">
        <v>892</v>
      </c>
      <c r="C1" s="19" t="s">
        <v>893</v>
      </c>
      <c r="D1" s="19" t="s">
        <v>894</v>
      </c>
      <c r="E1" s="19" t="s">
        <v>895</v>
      </c>
      <c r="F1" s="19" t="s">
        <v>896</v>
      </c>
      <c r="G1" s="19" t="s">
        <v>897</v>
      </c>
      <c r="H1" s="19" t="s">
        <v>898</v>
      </c>
      <c r="I1" s="19" t="s">
        <v>899</v>
      </c>
      <c r="J1" s="19" t="s">
        <v>900</v>
      </c>
      <c r="K1" s="19" t="s">
        <v>901</v>
      </c>
      <c r="L1" s="19" t="s">
        <v>902</v>
      </c>
      <c r="M1" s="19" t="s">
        <v>903</v>
      </c>
      <c r="N1" s="19" t="s">
        <v>904</v>
      </c>
      <c r="O1" s="19" t="s">
        <v>905</v>
      </c>
      <c r="P1" s="19" t="s">
        <v>906</v>
      </c>
      <c r="Q1" s="19" t="s">
        <v>907</v>
      </c>
      <c r="R1" s="19" t="s">
        <v>908</v>
      </c>
      <c r="S1" s="20" t="s">
        <v>909</v>
      </c>
      <c r="T1" s="20" t="s">
        <v>910</v>
      </c>
      <c r="U1" s="20" t="s">
        <v>911</v>
      </c>
      <c r="V1" s="19" t="s">
        <v>10</v>
      </c>
      <c r="W1" s="19" t="s">
        <v>11</v>
      </c>
      <c r="X1" s="19" t="s">
        <v>12</v>
      </c>
      <c r="Y1" s="19" t="s">
        <v>20</v>
      </c>
      <c r="Z1" s="19" t="s">
        <v>912</v>
      </c>
      <c r="AA1" s="19" t="s">
        <v>913</v>
      </c>
      <c r="AB1" s="19" t="s">
        <v>30</v>
      </c>
      <c r="AC1" s="19" t="s">
        <v>914</v>
      </c>
      <c r="AD1" s="19" t="s">
        <v>915</v>
      </c>
      <c r="AE1" s="19"/>
      <c r="AF1" s="19"/>
      <c r="AG1" s="19"/>
    </row>
    <row r="2">
      <c r="A2" s="11">
        <f>ROUND(AVERAGE(Estimates_of_Use_of_Water2!D2:D463), 2)
</f>
        <v>4.8</v>
      </c>
      <c r="B2" s="11">
        <f>MIN(Estimates_of_Use_of_Water2!D2:D463)
</f>
        <v>1</v>
      </c>
      <c r="C2" s="21">
        <f>MAX(Estimates_of_Use_of_Water2!D2:D463)</f>
        <v>5</v>
      </c>
      <c r="D2" s="11">
        <f>AVERAGE(Estimates_of_Use_of_Water2!N2:N463)
</f>
        <v>0.188662731</v>
      </c>
      <c r="E2" s="22">
        <f>AVERAGE(Estimates_of_Use_of_Water2!X2:X463)
</f>
        <v>0.09807312577</v>
      </c>
      <c r="F2" s="11">
        <f>AVERAGE(Estimates_of_Use_of_Water2!AH2:AH463)
</f>
        <v>0.1213118438</v>
      </c>
      <c r="G2" s="11">
        <f>MIN(Estimates_of_Use_of_Water2!N2:N463)
</f>
        <v>-19.79331763</v>
      </c>
      <c r="H2" s="11">
        <f>MIN(Estimates_of_Use_of_Water2!X2:X463)
</f>
        <v>-19.84882316</v>
      </c>
      <c r="I2" s="11">
        <f>MIN(Estimates_of_Use_of_Water2!AH2:AH463)
</f>
        <v>-1.620086812</v>
      </c>
      <c r="J2" s="11">
        <f>MAX(Estimates_of_Use_of_Water2!N2:N463)</f>
        <v>2.750326488</v>
      </c>
      <c r="K2" s="11">
        <f>MAX(Estimates_of_Use_of_Water2!X2:X463)</f>
        <v>2.667882638</v>
      </c>
      <c r="L2" s="11">
        <f>MAX(Estimates_of_Use_of_Water2!AH2:AH463)</f>
        <v>2.668211856</v>
      </c>
      <c r="M2" s="11">
        <f>COUNTBLANK(Estimates_of_Use_of_Water2!N2:N463)</f>
        <v>231</v>
      </c>
      <c r="N2" s="22">
        <f>COUNTBLANK(Estimates_of_Use_of_Water2!X2:X463)</f>
        <v>231</v>
      </c>
      <c r="O2" s="22">
        <f>COUNTBLANK(Estimates_of_Use_of_Water2!AH2:AH463)</f>
        <v>231</v>
      </c>
      <c r="P2" s="11">
        <f>COUNTIFS(Estimates_of_Use_of_Water2!G2:G463, 100, Estimates_of_Use_of_Water2!N2:N463, 0)
</f>
        <v>11</v>
      </c>
      <c r="Q2" s="22">
        <f>COUNTIFS(Estimates_of_Use_of_Water2!G2:G463, 100, Estimates_of_Use_of_Water2!X2:X463, 0)
</f>
        <v>13</v>
      </c>
      <c r="R2" s="11">
        <f>COUNTIFS(Estimates_of_Use_of_Water2!G2:G463, 100, Estimates_of_Use_of_Water2!AH2:AH463, 0)
</f>
        <v>11</v>
      </c>
      <c r="S2" s="23">
        <f>COUNTIF(Estimates_of_Use_of_Water2!J2:J463, "full access")
</f>
        <v>62</v>
      </c>
      <c r="T2" s="23">
        <f>COUNTIF(Estimates_of_Use_of_Water2!T2:T463, "full access")
</f>
        <v>29</v>
      </c>
      <c r="U2" s="23">
        <f>COUNTIF(Estimates_of_Use_of_Water2!AD2:AD463, "full access")
</f>
        <v>55</v>
      </c>
      <c r="V2" s="11">
        <f>COUNTIF(Estimates_of_Use_of_Water2!K2:K463, "ARC=0")
</f>
        <v>3</v>
      </c>
      <c r="W2" s="11">
        <f>COUNTIF(Estimates_of_Use_of_Water2!L2:L463, "ARC&lt;0")
</f>
        <v>0</v>
      </c>
      <c r="X2" s="11">
        <f>COUNTIF(Estimates_of_Use_of_Water2!M2:M463, "ARC&gt;0")
</f>
        <v>397</v>
      </c>
      <c r="Y2" s="11">
        <f>COUNTIF(Estimates_of_Use_of_Water2!U2:U463, "ARC=0")
</f>
        <v>125</v>
      </c>
      <c r="Z2" s="11">
        <f>COUNTIF(Estimates_of_Use_of_Water2!V2:V463, "ARC&lt;0")
</f>
        <v>0</v>
      </c>
      <c r="AA2" s="11">
        <f>COUNTIF(Estimates_of_Use_of_Water2!W2:W463, "ARC&gt;0")
</f>
        <v>337</v>
      </c>
      <c r="AB2" s="11">
        <f>COUNTIF(Estimates_of_Use_of_Water2!AE2:AE463, "ARC=0")
</f>
        <v>100</v>
      </c>
      <c r="AC2" s="11">
        <f>COUNTIF(Estimates_of_Use_of_Water2!AF2:AF463, "ARC&lt;0")
</f>
        <v>0</v>
      </c>
      <c r="AD2" s="11">
        <f>COUNTIF(Estimates_of_Use_of_Water2!AG2:AG463, "ARC&gt;0")
</f>
        <v>362</v>
      </c>
      <c r="AE2" s="11" t="str">
        <f>AVERAGEIF(Estimates_of_Use_of_Water2!C2:C463, "RegionName", N2:N463)</f>
        <v>#DIV/0!</v>
      </c>
      <c r="AF2" s="11" t="str">
        <f>AVERAGEIF(C2:C463, "RegionName", X2:X463)</f>
        <v>#DIV/0!</v>
      </c>
      <c r="AG2" s="11" t="str">
        <f>AVERAGEIF(C2:C463, "RegionName", AH2:AH463)</f>
        <v>#DIV/0!</v>
      </c>
    </row>
    <row r="3">
      <c r="S3" s="23"/>
      <c r="T3" s="23"/>
      <c r="U3" s="23"/>
    </row>
    <row r="4">
      <c r="S4" s="23"/>
      <c r="T4" s="23"/>
      <c r="U4" s="23"/>
    </row>
    <row r="5">
      <c r="S5" s="23"/>
      <c r="T5" s="23"/>
      <c r="U5" s="23"/>
    </row>
    <row r="6">
      <c r="S6" s="23"/>
      <c r="T6" s="23"/>
      <c r="U6" s="23"/>
    </row>
    <row r="7">
      <c r="S7" s="23"/>
      <c r="T7" s="23"/>
      <c r="U7" s="23"/>
    </row>
    <row r="8">
      <c r="S8" s="23"/>
      <c r="T8" s="23"/>
      <c r="U8" s="23"/>
    </row>
    <row r="9">
      <c r="S9" s="23"/>
      <c r="T9" s="23"/>
      <c r="U9" s="23"/>
    </row>
    <row r="10">
      <c r="S10" s="23"/>
      <c r="T10" s="23"/>
      <c r="U10" s="23"/>
    </row>
    <row r="11">
      <c r="S11" s="23"/>
      <c r="T11" s="23"/>
      <c r="U11" s="23"/>
    </row>
    <row r="12">
      <c r="S12" s="23"/>
      <c r="T12" s="23"/>
      <c r="U12" s="23"/>
    </row>
    <row r="13">
      <c r="S13" s="23"/>
      <c r="T13" s="23"/>
      <c r="U13" s="23"/>
    </row>
    <row r="14">
      <c r="S14" s="23"/>
      <c r="T14" s="23"/>
      <c r="U14" s="23"/>
    </row>
    <row r="15">
      <c r="S15" s="23"/>
      <c r="T15" s="23"/>
      <c r="U15" s="23"/>
    </row>
    <row r="16">
      <c r="S16" s="23"/>
      <c r="T16" s="23"/>
      <c r="U16" s="23"/>
    </row>
    <row r="17">
      <c r="S17" s="23"/>
      <c r="T17" s="23"/>
      <c r="U17" s="23"/>
    </row>
    <row r="18">
      <c r="S18" s="23"/>
      <c r="T18" s="23"/>
      <c r="U18" s="23"/>
    </row>
    <row r="19">
      <c r="S19" s="23"/>
      <c r="T19" s="23"/>
      <c r="U19" s="23"/>
    </row>
    <row r="20">
      <c r="S20" s="23"/>
      <c r="T20" s="23"/>
      <c r="U20" s="23"/>
    </row>
    <row r="21">
      <c r="S21" s="23"/>
      <c r="T21" s="23"/>
      <c r="U21" s="23"/>
    </row>
    <row r="22">
      <c r="S22" s="23"/>
      <c r="T22" s="23"/>
      <c r="U22" s="23"/>
    </row>
    <row r="23">
      <c r="S23" s="23"/>
      <c r="T23" s="23"/>
      <c r="U23" s="23"/>
    </row>
    <row r="24">
      <c r="S24" s="23"/>
      <c r="T24" s="23"/>
      <c r="U24" s="23"/>
    </row>
    <row r="25">
      <c r="S25" s="23"/>
      <c r="T25" s="23"/>
      <c r="U25" s="23"/>
    </row>
    <row r="26">
      <c r="S26" s="23"/>
      <c r="T26" s="23"/>
      <c r="U26" s="23"/>
    </row>
    <row r="27">
      <c r="S27" s="23"/>
      <c r="T27" s="23"/>
      <c r="U27" s="23"/>
    </row>
    <row r="28">
      <c r="S28" s="23"/>
      <c r="T28" s="23"/>
      <c r="U28" s="23"/>
    </row>
    <row r="29">
      <c r="S29" s="23"/>
      <c r="T29" s="23"/>
      <c r="U29" s="23"/>
    </row>
    <row r="30">
      <c r="S30" s="23"/>
      <c r="T30" s="23"/>
      <c r="U30" s="23"/>
    </row>
    <row r="31">
      <c r="S31" s="23"/>
      <c r="T31" s="23"/>
      <c r="U31" s="23"/>
    </row>
    <row r="32">
      <c r="S32" s="23"/>
      <c r="T32" s="23"/>
      <c r="U32" s="23"/>
    </row>
    <row r="33">
      <c r="S33" s="23"/>
      <c r="T33" s="23"/>
      <c r="U33" s="23"/>
    </row>
    <row r="34">
      <c r="S34" s="23"/>
      <c r="T34" s="23"/>
      <c r="U34" s="23"/>
    </row>
    <row r="35">
      <c r="S35" s="23"/>
      <c r="T35" s="23"/>
      <c r="U35" s="23"/>
    </row>
    <row r="36">
      <c r="S36" s="23"/>
      <c r="T36" s="23"/>
      <c r="U36" s="23"/>
    </row>
    <row r="37">
      <c r="S37" s="23"/>
      <c r="T37" s="23"/>
      <c r="U37" s="23"/>
    </row>
    <row r="38">
      <c r="S38" s="23"/>
      <c r="T38" s="23"/>
      <c r="U38" s="23"/>
    </row>
    <row r="39">
      <c r="S39" s="23"/>
      <c r="T39" s="23"/>
      <c r="U39" s="23"/>
    </row>
    <row r="40">
      <c r="S40" s="23"/>
      <c r="T40" s="23"/>
      <c r="U40" s="23"/>
    </row>
    <row r="41">
      <c r="S41" s="23"/>
      <c r="T41" s="23"/>
      <c r="U41" s="23"/>
    </row>
    <row r="42">
      <c r="S42" s="23"/>
      <c r="T42" s="23"/>
      <c r="U42" s="23"/>
    </row>
    <row r="43">
      <c r="S43" s="23"/>
      <c r="T43" s="23"/>
      <c r="U43" s="23"/>
    </row>
    <row r="44">
      <c r="S44" s="23"/>
      <c r="T44" s="23"/>
      <c r="U44" s="23"/>
    </row>
    <row r="45">
      <c r="S45" s="23"/>
      <c r="T45" s="23"/>
      <c r="U45" s="23"/>
    </row>
    <row r="46">
      <c r="S46" s="23"/>
      <c r="T46" s="23"/>
      <c r="U46" s="23"/>
    </row>
    <row r="47">
      <c r="S47" s="23"/>
      <c r="T47" s="23"/>
      <c r="U47" s="23"/>
    </row>
    <row r="48">
      <c r="S48" s="23"/>
      <c r="T48" s="23"/>
      <c r="U48" s="23"/>
    </row>
    <row r="49">
      <c r="S49" s="23"/>
      <c r="T49" s="23"/>
      <c r="U49" s="23"/>
    </row>
    <row r="50">
      <c r="S50" s="23"/>
      <c r="T50" s="23"/>
      <c r="U50" s="23"/>
    </row>
    <row r="51">
      <c r="S51" s="23"/>
      <c r="T51" s="23"/>
      <c r="U51" s="23"/>
    </row>
    <row r="52">
      <c r="S52" s="23"/>
      <c r="T52" s="23"/>
      <c r="U52" s="23"/>
    </row>
    <row r="53">
      <c r="S53" s="23"/>
      <c r="T53" s="23"/>
      <c r="U53" s="23"/>
    </row>
    <row r="54">
      <c r="S54" s="23"/>
      <c r="T54" s="23"/>
      <c r="U54" s="23"/>
    </row>
    <row r="55">
      <c r="S55" s="23"/>
      <c r="T55" s="23"/>
      <c r="U55" s="23"/>
    </row>
    <row r="56">
      <c r="S56" s="23"/>
      <c r="T56" s="23"/>
      <c r="U56" s="23"/>
    </row>
    <row r="57">
      <c r="S57" s="23"/>
      <c r="T57" s="23"/>
      <c r="U57" s="23"/>
    </row>
    <row r="58">
      <c r="S58" s="23"/>
      <c r="T58" s="23"/>
      <c r="U58" s="23"/>
    </row>
    <row r="59">
      <c r="S59" s="23"/>
      <c r="T59" s="23"/>
      <c r="U59" s="23"/>
    </row>
    <row r="60">
      <c r="S60" s="23"/>
      <c r="T60" s="23"/>
      <c r="U60" s="23"/>
    </row>
    <row r="61">
      <c r="S61" s="23"/>
      <c r="T61" s="23"/>
      <c r="U61" s="23"/>
    </row>
    <row r="62">
      <c r="S62" s="23"/>
      <c r="T62" s="23"/>
      <c r="U62" s="23"/>
    </row>
    <row r="63">
      <c r="S63" s="23"/>
      <c r="T63" s="23"/>
      <c r="U63" s="23"/>
    </row>
    <row r="64">
      <c r="S64" s="23"/>
      <c r="T64" s="23"/>
      <c r="U64" s="23"/>
    </row>
    <row r="65">
      <c r="S65" s="23"/>
      <c r="T65" s="23"/>
      <c r="U65" s="23"/>
    </row>
    <row r="66">
      <c r="S66" s="23"/>
      <c r="T66" s="23"/>
      <c r="U66" s="23"/>
    </row>
    <row r="67">
      <c r="S67" s="23"/>
      <c r="T67" s="23"/>
      <c r="U67" s="23"/>
    </row>
    <row r="68">
      <c r="S68" s="23"/>
      <c r="T68" s="23"/>
      <c r="U68" s="23"/>
    </row>
    <row r="69">
      <c r="S69" s="23"/>
      <c r="T69" s="23"/>
      <c r="U69" s="23"/>
    </row>
    <row r="70">
      <c r="S70" s="23"/>
      <c r="T70" s="23"/>
      <c r="U70" s="23"/>
    </row>
    <row r="71">
      <c r="S71" s="23"/>
      <c r="T71" s="23"/>
      <c r="U71" s="23"/>
    </row>
    <row r="72">
      <c r="S72" s="23"/>
      <c r="T72" s="23"/>
      <c r="U72" s="23"/>
    </row>
    <row r="73">
      <c r="S73" s="23"/>
      <c r="T73" s="23"/>
      <c r="U73" s="23"/>
    </row>
    <row r="74">
      <c r="S74" s="23"/>
      <c r="T74" s="23"/>
      <c r="U74" s="23"/>
    </row>
    <row r="75">
      <c r="S75" s="23"/>
      <c r="T75" s="23"/>
      <c r="U75" s="23"/>
    </row>
    <row r="76">
      <c r="S76" s="23"/>
      <c r="T76" s="23"/>
      <c r="U76" s="23"/>
    </row>
    <row r="77">
      <c r="S77" s="23"/>
      <c r="T77" s="23"/>
      <c r="U77" s="23"/>
    </row>
    <row r="78">
      <c r="S78" s="23"/>
      <c r="T78" s="23"/>
      <c r="U78" s="23"/>
    </row>
    <row r="79">
      <c r="S79" s="23"/>
      <c r="T79" s="23"/>
      <c r="U79" s="23"/>
    </row>
    <row r="80">
      <c r="S80" s="23"/>
      <c r="T80" s="23"/>
      <c r="U80" s="23"/>
    </row>
    <row r="81">
      <c r="S81" s="23"/>
      <c r="T81" s="23"/>
      <c r="U81" s="23"/>
    </row>
    <row r="82">
      <c r="S82" s="23"/>
      <c r="T82" s="23"/>
      <c r="U82" s="23"/>
    </row>
    <row r="83">
      <c r="S83" s="23"/>
      <c r="T83" s="23"/>
      <c r="U83" s="23"/>
    </row>
    <row r="84">
      <c r="S84" s="23"/>
      <c r="T84" s="23"/>
      <c r="U84" s="23"/>
    </row>
    <row r="85">
      <c r="S85" s="23"/>
      <c r="T85" s="23"/>
      <c r="U85" s="23"/>
    </row>
    <row r="86">
      <c r="S86" s="23"/>
      <c r="T86" s="23"/>
      <c r="U86" s="23"/>
    </row>
    <row r="87">
      <c r="S87" s="23"/>
      <c r="T87" s="23"/>
      <c r="U87" s="23"/>
    </row>
    <row r="88">
      <c r="S88" s="23"/>
      <c r="T88" s="23"/>
      <c r="U88" s="23"/>
    </row>
    <row r="89">
      <c r="S89" s="23"/>
      <c r="T89" s="23"/>
      <c r="U89" s="23"/>
    </row>
    <row r="90">
      <c r="S90" s="23"/>
      <c r="T90" s="23"/>
      <c r="U90" s="23"/>
    </row>
    <row r="91">
      <c r="S91" s="23"/>
      <c r="T91" s="23"/>
      <c r="U91" s="23"/>
    </row>
    <row r="92">
      <c r="S92" s="23"/>
      <c r="T92" s="23"/>
      <c r="U92" s="23"/>
    </row>
    <row r="93">
      <c r="S93" s="23"/>
      <c r="T93" s="23"/>
      <c r="U93" s="23"/>
    </row>
    <row r="94">
      <c r="S94" s="23"/>
      <c r="T94" s="23"/>
      <c r="U94" s="23"/>
    </row>
    <row r="95">
      <c r="S95" s="23"/>
      <c r="T95" s="23"/>
      <c r="U95" s="23"/>
    </row>
    <row r="96">
      <c r="S96" s="23"/>
      <c r="T96" s="23"/>
      <c r="U96" s="23"/>
    </row>
    <row r="97">
      <c r="S97" s="23"/>
      <c r="T97" s="23"/>
      <c r="U97" s="23"/>
    </row>
    <row r="98">
      <c r="S98" s="23"/>
      <c r="T98" s="23"/>
      <c r="U98" s="23"/>
    </row>
    <row r="99">
      <c r="S99" s="23"/>
      <c r="T99" s="23"/>
      <c r="U99" s="23"/>
    </row>
    <row r="100">
      <c r="S100" s="23"/>
      <c r="T100" s="23"/>
      <c r="U100" s="23"/>
    </row>
    <row r="101">
      <c r="S101" s="23"/>
      <c r="T101" s="23"/>
      <c r="U101" s="23"/>
    </row>
    <row r="102">
      <c r="S102" s="23"/>
      <c r="T102" s="23"/>
      <c r="U102" s="23"/>
    </row>
    <row r="103">
      <c r="S103" s="23"/>
      <c r="T103" s="23"/>
      <c r="U103" s="23"/>
    </row>
    <row r="104">
      <c r="S104" s="23"/>
      <c r="T104" s="23"/>
      <c r="U104" s="23"/>
    </row>
    <row r="105">
      <c r="S105" s="23"/>
      <c r="T105" s="23"/>
      <c r="U105" s="23"/>
    </row>
    <row r="106">
      <c r="S106" s="23"/>
      <c r="T106" s="23"/>
      <c r="U106" s="23"/>
    </row>
    <row r="107">
      <c r="S107" s="23"/>
      <c r="T107" s="23"/>
      <c r="U107" s="23"/>
    </row>
    <row r="108">
      <c r="S108" s="23"/>
      <c r="T108" s="23"/>
      <c r="U108" s="23"/>
    </row>
    <row r="109">
      <c r="S109" s="23"/>
      <c r="T109" s="23"/>
      <c r="U109" s="23"/>
    </row>
    <row r="110">
      <c r="S110" s="23"/>
      <c r="T110" s="23"/>
      <c r="U110" s="23"/>
    </row>
    <row r="111">
      <c r="S111" s="23"/>
      <c r="T111" s="23"/>
      <c r="U111" s="23"/>
    </row>
    <row r="112">
      <c r="S112" s="23"/>
      <c r="T112" s="23"/>
      <c r="U112" s="23"/>
    </row>
    <row r="113">
      <c r="S113" s="23"/>
      <c r="T113" s="23"/>
      <c r="U113" s="23"/>
    </row>
    <row r="114">
      <c r="S114" s="23"/>
      <c r="T114" s="23"/>
      <c r="U114" s="23"/>
    </row>
    <row r="115">
      <c r="S115" s="23"/>
      <c r="T115" s="23"/>
      <c r="U115" s="23"/>
    </row>
    <row r="116">
      <c r="S116" s="23"/>
      <c r="T116" s="23"/>
      <c r="U116" s="23"/>
    </row>
    <row r="117">
      <c r="S117" s="23"/>
      <c r="T117" s="23"/>
      <c r="U117" s="23"/>
    </row>
    <row r="118">
      <c r="S118" s="23"/>
      <c r="T118" s="23"/>
      <c r="U118" s="23"/>
    </row>
    <row r="119">
      <c r="S119" s="23"/>
      <c r="T119" s="23"/>
      <c r="U119" s="23"/>
    </row>
    <row r="120">
      <c r="S120" s="23"/>
      <c r="T120" s="23"/>
      <c r="U120" s="23"/>
    </row>
    <row r="121">
      <c r="S121" s="23"/>
      <c r="T121" s="23"/>
      <c r="U121" s="23"/>
    </row>
    <row r="122">
      <c r="S122" s="23"/>
      <c r="T122" s="23"/>
      <c r="U122" s="23"/>
    </row>
    <row r="123">
      <c r="S123" s="23"/>
      <c r="T123" s="23"/>
      <c r="U123" s="23"/>
    </row>
    <row r="124">
      <c r="S124" s="23"/>
      <c r="T124" s="23"/>
      <c r="U124" s="23"/>
    </row>
    <row r="125">
      <c r="S125" s="23"/>
      <c r="T125" s="23"/>
      <c r="U125" s="23"/>
    </row>
    <row r="126">
      <c r="S126" s="23"/>
      <c r="T126" s="23"/>
      <c r="U126" s="23"/>
    </row>
    <row r="127">
      <c r="S127" s="23"/>
      <c r="T127" s="23"/>
      <c r="U127" s="23"/>
    </row>
    <row r="128">
      <c r="S128" s="23"/>
      <c r="T128" s="23"/>
      <c r="U128" s="23"/>
    </row>
    <row r="129">
      <c r="S129" s="23"/>
      <c r="T129" s="23"/>
      <c r="U129" s="23"/>
    </row>
    <row r="130">
      <c r="S130" s="23"/>
      <c r="T130" s="23"/>
      <c r="U130" s="23"/>
    </row>
    <row r="131">
      <c r="S131" s="23"/>
      <c r="T131" s="23"/>
      <c r="U131" s="23"/>
    </row>
    <row r="132">
      <c r="S132" s="23"/>
      <c r="T132" s="23"/>
      <c r="U132" s="23"/>
    </row>
    <row r="133">
      <c r="S133" s="23"/>
      <c r="T133" s="23"/>
      <c r="U133" s="23"/>
    </row>
    <row r="134">
      <c r="S134" s="23"/>
      <c r="T134" s="23"/>
      <c r="U134" s="23"/>
    </row>
    <row r="135">
      <c r="S135" s="23"/>
      <c r="T135" s="23"/>
      <c r="U135" s="23"/>
    </row>
    <row r="136">
      <c r="S136" s="23"/>
      <c r="T136" s="23"/>
      <c r="U136" s="23"/>
    </row>
    <row r="137">
      <c r="S137" s="23"/>
      <c r="T137" s="23"/>
      <c r="U137" s="23"/>
    </row>
    <row r="138">
      <c r="S138" s="23"/>
      <c r="T138" s="23"/>
      <c r="U138" s="23"/>
    </row>
    <row r="139">
      <c r="S139" s="23"/>
      <c r="T139" s="23"/>
      <c r="U139" s="23"/>
    </row>
    <row r="140">
      <c r="S140" s="23"/>
      <c r="T140" s="23"/>
      <c r="U140" s="23"/>
    </row>
    <row r="141">
      <c r="S141" s="23"/>
      <c r="T141" s="23"/>
      <c r="U141" s="23"/>
    </row>
    <row r="142">
      <c r="S142" s="23"/>
      <c r="T142" s="23"/>
      <c r="U142" s="23"/>
    </row>
    <row r="143">
      <c r="S143" s="23"/>
      <c r="T143" s="23"/>
      <c r="U143" s="23"/>
    </row>
    <row r="144">
      <c r="S144" s="23"/>
      <c r="T144" s="23"/>
      <c r="U144" s="23"/>
    </row>
    <row r="145">
      <c r="S145" s="23"/>
      <c r="T145" s="23"/>
      <c r="U145" s="23"/>
    </row>
    <row r="146">
      <c r="S146" s="23"/>
      <c r="T146" s="23"/>
      <c r="U146" s="23"/>
    </row>
    <row r="147">
      <c r="S147" s="23"/>
      <c r="T147" s="23"/>
      <c r="U147" s="23"/>
    </row>
    <row r="148">
      <c r="S148" s="23"/>
      <c r="T148" s="23"/>
      <c r="U148" s="23"/>
    </row>
    <row r="149">
      <c r="S149" s="23"/>
      <c r="T149" s="23"/>
      <c r="U149" s="23"/>
    </row>
    <row r="150">
      <c r="S150" s="23"/>
      <c r="T150" s="23"/>
      <c r="U150" s="23"/>
    </row>
    <row r="151">
      <c r="S151" s="23"/>
      <c r="T151" s="23"/>
      <c r="U151" s="23"/>
    </row>
    <row r="152">
      <c r="S152" s="23"/>
      <c r="T152" s="23"/>
      <c r="U152" s="23"/>
    </row>
    <row r="153">
      <c r="S153" s="23"/>
      <c r="T153" s="23"/>
      <c r="U153" s="23"/>
    </row>
    <row r="154">
      <c r="S154" s="23"/>
      <c r="T154" s="23"/>
      <c r="U154" s="23"/>
    </row>
    <row r="155">
      <c r="S155" s="23"/>
      <c r="T155" s="23"/>
      <c r="U155" s="23"/>
    </row>
    <row r="156">
      <c r="S156" s="23"/>
      <c r="T156" s="23"/>
      <c r="U156" s="23"/>
    </row>
    <row r="157">
      <c r="S157" s="23"/>
      <c r="T157" s="23"/>
      <c r="U157" s="23"/>
    </row>
    <row r="158">
      <c r="S158" s="23"/>
      <c r="T158" s="23"/>
      <c r="U158" s="23"/>
    </row>
    <row r="159">
      <c r="S159" s="23"/>
      <c r="T159" s="23"/>
      <c r="U159" s="23"/>
    </row>
    <row r="160">
      <c r="S160" s="23"/>
      <c r="T160" s="23"/>
      <c r="U160" s="23"/>
    </row>
    <row r="161">
      <c r="S161" s="23"/>
      <c r="T161" s="23"/>
      <c r="U161" s="23"/>
    </row>
    <row r="162">
      <c r="S162" s="23"/>
      <c r="T162" s="23"/>
      <c r="U162" s="23"/>
    </row>
    <row r="163">
      <c r="S163" s="23"/>
      <c r="T163" s="23"/>
      <c r="U163" s="23"/>
    </row>
    <row r="164">
      <c r="S164" s="23"/>
      <c r="T164" s="23"/>
      <c r="U164" s="23"/>
    </row>
    <row r="165">
      <c r="S165" s="23"/>
      <c r="T165" s="23"/>
      <c r="U165" s="23"/>
    </row>
    <row r="166">
      <c r="S166" s="23"/>
      <c r="T166" s="23"/>
      <c r="U166" s="23"/>
    </row>
    <row r="167">
      <c r="S167" s="23"/>
      <c r="T167" s="23"/>
      <c r="U167" s="23"/>
    </row>
    <row r="168">
      <c r="S168" s="23"/>
      <c r="T168" s="23"/>
      <c r="U168" s="23"/>
    </row>
    <row r="169">
      <c r="S169" s="23"/>
      <c r="T169" s="23"/>
      <c r="U169" s="23"/>
    </row>
    <row r="170">
      <c r="S170" s="23"/>
      <c r="T170" s="23"/>
      <c r="U170" s="23"/>
    </row>
    <row r="171">
      <c r="S171" s="23"/>
      <c r="T171" s="23"/>
      <c r="U171" s="23"/>
    </row>
    <row r="172">
      <c r="S172" s="23"/>
      <c r="T172" s="23"/>
      <c r="U172" s="23"/>
    </row>
    <row r="173">
      <c r="S173" s="23"/>
      <c r="T173" s="23"/>
      <c r="U173" s="23"/>
    </row>
    <row r="174">
      <c r="S174" s="23"/>
      <c r="T174" s="23"/>
      <c r="U174" s="23"/>
    </row>
    <row r="175">
      <c r="S175" s="23"/>
      <c r="T175" s="23"/>
      <c r="U175" s="23"/>
    </row>
    <row r="176">
      <c r="S176" s="23"/>
      <c r="T176" s="23"/>
      <c r="U176" s="23"/>
    </row>
    <row r="177">
      <c r="S177" s="23"/>
      <c r="T177" s="23"/>
      <c r="U177" s="23"/>
    </row>
    <row r="178">
      <c r="S178" s="23"/>
      <c r="T178" s="23"/>
      <c r="U178" s="23"/>
    </row>
    <row r="179">
      <c r="S179" s="23"/>
      <c r="T179" s="23"/>
      <c r="U179" s="23"/>
    </row>
    <row r="180">
      <c r="S180" s="23"/>
      <c r="T180" s="23"/>
      <c r="U180" s="23"/>
    </row>
    <row r="181">
      <c r="S181" s="23"/>
      <c r="T181" s="23"/>
      <c r="U181" s="23"/>
    </row>
    <row r="182">
      <c r="S182" s="23"/>
      <c r="T182" s="23"/>
      <c r="U182" s="23"/>
    </row>
    <row r="183">
      <c r="S183" s="23"/>
      <c r="T183" s="23"/>
      <c r="U183" s="23"/>
    </row>
    <row r="184">
      <c r="S184" s="23"/>
      <c r="T184" s="23"/>
      <c r="U184" s="23"/>
    </row>
    <row r="185">
      <c r="S185" s="23"/>
      <c r="T185" s="23"/>
      <c r="U185" s="23"/>
    </row>
    <row r="186">
      <c r="S186" s="23"/>
      <c r="T186" s="23"/>
      <c r="U186" s="23"/>
    </row>
    <row r="187">
      <c r="S187" s="23"/>
      <c r="T187" s="23"/>
      <c r="U187" s="23"/>
    </row>
    <row r="188">
      <c r="S188" s="23"/>
      <c r="T188" s="23"/>
      <c r="U188" s="23"/>
    </row>
    <row r="189">
      <c r="S189" s="23"/>
      <c r="T189" s="23"/>
      <c r="U189" s="23"/>
    </row>
    <row r="190">
      <c r="S190" s="23"/>
      <c r="T190" s="23"/>
      <c r="U190" s="23"/>
    </row>
    <row r="191">
      <c r="S191" s="23"/>
      <c r="T191" s="23"/>
      <c r="U191" s="23"/>
    </row>
    <row r="192">
      <c r="S192" s="23"/>
      <c r="T192" s="23"/>
      <c r="U192" s="23"/>
    </row>
    <row r="193">
      <c r="S193" s="23"/>
      <c r="T193" s="23"/>
      <c r="U193" s="23"/>
    </row>
    <row r="194">
      <c r="S194" s="23"/>
      <c r="T194" s="23"/>
      <c r="U194" s="23"/>
    </row>
    <row r="195">
      <c r="S195" s="23"/>
      <c r="T195" s="23"/>
      <c r="U195" s="23"/>
    </row>
    <row r="196">
      <c r="S196" s="23"/>
      <c r="T196" s="23"/>
      <c r="U196" s="23"/>
    </row>
    <row r="197">
      <c r="S197" s="23"/>
      <c r="T197" s="23"/>
      <c r="U197" s="23"/>
    </row>
    <row r="198">
      <c r="S198" s="23"/>
      <c r="T198" s="23"/>
      <c r="U198" s="23"/>
    </row>
    <row r="199">
      <c r="S199" s="23"/>
      <c r="T199" s="23"/>
      <c r="U199" s="23"/>
    </row>
    <row r="200">
      <c r="S200" s="23"/>
      <c r="T200" s="23"/>
      <c r="U200" s="23"/>
    </row>
    <row r="201">
      <c r="S201" s="23"/>
      <c r="T201" s="23"/>
      <c r="U201" s="23"/>
    </row>
    <row r="202">
      <c r="S202" s="23"/>
      <c r="T202" s="23"/>
      <c r="U202" s="23"/>
    </row>
    <row r="203">
      <c r="S203" s="23"/>
      <c r="T203" s="23"/>
      <c r="U203" s="23"/>
    </row>
    <row r="204">
      <c r="S204" s="23"/>
      <c r="T204" s="23"/>
      <c r="U204" s="23"/>
    </row>
    <row r="205">
      <c r="S205" s="23"/>
      <c r="T205" s="23"/>
      <c r="U205" s="23"/>
    </row>
    <row r="206">
      <c r="S206" s="23"/>
      <c r="T206" s="23"/>
      <c r="U206" s="23"/>
    </row>
    <row r="207">
      <c r="S207" s="23"/>
      <c r="T207" s="23"/>
      <c r="U207" s="23"/>
    </row>
    <row r="208">
      <c r="S208" s="23"/>
      <c r="T208" s="23"/>
      <c r="U208" s="23"/>
    </row>
    <row r="209">
      <c r="S209" s="23"/>
      <c r="T209" s="23"/>
      <c r="U209" s="23"/>
    </row>
    <row r="210">
      <c r="S210" s="23"/>
      <c r="T210" s="23"/>
      <c r="U210" s="23"/>
    </row>
    <row r="211">
      <c r="S211" s="23"/>
      <c r="T211" s="23"/>
      <c r="U211" s="23"/>
    </row>
    <row r="212">
      <c r="S212" s="23"/>
      <c r="T212" s="23"/>
      <c r="U212" s="23"/>
    </row>
    <row r="213">
      <c r="S213" s="23"/>
      <c r="T213" s="23"/>
      <c r="U213" s="23"/>
    </row>
    <row r="214">
      <c r="S214" s="23"/>
      <c r="T214" s="23"/>
      <c r="U214" s="23"/>
    </row>
    <row r="215">
      <c r="S215" s="23"/>
      <c r="T215" s="23"/>
      <c r="U215" s="23"/>
    </row>
    <row r="216">
      <c r="S216" s="23"/>
      <c r="T216" s="23"/>
      <c r="U216" s="23"/>
    </row>
    <row r="217">
      <c r="S217" s="23"/>
      <c r="T217" s="23"/>
      <c r="U217" s="23"/>
    </row>
    <row r="218">
      <c r="S218" s="23"/>
      <c r="T218" s="23"/>
      <c r="U218" s="23"/>
    </row>
    <row r="219">
      <c r="S219" s="23"/>
      <c r="T219" s="23"/>
      <c r="U219" s="23"/>
    </row>
    <row r="220">
      <c r="S220" s="23"/>
      <c r="T220" s="23"/>
      <c r="U220" s="23"/>
    </row>
    <row r="221">
      <c r="S221" s="23"/>
      <c r="T221" s="23"/>
      <c r="U221" s="23"/>
    </row>
    <row r="222">
      <c r="S222" s="23"/>
      <c r="T222" s="23"/>
      <c r="U222" s="23"/>
    </row>
    <row r="223">
      <c r="S223" s="23"/>
      <c r="T223" s="23"/>
      <c r="U223" s="23"/>
    </row>
    <row r="224">
      <c r="S224" s="23"/>
      <c r="T224" s="23"/>
      <c r="U224" s="23"/>
    </row>
    <row r="225">
      <c r="S225" s="23"/>
      <c r="T225" s="23"/>
      <c r="U225" s="23"/>
    </row>
    <row r="226">
      <c r="S226" s="23"/>
      <c r="T226" s="23"/>
      <c r="U226" s="23"/>
    </row>
    <row r="227">
      <c r="S227" s="23"/>
      <c r="T227" s="23"/>
      <c r="U227" s="23"/>
    </row>
    <row r="228">
      <c r="S228" s="23"/>
      <c r="T228" s="23"/>
      <c r="U228" s="23"/>
    </row>
    <row r="229">
      <c r="S229" s="23"/>
      <c r="T229" s="23"/>
      <c r="U229" s="23"/>
    </row>
    <row r="230">
      <c r="S230" s="23"/>
      <c r="T230" s="23"/>
      <c r="U230" s="23"/>
    </row>
    <row r="231">
      <c r="S231" s="23"/>
      <c r="T231" s="23"/>
      <c r="U231" s="23"/>
    </row>
    <row r="232">
      <c r="S232" s="23"/>
      <c r="T232" s="23"/>
      <c r="U232" s="23"/>
    </row>
    <row r="233">
      <c r="S233" s="23"/>
      <c r="T233" s="23"/>
      <c r="U233" s="23"/>
    </row>
    <row r="234">
      <c r="S234" s="23"/>
      <c r="T234" s="23"/>
      <c r="U234" s="23"/>
    </row>
    <row r="235">
      <c r="S235" s="23"/>
      <c r="T235" s="23"/>
      <c r="U235" s="23"/>
    </row>
    <row r="236">
      <c r="S236" s="23"/>
      <c r="T236" s="23"/>
      <c r="U236" s="23"/>
    </row>
    <row r="237">
      <c r="S237" s="23"/>
      <c r="T237" s="23"/>
      <c r="U237" s="23"/>
    </row>
    <row r="238">
      <c r="S238" s="23"/>
      <c r="T238" s="23"/>
      <c r="U238" s="23"/>
    </row>
    <row r="239">
      <c r="S239" s="23"/>
      <c r="T239" s="23"/>
      <c r="U239" s="23"/>
    </row>
    <row r="240">
      <c r="S240" s="23"/>
      <c r="T240" s="23"/>
      <c r="U240" s="23"/>
    </row>
    <row r="241">
      <c r="S241" s="23"/>
      <c r="T241" s="23"/>
      <c r="U241" s="23"/>
    </row>
    <row r="242">
      <c r="S242" s="23"/>
      <c r="T242" s="23"/>
      <c r="U242" s="23"/>
    </row>
    <row r="243">
      <c r="S243" s="23"/>
      <c r="T243" s="23"/>
      <c r="U243" s="23"/>
    </row>
    <row r="244">
      <c r="S244" s="23"/>
      <c r="T244" s="23"/>
      <c r="U244" s="23"/>
    </row>
    <row r="245">
      <c r="S245" s="23"/>
      <c r="T245" s="23"/>
      <c r="U245" s="23"/>
    </row>
    <row r="246">
      <c r="S246" s="23"/>
      <c r="T246" s="23"/>
      <c r="U246" s="23"/>
    </row>
    <row r="247">
      <c r="S247" s="23"/>
      <c r="T247" s="23"/>
      <c r="U247" s="23"/>
    </row>
    <row r="248">
      <c r="S248" s="23"/>
      <c r="T248" s="23"/>
      <c r="U248" s="23"/>
    </row>
    <row r="249">
      <c r="S249" s="23"/>
      <c r="T249" s="23"/>
      <c r="U249" s="23"/>
    </row>
    <row r="250">
      <c r="S250" s="23"/>
      <c r="T250" s="23"/>
      <c r="U250" s="23"/>
    </row>
    <row r="251">
      <c r="S251" s="23"/>
      <c r="T251" s="23"/>
      <c r="U251" s="23"/>
    </row>
    <row r="252">
      <c r="S252" s="23"/>
      <c r="T252" s="23"/>
      <c r="U252" s="23"/>
    </row>
    <row r="253">
      <c r="S253" s="23"/>
      <c r="T253" s="23"/>
      <c r="U253" s="23"/>
    </row>
    <row r="254">
      <c r="S254" s="23"/>
      <c r="T254" s="23"/>
      <c r="U254" s="23"/>
    </row>
    <row r="255">
      <c r="S255" s="23"/>
      <c r="T255" s="23"/>
      <c r="U255" s="23"/>
    </row>
    <row r="256">
      <c r="S256" s="23"/>
      <c r="T256" s="23"/>
      <c r="U256" s="23"/>
    </row>
    <row r="257">
      <c r="S257" s="23"/>
      <c r="T257" s="23"/>
      <c r="U257" s="23"/>
    </row>
    <row r="258">
      <c r="S258" s="23"/>
      <c r="T258" s="23"/>
      <c r="U258" s="23"/>
    </row>
    <row r="259">
      <c r="S259" s="23"/>
      <c r="T259" s="23"/>
      <c r="U259" s="23"/>
    </row>
    <row r="260">
      <c r="S260" s="23"/>
      <c r="T260" s="23"/>
      <c r="U260" s="23"/>
    </row>
    <row r="261">
      <c r="S261" s="23"/>
      <c r="T261" s="23"/>
      <c r="U261" s="23"/>
    </row>
    <row r="262">
      <c r="S262" s="23"/>
      <c r="T262" s="23"/>
      <c r="U262" s="23"/>
    </row>
    <row r="263">
      <c r="S263" s="23"/>
      <c r="T263" s="23"/>
      <c r="U263" s="23"/>
    </row>
    <row r="264">
      <c r="S264" s="23"/>
      <c r="T264" s="23"/>
      <c r="U264" s="23"/>
    </row>
    <row r="265">
      <c r="S265" s="23"/>
      <c r="T265" s="23"/>
      <c r="U265" s="23"/>
    </row>
    <row r="266">
      <c r="S266" s="23"/>
      <c r="T266" s="23"/>
      <c r="U266" s="23"/>
    </row>
    <row r="267">
      <c r="S267" s="23"/>
      <c r="T267" s="23"/>
      <c r="U267" s="23"/>
    </row>
    <row r="268">
      <c r="S268" s="23"/>
      <c r="T268" s="23"/>
      <c r="U268" s="23"/>
    </row>
    <row r="269">
      <c r="S269" s="23"/>
      <c r="T269" s="23"/>
      <c r="U269" s="23"/>
    </row>
    <row r="270">
      <c r="S270" s="23"/>
      <c r="T270" s="23"/>
      <c r="U270" s="23"/>
    </row>
    <row r="271">
      <c r="S271" s="23"/>
      <c r="T271" s="23"/>
      <c r="U271" s="23"/>
    </row>
    <row r="272">
      <c r="S272" s="23"/>
      <c r="T272" s="23"/>
      <c r="U272" s="23"/>
    </row>
    <row r="273">
      <c r="S273" s="23"/>
      <c r="T273" s="23"/>
      <c r="U273" s="23"/>
    </row>
    <row r="274">
      <c r="S274" s="23"/>
      <c r="T274" s="23"/>
      <c r="U274" s="23"/>
    </row>
    <row r="275">
      <c r="S275" s="23"/>
      <c r="T275" s="23"/>
      <c r="U275" s="23"/>
    </row>
    <row r="276">
      <c r="S276" s="23"/>
      <c r="T276" s="23"/>
      <c r="U276" s="23"/>
    </row>
    <row r="277">
      <c r="S277" s="23"/>
      <c r="T277" s="23"/>
      <c r="U277" s="23"/>
    </row>
    <row r="278">
      <c r="S278" s="23"/>
      <c r="T278" s="23"/>
      <c r="U278" s="23"/>
    </row>
    <row r="279">
      <c r="S279" s="23"/>
      <c r="T279" s="23"/>
      <c r="U279" s="23"/>
    </row>
    <row r="280">
      <c r="S280" s="23"/>
      <c r="T280" s="23"/>
      <c r="U280" s="23"/>
    </row>
    <row r="281">
      <c r="S281" s="23"/>
      <c r="T281" s="23"/>
      <c r="U281" s="23"/>
    </row>
    <row r="282">
      <c r="S282" s="23"/>
      <c r="T282" s="23"/>
      <c r="U282" s="23"/>
    </row>
    <row r="283">
      <c r="S283" s="23"/>
      <c r="T283" s="23"/>
      <c r="U283" s="23"/>
    </row>
    <row r="284">
      <c r="S284" s="23"/>
      <c r="T284" s="23"/>
      <c r="U284" s="23"/>
    </row>
    <row r="285">
      <c r="S285" s="23"/>
      <c r="T285" s="23"/>
      <c r="U285" s="23"/>
    </row>
    <row r="286">
      <c r="S286" s="23"/>
      <c r="T286" s="23"/>
      <c r="U286" s="23"/>
    </row>
    <row r="287">
      <c r="S287" s="23"/>
      <c r="T287" s="23"/>
      <c r="U287" s="23"/>
    </row>
    <row r="288">
      <c r="S288" s="23"/>
      <c r="T288" s="23"/>
      <c r="U288" s="23"/>
    </row>
    <row r="289">
      <c r="S289" s="23"/>
      <c r="T289" s="23"/>
      <c r="U289" s="23"/>
    </row>
    <row r="290">
      <c r="S290" s="23"/>
      <c r="T290" s="23"/>
      <c r="U290" s="23"/>
    </row>
    <row r="291">
      <c r="S291" s="23"/>
      <c r="T291" s="23"/>
      <c r="U291" s="23"/>
    </row>
    <row r="292">
      <c r="S292" s="23"/>
      <c r="T292" s="23"/>
      <c r="U292" s="23"/>
    </row>
    <row r="293">
      <c r="S293" s="23"/>
      <c r="T293" s="23"/>
      <c r="U293" s="23"/>
    </row>
    <row r="294">
      <c r="S294" s="23"/>
      <c r="T294" s="23"/>
      <c r="U294" s="23"/>
    </row>
    <row r="295">
      <c r="S295" s="23"/>
      <c r="T295" s="23"/>
      <c r="U295" s="23"/>
    </row>
    <row r="296">
      <c r="S296" s="23"/>
      <c r="T296" s="23"/>
      <c r="U296" s="23"/>
    </row>
    <row r="297">
      <c r="S297" s="23"/>
      <c r="T297" s="23"/>
      <c r="U297" s="23"/>
    </row>
    <row r="298">
      <c r="S298" s="23"/>
      <c r="T298" s="23"/>
      <c r="U298" s="23"/>
    </row>
    <row r="299">
      <c r="S299" s="23"/>
      <c r="T299" s="23"/>
      <c r="U299" s="23"/>
    </row>
    <row r="300">
      <c r="S300" s="23"/>
      <c r="T300" s="23"/>
      <c r="U300" s="23"/>
    </row>
    <row r="301">
      <c r="S301" s="23"/>
      <c r="T301" s="23"/>
      <c r="U301" s="23"/>
    </row>
    <row r="302">
      <c r="S302" s="23"/>
      <c r="T302" s="23"/>
      <c r="U302" s="23"/>
    </row>
    <row r="303">
      <c r="S303" s="23"/>
      <c r="T303" s="23"/>
      <c r="U303" s="23"/>
    </row>
    <row r="304">
      <c r="S304" s="23"/>
      <c r="T304" s="23"/>
      <c r="U304" s="23"/>
    </row>
    <row r="305">
      <c r="S305" s="23"/>
      <c r="T305" s="23"/>
      <c r="U305" s="23"/>
    </row>
    <row r="306">
      <c r="S306" s="23"/>
      <c r="T306" s="23"/>
      <c r="U306" s="23"/>
    </row>
    <row r="307">
      <c r="S307" s="23"/>
      <c r="T307" s="23"/>
      <c r="U307" s="23"/>
    </row>
    <row r="308">
      <c r="S308" s="23"/>
      <c r="T308" s="23"/>
      <c r="U308" s="23"/>
    </row>
    <row r="309">
      <c r="S309" s="23"/>
      <c r="T309" s="23"/>
      <c r="U309" s="23"/>
    </row>
    <row r="310">
      <c r="S310" s="23"/>
      <c r="T310" s="23"/>
      <c r="U310" s="23"/>
    </row>
    <row r="311">
      <c r="S311" s="23"/>
      <c r="T311" s="23"/>
      <c r="U311" s="23"/>
    </row>
    <row r="312">
      <c r="S312" s="23"/>
      <c r="T312" s="23"/>
      <c r="U312" s="23"/>
    </row>
    <row r="313">
      <c r="S313" s="23"/>
      <c r="T313" s="23"/>
      <c r="U313" s="23"/>
    </row>
    <row r="314">
      <c r="S314" s="23"/>
      <c r="T314" s="23"/>
      <c r="U314" s="23"/>
    </row>
    <row r="315">
      <c r="S315" s="23"/>
      <c r="T315" s="23"/>
      <c r="U315" s="23"/>
    </row>
    <row r="316">
      <c r="S316" s="23"/>
      <c r="T316" s="23"/>
      <c r="U316" s="23"/>
    </row>
    <row r="317">
      <c r="S317" s="23"/>
      <c r="T317" s="23"/>
      <c r="U317" s="23"/>
    </row>
    <row r="318">
      <c r="S318" s="23"/>
      <c r="T318" s="23"/>
      <c r="U318" s="23"/>
    </row>
    <row r="319">
      <c r="S319" s="23"/>
      <c r="T319" s="23"/>
      <c r="U319" s="23"/>
    </row>
    <row r="320">
      <c r="S320" s="23"/>
      <c r="T320" s="23"/>
      <c r="U320" s="23"/>
    </row>
    <row r="321">
      <c r="S321" s="23"/>
      <c r="T321" s="23"/>
      <c r="U321" s="23"/>
    </row>
    <row r="322">
      <c r="S322" s="23"/>
      <c r="T322" s="23"/>
      <c r="U322" s="23"/>
    </row>
    <row r="323">
      <c r="S323" s="23"/>
      <c r="T323" s="23"/>
      <c r="U323" s="23"/>
    </row>
    <row r="324">
      <c r="S324" s="23"/>
      <c r="T324" s="23"/>
      <c r="U324" s="23"/>
    </row>
    <row r="325">
      <c r="S325" s="23"/>
      <c r="T325" s="23"/>
      <c r="U325" s="23"/>
    </row>
    <row r="326">
      <c r="S326" s="23"/>
      <c r="T326" s="23"/>
      <c r="U326" s="23"/>
    </row>
    <row r="327">
      <c r="S327" s="23"/>
      <c r="T327" s="23"/>
      <c r="U327" s="23"/>
    </row>
    <row r="328">
      <c r="S328" s="23"/>
      <c r="T328" s="23"/>
      <c r="U328" s="23"/>
    </row>
    <row r="329">
      <c r="S329" s="23"/>
      <c r="T329" s="23"/>
      <c r="U329" s="23"/>
    </row>
    <row r="330">
      <c r="S330" s="23"/>
      <c r="T330" s="23"/>
      <c r="U330" s="23"/>
    </row>
    <row r="331">
      <c r="S331" s="23"/>
      <c r="T331" s="23"/>
      <c r="U331" s="23"/>
    </row>
    <row r="332">
      <c r="S332" s="23"/>
      <c r="T332" s="23"/>
      <c r="U332" s="23"/>
    </row>
    <row r="333">
      <c r="S333" s="23"/>
      <c r="T333" s="23"/>
      <c r="U333" s="23"/>
    </row>
    <row r="334">
      <c r="S334" s="23"/>
      <c r="T334" s="23"/>
      <c r="U334" s="23"/>
    </row>
    <row r="335">
      <c r="S335" s="23"/>
      <c r="T335" s="23"/>
      <c r="U335" s="23"/>
    </row>
    <row r="336">
      <c r="S336" s="23"/>
      <c r="T336" s="23"/>
      <c r="U336" s="23"/>
    </row>
    <row r="337">
      <c r="S337" s="23"/>
      <c r="T337" s="23"/>
      <c r="U337" s="23"/>
    </row>
    <row r="338">
      <c r="S338" s="23"/>
      <c r="T338" s="23"/>
      <c r="U338" s="23"/>
    </row>
    <row r="339">
      <c r="S339" s="23"/>
      <c r="T339" s="23"/>
      <c r="U339" s="23"/>
    </row>
    <row r="340">
      <c r="S340" s="23"/>
      <c r="T340" s="23"/>
      <c r="U340" s="23"/>
    </row>
    <row r="341">
      <c r="S341" s="23"/>
      <c r="T341" s="23"/>
      <c r="U341" s="23"/>
    </row>
    <row r="342">
      <c r="S342" s="23"/>
      <c r="T342" s="23"/>
      <c r="U342" s="23"/>
    </row>
    <row r="343">
      <c r="S343" s="23"/>
      <c r="T343" s="23"/>
      <c r="U343" s="23"/>
    </row>
    <row r="344">
      <c r="S344" s="23"/>
      <c r="T344" s="23"/>
      <c r="U344" s="23"/>
    </row>
    <row r="345">
      <c r="S345" s="23"/>
      <c r="T345" s="23"/>
      <c r="U345" s="23"/>
    </row>
    <row r="346">
      <c r="S346" s="23"/>
      <c r="T346" s="23"/>
      <c r="U346" s="23"/>
    </row>
    <row r="347">
      <c r="S347" s="23"/>
      <c r="T347" s="23"/>
      <c r="U347" s="23"/>
    </row>
    <row r="348">
      <c r="S348" s="23"/>
      <c r="T348" s="23"/>
      <c r="U348" s="23"/>
    </row>
    <row r="349">
      <c r="S349" s="23"/>
      <c r="T349" s="23"/>
      <c r="U349" s="23"/>
    </row>
    <row r="350">
      <c r="S350" s="23"/>
      <c r="T350" s="23"/>
      <c r="U350" s="23"/>
    </row>
    <row r="351">
      <c r="S351" s="23"/>
      <c r="T351" s="23"/>
      <c r="U351" s="23"/>
    </row>
    <row r="352">
      <c r="S352" s="23"/>
      <c r="T352" s="23"/>
      <c r="U352" s="23"/>
    </row>
    <row r="353">
      <c r="S353" s="23"/>
      <c r="T353" s="23"/>
      <c r="U353" s="23"/>
    </row>
    <row r="354">
      <c r="S354" s="23"/>
      <c r="T354" s="23"/>
      <c r="U354" s="23"/>
    </row>
    <row r="355">
      <c r="S355" s="23"/>
      <c r="T355" s="23"/>
      <c r="U355" s="23"/>
    </row>
    <row r="356">
      <c r="S356" s="23"/>
      <c r="T356" s="23"/>
      <c r="U356" s="23"/>
    </row>
    <row r="357">
      <c r="S357" s="23"/>
      <c r="T357" s="23"/>
      <c r="U357" s="23"/>
    </row>
    <row r="358">
      <c r="S358" s="23"/>
      <c r="T358" s="23"/>
      <c r="U358" s="23"/>
    </row>
    <row r="359">
      <c r="S359" s="23"/>
      <c r="T359" s="23"/>
      <c r="U359" s="23"/>
    </row>
    <row r="360">
      <c r="S360" s="23"/>
      <c r="T360" s="23"/>
      <c r="U360" s="23"/>
    </row>
    <row r="361">
      <c r="S361" s="23"/>
      <c r="T361" s="23"/>
      <c r="U361" s="23"/>
    </row>
    <row r="362">
      <c r="S362" s="23"/>
      <c r="T362" s="23"/>
      <c r="U362" s="23"/>
    </row>
    <row r="363">
      <c r="S363" s="23"/>
      <c r="T363" s="23"/>
      <c r="U363" s="23"/>
    </row>
    <row r="364">
      <c r="S364" s="23"/>
      <c r="T364" s="23"/>
      <c r="U364" s="23"/>
    </row>
    <row r="365">
      <c r="S365" s="23"/>
      <c r="T365" s="23"/>
      <c r="U365" s="23"/>
    </row>
    <row r="366">
      <c r="S366" s="23"/>
      <c r="T366" s="23"/>
      <c r="U366" s="23"/>
    </row>
    <row r="367">
      <c r="S367" s="23"/>
      <c r="T367" s="23"/>
      <c r="U367" s="23"/>
    </row>
    <row r="368">
      <c r="S368" s="23"/>
      <c r="T368" s="23"/>
      <c r="U368" s="23"/>
    </row>
    <row r="369">
      <c r="S369" s="23"/>
      <c r="T369" s="23"/>
      <c r="U369" s="23"/>
    </row>
    <row r="370">
      <c r="S370" s="23"/>
      <c r="T370" s="23"/>
      <c r="U370" s="23"/>
    </row>
    <row r="371">
      <c r="S371" s="23"/>
      <c r="T371" s="23"/>
      <c r="U371" s="23"/>
    </row>
    <row r="372">
      <c r="S372" s="23"/>
      <c r="T372" s="23"/>
      <c r="U372" s="23"/>
    </row>
    <row r="373">
      <c r="S373" s="23"/>
      <c r="T373" s="23"/>
      <c r="U373" s="23"/>
    </row>
    <row r="374">
      <c r="S374" s="23"/>
      <c r="T374" s="23"/>
      <c r="U374" s="23"/>
    </row>
    <row r="375">
      <c r="S375" s="23"/>
      <c r="T375" s="23"/>
      <c r="U375" s="23"/>
    </row>
    <row r="376">
      <c r="S376" s="23"/>
      <c r="T376" s="23"/>
      <c r="U376" s="23"/>
    </row>
    <row r="377">
      <c r="S377" s="23"/>
      <c r="T377" s="23"/>
      <c r="U377" s="23"/>
    </row>
    <row r="378">
      <c r="S378" s="23"/>
      <c r="T378" s="23"/>
      <c r="U378" s="23"/>
    </row>
    <row r="379">
      <c r="S379" s="23"/>
      <c r="T379" s="23"/>
      <c r="U379" s="23"/>
    </row>
    <row r="380">
      <c r="S380" s="23"/>
      <c r="T380" s="23"/>
      <c r="U380" s="23"/>
    </row>
    <row r="381">
      <c r="S381" s="23"/>
      <c r="T381" s="23"/>
      <c r="U381" s="23"/>
    </row>
    <row r="382">
      <c r="S382" s="23"/>
      <c r="T382" s="23"/>
      <c r="U382" s="23"/>
    </row>
    <row r="383">
      <c r="S383" s="23"/>
      <c r="T383" s="23"/>
      <c r="U383" s="23"/>
    </row>
    <row r="384">
      <c r="S384" s="23"/>
      <c r="T384" s="23"/>
      <c r="U384" s="23"/>
    </row>
    <row r="385">
      <c r="S385" s="23"/>
      <c r="T385" s="23"/>
      <c r="U385" s="23"/>
    </row>
    <row r="386">
      <c r="S386" s="23"/>
      <c r="T386" s="23"/>
      <c r="U386" s="23"/>
    </row>
    <row r="387">
      <c r="S387" s="23"/>
      <c r="T387" s="23"/>
      <c r="U387" s="23"/>
    </row>
    <row r="388">
      <c r="S388" s="23"/>
      <c r="T388" s="23"/>
      <c r="U388" s="23"/>
    </row>
    <row r="389">
      <c r="S389" s="23"/>
      <c r="T389" s="23"/>
      <c r="U389" s="23"/>
    </row>
    <row r="390">
      <c r="S390" s="23"/>
      <c r="T390" s="23"/>
      <c r="U390" s="23"/>
    </row>
    <row r="391">
      <c r="S391" s="23"/>
      <c r="T391" s="23"/>
      <c r="U391" s="23"/>
    </row>
    <row r="392">
      <c r="S392" s="23"/>
      <c r="T392" s="23"/>
      <c r="U392" s="23"/>
    </row>
    <row r="393">
      <c r="S393" s="23"/>
      <c r="T393" s="23"/>
      <c r="U393" s="23"/>
    </row>
    <row r="394">
      <c r="S394" s="23"/>
      <c r="T394" s="23"/>
      <c r="U394" s="23"/>
    </row>
    <row r="395">
      <c r="S395" s="23"/>
      <c r="T395" s="23"/>
      <c r="U395" s="23"/>
    </row>
    <row r="396">
      <c r="S396" s="23"/>
      <c r="T396" s="23"/>
      <c r="U396" s="23"/>
    </row>
    <row r="397">
      <c r="S397" s="23"/>
      <c r="T397" s="23"/>
      <c r="U397" s="23"/>
    </row>
    <row r="398">
      <c r="S398" s="23"/>
      <c r="T398" s="23"/>
      <c r="U398" s="23"/>
    </row>
    <row r="399">
      <c r="S399" s="23"/>
      <c r="T399" s="23"/>
      <c r="U399" s="23"/>
    </row>
    <row r="400">
      <c r="S400" s="23"/>
      <c r="T400" s="23"/>
      <c r="U400" s="23"/>
    </row>
    <row r="401">
      <c r="S401" s="23"/>
      <c r="T401" s="23"/>
      <c r="U401" s="23"/>
    </row>
    <row r="402">
      <c r="S402" s="23"/>
      <c r="T402" s="23"/>
      <c r="U402" s="23"/>
    </row>
    <row r="403">
      <c r="S403" s="23"/>
      <c r="T403" s="23"/>
      <c r="U403" s="23"/>
    </row>
    <row r="404">
      <c r="S404" s="23"/>
      <c r="T404" s="23"/>
      <c r="U404" s="23"/>
    </row>
    <row r="405">
      <c r="S405" s="23"/>
      <c r="T405" s="23"/>
      <c r="U405" s="23"/>
    </row>
    <row r="406">
      <c r="S406" s="23"/>
      <c r="T406" s="23"/>
      <c r="U406" s="23"/>
    </row>
    <row r="407">
      <c r="S407" s="23"/>
      <c r="T407" s="23"/>
      <c r="U407" s="23"/>
    </row>
    <row r="408">
      <c r="S408" s="23"/>
      <c r="T408" s="23"/>
      <c r="U408" s="23"/>
    </row>
    <row r="409">
      <c r="S409" s="23"/>
      <c r="T409" s="23"/>
      <c r="U409" s="23"/>
    </row>
    <row r="410">
      <c r="S410" s="23"/>
      <c r="T410" s="23"/>
      <c r="U410" s="23"/>
    </row>
    <row r="411">
      <c r="S411" s="23"/>
      <c r="T411" s="23"/>
      <c r="U411" s="23"/>
    </row>
    <row r="412">
      <c r="S412" s="23"/>
      <c r="T412" s="23"/>
      <c r="U412" s="23"/>
    </row>
    <row r="413">
      <c r="S413" s="23"/>
      <c r="T413" s="23"/>
      <c r="U413" s="23"/>
    </row>
    <row r="414">
      <c r="S414" s="23"/>
      <c r="T414" s="23"/>
      <c r="U414" s="23"/>
    </row>
    <row r="415">
      <c r="S415" s="23"/>
      <c r="T415" s="23"/>
      <c r="U415" s="23"/>
    </row>
    <row r="416">
      <c r="S416" s="23"/>
      <c r="T416" s="23"/>
      <c r="U416" s="23"/>
    </row>
    <row r="417">
      <c r="S417" s="23"/>
      <c r="T417" s="23"/>
      <c r="U417" s="23"/>
    </row>
    <row r="418">
      <c r="S418" s="23"/>
      <c r="T418" s="23"/>
      <c r="U418" s="23"/>
    </row>
    <row r="419">
      <c r="S419" s="23"/>
      <c r="T419" s="23"/>
      <c r="U419" s="23"/>
    </row>
    <row r="420">
      <c r="S420" s="23"/>
      <c r="T420" s="23"/>
      <c r="U420" s="23"/>
    </row>
    <row r="421">
      <c r="S421" s="23"/>
      <c r="T421" s="23"/>
      <c r="U421" s="23"/>
    </row>
    <row r="422">
      <c r="S422" s="23"/>
      <c r="T422" s="23"/>
      <c r="U422" s="23"/>
    </row>
    <row r="423">
      <c r="S423" s="23"/>
      <c r="T423" s="23"/>
      <c r="U423" s="23"/>
    </row>
    <row r="424">
      <c r="S424" s="23"/>
      <c r="T424" s="23"/>
      <c r="U424" s="23"/>
    </row>
    <row r="425">
      <c r="S425" s="23"/>
      <c r="T425" s="23"/>
      <c r="U425" s="23"/>
    </row>
    <row r="426">
      <c r="S426" s="23"/>
      <c r="T426" s="23"/>
      <c r="U426" s="23"/>
    </row>
    <row r="427">
      <c r="S427" s="23"/>
      <c r="T427" s="23"/>
      <c r="U427" s="23"/>
    </row>
    <row r="428">
      <c r="S428" s="23"/>
      <c r="T428" s="23"/>
      <c r="U428" s="23"/>
    </row>
    <row r="429">
      <c r="S429" s="23"/>
      <c r="T429" s="23"/>
      <c r="U429" s="23"/>
    </row>
    <row r="430">
      <c r="S430" s="23"/>
      <c r="T430" s="23"/>
      <c r="U430" s="23"/>
    </row>
    <row r="431">
      <c r="S431" s="23"/>
      <c r="T431" s="23"/>
      <c r="U431" s="23"/>
    </row>
    <row r="432">
      <c r="S432" s="23"/>
      <c r="T432" s="23"/>
      <c r="U432" s="23"/>
    </row>
    <row r="433">
      <c r="S433" s="23"/>
      <c r="T433" s="23"/>
      <c r="U433" s="23"/>
    </row>
    <row r="434">
      <c r="S434" s="23"/>
      <c r="T434" s="23"/>
      <c r="U434" s="23"/>
    </row>
    <row r="435">
      <c r="S435" s="23"/>
      <c r="T435" s="23"/>
      <c r="U435" s="23"/>
    </row>
    <row r="436">
      <c r="S436" s="23"/>
      <c r="T436" s="23"/>
      <c r="U436" s="23"/>
    </row>
    <row r="437">
      <c r="S437" s="23"/>
      <c r="T437" s="23"/>
      <c r="U437" s="23"/>
    </row>
    <row r="438">
      <c r="S438" s="23"/>
      <c r="T438" s="23"/>
      <c r="U438" s="23"/>
    </row>
    <row r="439">
      <c r="S439" s="23"/>
      <c r="T439" s="23"/>
      <c r="U439" s="23"/>
    </row>
    <row r="440">
      <c r="S440" s="23"/>
      <c r="T440" s="23"/>
      <c r="U440" s="23"/>
    </row>
    <row r="441">
      <c r="S441" s="23"/>
      <c r="T441" s="23"/>
      <c r="U441" s="23"/>
    </row>
    <row r="442">
      <c r="S442" s="23"/>
      <c r="T442" s="23"/>
      <c r="U442" s="23"/>
    </row>
    <row r="443">
      <c r="S443" s="23"/>
      <c r="T443" s="23"/>
      <c r="U443" s="23"/>
    </row>
    <row r="444">
      <c r="S444" s="23"/>
      <c r="T444" s="23"/>
      <c r="U444" s="23"/>
    </row>
    <row r="445">
      <c r="S445" s="23"/>
      <c r="T445" s="23"/>
      <c r="U445" s="23"/>
    </row>
    <row r="446">
      <c r="S446" s="23"/>
      <c r="T446" s="23"/>
      <c r="U446" s="23"/>
    </row>
    <row r="447">
      <c r="S447" s="23"/>
      <c r="T447" s="23"/>
      <c r="U447" s="23"/>
    </row>
    <row r="448">
      <c r="S448" s="23"/>
      <c r="T448" s="23"/>
      <c r="U448" s="23"/>
    </row>
    <row r="449">
      <c r="S449" s="23"/>
      <c r="T449" s="23"/>
      <c r="U449" s="23"/>
    </row>
    <row r="450">
      <c r="S450" s="23"/>
      <c r="T450" s="23"/>
      <c r="U450" s="23"/>
    </row>
    <row r="451">
      <c r="S451" s="23"/>
      <c r="T451" s="23"/>
      <c r="U451" s="23"/>
    </row>
    <row r="452">
      <c r="S452" s="23"/>
      <c r="T452" s="23"/>
      <c r="U452" s="23"/>
    </row>
    <row r="453">
      <c r="S453" s="23"/>
      <c r="T453" s="23"/>
      <c r="U453" s="23"/>
    </row>
    <row r="454">
      <c r="S454" s="23"/>
      <c r="T454" s="23"/>
      <c r="U454" s="23"/>
    </row>
    <row r="455">
      <c r="S455" s="23"/>
      <c r="T455" s="23"/>
      <c r="U455" s="23"/>
    </row>
    <row r="456">
      <c r="S456" s="23"/>
      <c r="T456" s="23"/>
      <c r="U456" s="23"/>
    </row>
    <row r="457">
      <c r="S457" s="23"/>
      <c r="T457" s="23"/>
      <c r="U457" s="23"/>
    </row>
    <row r="458">
      <c r="S458" s="23"/>
      <c r="T458" s="23"/>
      <c r="U458" s="23"/>
    </row>
    <row r="459">
      <c r="S459" s="23"/>
      <c r="T459" s="23"/>
      <c r="U459" s="23"/>
    </row>
    <row r="460">
      <c r="S460" s="23"/>
      <c r="T460" s="23"/>
      <c r="U460" s="23"/>
    </row>
    <row r="461">
      <c r="S461" s="23"/>
      <c r="T461" s="23"/>
      <c r="U461" s="23"/>
    </row>
    <row r="462">
      <c r="S462" s="23"/>
      <c r="T462" s="23"/>
      <c r="U462" s="23"/>
    </row>
    <row r="463">
      <c r="S463" s="23"/>
      <c r="T463" s="23"/>
      <c r="U463" s="23"/>
    </row>
    <row r="464">
      <c r="S464" s="23"/>
      <c r="T464" s="23"/>
      <c r="U464" s="23"/>
    </row>
    <row r="465">
      <c r="S465" s="23"/>
      <c r="T465" s="23"/>
      <c r="U465" s="23"/>
    </row>
    <row r="466">
      <c r="S466" s="23"/>
      <c r="T466" s="23"/>
      <c r="U466" s="23"/>
    </row>
    <row r="467">
      <c r="S467" s="23"/>
      <c r="T467" s="23"/>
      <c r="U467" s="23"/>
    </row>
    <row r="468">
      <c r="S468" s="23"/>
      <c r="T468" s="23"/>
      <c r="U468" s="23"/>
    </row>
    <row r="469">
      <c r="S469" s="23"/>
      <c r="T469" s="23"/>
      <c r="U469" s="23"/>
    </row>
    <row r="470">
      <c r="S470" s="23"/>
      <c r="T470" s="23"/>
      <c r="U470" s="23"/>
    </row>
    <row r="471">
      <c r="S471" s="23"/>
      <c r="T471" s="23"/>
      <c r="U471" s="23"/>
    </row>
    <row r="472">
      <c r="S472" s="23"/>
      <c r="T472" s="23"/>
      <c r="U472" s="23"/>
    </row>
    <row r="473">
      <c r="S473" s="23"/>
      <c r="T473" s="23"/>
      <c r="U473" s="23"/>
    </row>
    <row r="474">
      <c r="S474" s="23"/>
      <c r="T474" s="23"/>
      <c r="U474" s="23"/>
    </row>
    <row r="475">
      <c r="S475" s="23"/>
      <c r="T475" s="23"/>
      <c r="U475" s="23"/>
    </row>
    <row r="476">
      <c r="S476" s="23"/>
      <c r="T476" s="23"/>
      <c r="U476" s="23"/>
    </row>
    <row r="477">
      <c r="S477" s="23"/>
      <c r="T477" s="23"/>
      <c r="U477" s="23"/>
    </row>
    <row r="478">
      <c r="S478" s="23"/>
      <c r="T478" s="23"/>
      <c r="U478" s="23"/>
    </row>
    <row r="479">
      <c r="S479" s="23"/>
      <c r="T479" s="23"/>
      <c r="U479" s="23"/>
    </row>
    <row r="480">
      <c r="S480" s="23"/>
      <c r="T480" s="23"/>
      <c r="U480" s="23"/>
    </row>
    <row r="481">
      <c r="S481" s="23"/>
      <c r="T481" s="23"/>
      <c r="U481" s="23"/>
    </row>
    <row r="482">
      <c r="S482" s="23"/>
      <c r="T482" s="23"/>
      <c r="U482" s="23"/>
    </row>
    <row r="483">
      <c r="S483" s="23"/>
      <c r="T483" s="23"/>
      <c r="U483" s="23"/>
    </row>
    <row r="484">
      <c r="S484" s="23"/>
      <c r="T484" s="23"/>
      <c r="U484" s="23"/>
    </row>
    <row r="485">
      <c r="S485" s="23"/>
      <c r="T485" s="23"/>
      <c r="U485" s="23"/>
    </row>
    <row r="486">
      <c r="S486" s="23"/>
      <c r="T486" s="23"/>
      <c r="U486" s="23"/>
    </row>
    <row r="487">
      <c r="S487" s="23"/>
      <c r="T487" s="23"/>
      <c r="U487" s="23"/>
    </row>
    <row r="488">
      <c r="S488" s="23"/>
      <c r="T488" s="23"/>
      <c r="U488" s="23"/>
    </row>
    <row r="489">
      <c r="S489" s="23"/>
      <c r="T489" s="23"/>
      <c r="U489" s="23"/>
    </row>
    <row r="490">
      <c r="S490" s="23"/>
      <c r="T490" s="23"/>
      <c r="U490" s="23"/>
    </row>
    <row r="491">
      <c r="S491" s="23"/>
      <c r="T491" s="23"/>
      <c r="U491" s="23"/>
    </row>
    <row r="492">
      <c r="S492" s="23"/>
      <c r="T492" s="23"/>
      <c r="U492" s="23"/>
    </row>
    <row r="493">
      <c r="S493" s="23"/>
      <c r="T493" s="23"/>
      <c r="U493" s="23"/>
    </row>
    <row r="494">
      <c r="S494" s="23"/>
      <c r="T494" s="23"/>
      <c r="U494" s="23"/>
    </row>
    <row r="495">
      <c r="S495" s="23"/>
      <c r="T495" s="23"/>
      <c r="U495" s="23"/>
    </row>
    <row r="496">
      <c r="S496" s="23"/>
      <c r="T496" s="23"/>
      <c r="U496" s="23"/>
    </row>
    <row r="497">
      <c r="S497" s="23"/>
      <c r="T497" s="23"/>
      <c r="U497" s="23"/>
    </row>
    <row r="498">
      <c r="S498" s="23"/>
      <c r="T498" s="23"/>
      <c r="U498" s="23"/>
    </row>
    <row r="499">
      <c r="S499" s="23"/>
      <c r="T499" s="23"/>
      <c r="U499" s="23"/>
    </row>
    <row r="500">
      <c r="S500" s="23"/>
      <c r="T500" s="23"/>
      <c r="U500" s="23"/>
    </row>
    <row r="501">
      <c r="S501" s="23"/>
      <c r="T501" s="23"/>
      <c r="U501" s="23"/>
    </row>
    <row r="502">
      <c r="S502" s="23"/>
      <c r="T502" s="23"/>
      <c r="U502" s="23"/>
    </row>
    <row r="503">
      <c r="S503" s="23"/>
      <c r="T503" s="23"/>
      <c r="U503" s="23"/>
    </row>
    <row r="504">
      <c r="S504" s="23"/>
      <c r="T504" s="23"/>
      <c r="U504" s="23"/>
    </row>
    <row r="505">
      <c r="S505" s="23"/>
      <c r="T505" s="23"/>
      <c r="U505" s="23"/>
    </row>
    <row r="506">
      <c r="S506" s="23"/>
      <c r="T506" s="23"/>
      <c r="U506" s="23"/>
    </row>
    <row r="507">
      <c r="S507" s="23"/>
      <c r="T507" s="23"/>
      <c r="U507" s="23"/>
    </row>
    <row r="508">
      <c r="S508" s="23"/>
      <c r="T508" s="23"/>
      <c r="U508" s="23"/>
    </row>
    <row r="509">
      <c r="S509" s="23"/>
      <c r="T509" s="23"/>
      <c r="U509" s="23"/>
    </row>
    <row r="510">
      <c r="S510" s="23"/>
      <c r="T510" s="23"/>
      <c r="U510" s="23"/>
    </row>
    <row r="511">
      <c r="S511" s="23"/>
      <c r="T511" s="23"/>
      <c r="U511" s="23"/>
    </row>
    <row r="512">
      <c r="S512" s="23"/>
      <c r="T512" s="23"/>
      <c r="U512" s="23"/>
    </row>
    <row r="513">
      <c r="S513" s="23"/>
      <c r="T513" s="23"/>
      <c r="U513" s="23"/>
    </row>
    <row r="514">
      <c r="S514" s="23"/>
      <c r="T514" s="23"/>
      <c r="U514" s="23"/>
    </row>
    <row r="515">
      <c r="S515" s="23"/>
      <c r="T515" s="23"/>
      <c r="U515" s="23"/>
    </row>
    <row r="516">
      <c r="S516" s="23"/>
      <c r="T516" s="23"/>
      <c r="U516" s="23"/>
    </row>
    <row r="517">
      <c r="S517" s="23"/>
      <c r="T517" s="23"/>
      <c r="U517" s="23"/>
    </row>
    <row r="518">
      <c r="S518" s="23"/>
      <c r="T518" s="23"/>
      <c r="U518" s="23"/>
    </row>
    <row r="519">
      <c r="S519" s="23"/>
      <c r="T519" s="23"/>
      <c r="U519" s="23"/>
    </row>
    <row r="520">
      <c r="S520" s="23"/>
      <c r="T520" s="23"/>
      <c r="U520" s="23"/>
    </row>
    <row r="521">
      <c r="S521" s="23"/>
      <c r="T521" s="23"/>
      <c r="U521" s="23"/>
    </row>
    <row r="522">
      <c r="S522" s="23"/>
      <c r="T522" s="23"/>
      <c r="U522" s="23"/>
    </row>
    <row r="523">
      <c r="S523" s="23"/>
      <c r="T523" s="23"/>
      <c r="U523" s="23"/>
    </row>
    <row r="524">
      <c r="S524" s="23"/>
      <c r="T524" s="23"/>
      <c r="U524" s="23"/>
    </row>
    <row r="525">
      <c r="S525" s="23"/>
      <c r="T525" s="23"/>
      <c r="U525" s="23"/>
    </row>
    <row r="526">
      <c r="S526" s="23"/>
      <c r="T526" s="23"/>
      <c r="U526" s="23"/>
    </row>
    <row r="527">
      <c r="S527" s="23"/>
      <c r="T527" s="23"/>
      <c r="U527" s="23"/>
    </row>
    <row r="528">
      <c r="S528" s="23"/>
      <c r="T528" s="23"/>
      <c r="U528" s="23"/>
    </row>
    <row r="529">
      <c r="S529" s="23"/>
      <c r="T529" s="23"/>
      <c r="U529" s="23"/>
    </row>
    <row r="530">
      <c r="S530" s="23"/>
      <c r="T530" s="23"/>
      <c r="U530" s="23"/>
    </row>
    <row r="531">
      <c r="S531" s="23"/>
      <c r="T531" s="23"/>
      <c r="U531" s="23"/>
    </row>
    <row r="532">
      <c r="S532" s="23"/>
      <c r="T532" s="23"/>
      <c r="U532" s="23"/>
    </row>
    <row r="533">
      <c r="S533" s="23"/>
      <c r="T533" s="23"/>
      <c r="U533" s="23"/>
    </row>
    <row r="534">
      <c r="S534" s="23"/>
      <c r="T534" s="23"/>
      <c r="U534" s="23"/>
    </row>
    <row r="535">
      <c r="S535" s="23"/>
      <c r="T535" s="23"/>
      <c r="U535" s="23"/>
    </row>
    <row r="536">
      <c r="S536" s="23"/>
      <c r="T536" s="23"/>
      <c r="U536" s="23"/>
    </row>
    <row r="537">
      <c r="S537" s="23"/>
      <c r="T537" s="23"/>
      <c r="U537" s="23"/>
    </row>
    <row r="538">
      <c r="S538" s="23"/>
      <c r="T538" s="23"/>
      <c r="U538" s="23"/>
    </row>
    <row r="539">
      <c r="S539" s="23"/>
      <c r="T539" s="23"/>
      <c r="U539" s="23"/>
    </row>
    <row r="540">
      <c r="S540" s="23"/>
      <c r="T540" s="23"/>
      <c r="U540" s="23"/>
    </row>
    <row r="541">
      <c r="S541" s="23"/>
      <c r="T541" s="23"/>
      <c r="U541" s="23"/>
    </row>
    <row r="542">
      <c r="S542" s="23"/>
      <c r="T542" s="23"/>
      <c r="U542" s="23"/>
    </row>
    <row r="543">
      <c r="S543" s="23"/>
      <c r="T543" s="23"/>
      <c r="U543" s="23"/>
    </row>
    <row r="544">
      <c r="S544" s="23"/>
      <c r="T544" s="23"/>
      <c r="U544" s="23"/>
    </row>
    <row r="545">
      <c r="S545" s="23"/>
      <c r="T545" s="23"/>
      <c r="U545" s="23"/>
    </row>
    <row r="546">
      <c r="S546" s="23"/>
      <c r="T546" s="23"/>
      <c r="U546" s="23"/>
    </row>
    <row r="547">
      <c r="S547" s="23"/>
      <c r="T547" s="23"/>
      <c r="U547" s="23"/>
    </row>
    <row r="548">
      <c r="S548" s="23"/>
      <c r="T548" s="23"/>
      <c r="U548" s="23"/>
    </row>
    <row r="549">
      <c r="S549" s="23"/>
      <c r="T549" s="23"/>
      <c r="U549" s="23"/>
    </row>
    <row r="550">
      <c r="S550" s="23"/>
      <c r="T550" s="23"/>
      <c r="U550" s="23"/>
    </row>
    <row r="551">
      <c r="S551" s="23"/>
      <c r="T551" s="23"/>
      <c r="U551" s="23"/>
    </row>
    <row r="552">
      <c r="S552" s="23"/>
      <c r="T552" s="23"/>
      <c r="U552" s="23"/>
    </row>
    <row r="553">
      <c r="S553" s="23"/>
      <c r="T553" s="23"/>
      <c r="U553" s="23"/>
    </row>
    <row r="554">
      <c r="S554" s="23"/>
      <c r="T554" s="23"/>
      <c r="U554" s="23"/>
    </row>
    <row r="555">
      <c r="S555" s="23"/>
      <c r="T555" s="23"/>
      <c r="U555" s="23"/>
    </row>
    <row r="556">
      <c r="S556" s="23"/>
      <c r="T556" s="23"/>
      <c r="U556" s="23"/>
    </row>
    <row r="557">
      <c r="S557" s="23"/>
      <c r="T557" s="23"/>
      <c r="U557" s="23"/>
    </row>
    <row r="558">
      <c r="S558" s="23"/>
      <c r="T558" s="23"/>
      <c r="U558" s="23"/>
    </row>
    <row r="559">
      <c r="S559" s="23"/>
      <c r="T559" s="23"/>
      <c r="U559" s="23"/>
    </row>
    <row r="560">
      <c r="S560" s="23"/>
      <c r="T560" s="23"/>
      <c r="U560" s="23"/>
    </row>
    <row r="561">
      <c r="S561" s="23"/>
      <c r="T561" s="23"/>
      <c r="U561" s="23"/>
    </row>
    <row r="562">
      <c r="S562" s="23"/>
      <c r="T562" s="23"/>
      <c r="U562" s="23"/>
    </row>
    <row r="563">
      <c r="S563" s="23"/>
      <c r="T563" s="23"/>
      <c r="U563" s="23"/>
    </row>
    <row r="564">
      <c r="S564" s="23"/>
      <c r="T564" s="23"/>
      <c r="U564" s="23"/>
    </row>
    <row r="565">
      <c r="S565" s="23"/>
      <c r="T565" s="23"/>
      <c r="U565" s="23"/>
    </row>
    <row r="566">
      <c r="S566" s="23"/>
      <c r="T566" s="23"/>
      <c r="U566" s="23"/>
    </row>
    <row r="567">
      <c r="S567" s="23"/>
      <c r="T567" s="23"/>
      <c r="U567" s="23"/>
    </row>
    <row r="568">
      <c r="S568" s="23"/>
      <c r="T568" s="23"/>
      <c r="U568" s="23"/>
    </row>
    <row r="569">
      <c r="S569" s="23"/>
      <c r="T569" s="23"/>
      <c r="U569" s="23"/>
    </row>
    <row r="570">
      <c r="S570" s="23"/>
      <c r="T570" s="23"/>
      <c r="U570" s="23"/>
    </row>
    <row r="571">
      <c r="S571" s="23"/>
      <c r="T571" s="23"/>
      <c r="U571" s="23"/>
    </row>
    <row r="572">
      <c r="S572" s="23"/>
      <c r="T572" s="23"/>
      <c r="U572" s="23"/>
    </row>
    <row r="573">
      <c r="S573" s="23"/>
      <c r="T573" s="23"/>
      <c r="U573" s="23"/>
    </row>
    <row r="574">
      <c r="S574" s="23"/>
      <c r="T574" s="23"/>
      <c r="U574" s="23"/>
    </row>
    <row r="575">
      <c r="S575" s="23"/>
      <c r="T575" s="23"/>
      <c r="U575" s="23"/>
    </row>
    <row r="576">
      <c r="S576" s="23"/>
      <c r="T576" s="23"/>
      <c r="U576" s="23"/>
    </row>
    <row r="577">
      <c r="S577" s="23"/>
      <c r="T577" s="23"/>
      <c r="U577" s="23"/>
    </row>
    <row r="578">
      <c r="S578" s="23"/>
      <c r="T578" s="23"/>
      <c r="U578" s="23"/>
    </row>
    <row r="579">
      <c r="S579" s="23"/>
      <c r="T579" s="23"/>
      <c r="U579" s="23"/>
    </row>
    <row r="580">
      <c r="S580" s="23"/>
      <c r="T580" s="23"/>
      <c r="U580" s="23"/>
    </row>
    <row r="581">
      <c r="S581" s="23"/>
      <c r="T581" s="23"/>
      <c r="U581" s="23"/>
    </row>
    <row r="582">
      <c r="S582" s="23"/>
      <c r="T582" s="23"/>
      <c r="U582" s="23"/>
    </row>
    <row r="583">
      <c r="S583" s="23"/>
      <c r="T583" s="23"/>
      <c r="U583" s="23"/>
    </row>
    <row r="584">
      <c r="S584" s="23"/>
      <c r="T584" s="23"/>
      <c r="U584" s="23"/>
    </row>
    <row r="585">
      <c r="S585" s="23"/>
      <c r="T585" s="23"/>
      <c r="U585" s="23"/>
    </row>
    <row r="586">
      <c r="S586" s="23"/>
      <c r="T586" s="23"/>
      <c r="U586" s="23"/>
    </row>
    <row r="587">
      <c r="S587" s="23"/>
      <c r="T587" s="23"/>
      <c r="U587" s="23"/>
    </row>
    <row r="588">
      <c r="S588" s="23"/>
      <c r="T588" s="23"/>
      <c r="U588" s="23"/>
    </row>
    <row r="589">
      <c r="S589" s="23"/>
      <c r="T589" s="23"/>
      <c r="U589" s="23"/>
    </row>
    <row r="590">
      <c r="S590" s="23"/>
      <c r="T590" s="23"/>
      <c r="U590" s="23"/>
    </row>
    <row r="591">
      <c r="S591" s="23"/>
      <c r="T591" s="23"/>
      <c r="U591" s="23"/>
    </row>
    <row r="592">
      <c r="S592" s="23"/>
      <c r="T592" s="23"/>
      <c r="U592" s="23"/>
    </row>
    <row r="593">
      <c r="S593" s="23"/>
      <c r="T593" s="23"/>
      <c r="U593" s="23"/>
    </row>
    <row r="594">
      <c r="S594" s="23"/>
      <c r="T594" s="23"/>
      <c r="U594" s="23"/>
    </row>
    <row r="595">
      <c r="S595" s="23"/>
      <c r="T595" s="23"/>
      <c r="U595" s="23"/>
    </row>
    <row r="596">
      <c r="S596" s="23"/>
      <c r="T596" s="23"/>
      <c r="U596" s="23"/>
    </row>
    <row r="597">
      <c r="S597" s="23"/>
      <c r="T597" s="23"/>
      <c r="U597" s="23"/>
    </row>
    <row r="598">
      <c r="S598" s="23"/>
      <c r="T598" s="23"/>
      <c r="U598" s="23"/>
    </row>
    <row r="599">
      <c r="S599" s="23"/>
      <c r="T599" s="23"/>
      <c r="U599" s="23"/>
    </row>
    <row r="600">
      <c r="S600" s="23"/>
      <c r="T600" s="23"/>
      <c r="U600" s="23"/>
    </row>
    <row r="601">
      <c r="S601" s="23"/>
      <c r="T601" s="23"/>
      <c r="U601" s="23"/>
    </row>
    <row r="602">
      <c r="S602" s="23"/>
      <c r="T602" s="23"/>
      <c r="U602" s="23"/>
    </row>
    <row r="603">
      <c r="S603" s="23"/>
      <c r="T603" s="23"/>
      <c r="U603" s="23"/>
    </row>
    <row r="604">
      <c r="S604" s="23"/>
      <c r="T604" s="23"/>
      <c r="U604" s="23"/>
    </row>
    <row r="605">
      <c r="S605" s="23"/>
      <c r="T605" s="23"/>
      <c r="U605" s="23"/>
    </row>
    <row r="606">
      <c r="S606" s="23"/>
      <c r="T606" s="23"/>
      <c r="U606" s="23"/>
    </row>
    <row r="607">
      <c r="S607" s="23"/>
      <c r="T607" s="23"/>
      <c r="U607" s="23"/>
    </row>
    <row r="608">
      <c r="S608" s="23"/>
      <c r="T608" s="23"/>
      <c r="U608" s="23"/>
    </row>
    <row r="609">
      <c r="S609" s="23"/>
      <c r="T609" s="23"/>
      <c r="U609" s="23"/>
    </row>
    <row r="610">
      <c r="S610" s="23"/>
      <c r="T610" s="23"/>
      <c r="U610" s="23"/>
    </row>
    <row r="611">
      <c r="S611" s="23"/>
      <c r="T611" s="23"/>
      <c r="U611" s="23"/>
    </row>
    <row r="612">
      <c r="S612" s="23"/>
      <c r="T612" s="23"/>
      <c r="U612" s="23"/>
    </row>
    <row r="613">
      <c r="S613" s="23"/>
      <c r="T613" s="23"/>
      <c r="U613" s="23"/>
    </row>
    <row r="614">
      <c r="S614" s="23"/>
      <c r="T614" s="23"/>
      <c r="U614" s="23"/>
    </row>
    <row r="615">
      <c r="S615" s="23"/>
      <c r="T615" s="23"/>
      <c r="U615" s="23"/>
    </row>
    <row r="616">
      <c r="S616" s="23"/>
      <c r="T616" s="23"/>
      <c r="U616" s="23"/>
    </row>
    <row r="617">
      <c r="S617" s="23"/>
      <c r="T617" s="23"/>
      <c r="U617" s="23"/>
    </row>
    <row r="618">
      <c r="S618" s="23"/>
      <c r="T618" s="23"/>
      <c r="U618" s="23"/>
    </row>
    <row r="619">
      <c r="S619" s="23"/>
      <c r="T619" s="23"/>
      <c r="U619" s="23"/>
    </row>
    <row r="620">
      <c r="S620" s="23"/>
      <c r="T620" s="23"/>
      <c r="U620" s="23"/>
    </row>
    <row r="621">
      <c r="S621" s="23"/>
      <c r="T621" s="23"/>
      <c r="U621" s="23"/>
    </row>
    <row r="622">
      <c r="S622" s="23"/>
      <c r="T622" s="23"/>
      <c r="U622" s="23"/>
    </row>
    <row r="623">
      <c r="S623" s="23"/>
      <c r="T623" s="23"/>
      <c r="U623" s="23"/>
    </row>
    <row r="624">
      <c r="S624" s="23"/>
      <c r="T624" s="23"/>
      <c r="U624" s="23"/>
    </row>
    <row r="625">
      <c r="S625" s="23"/>
      <c r="T625" s="23"/>
      <c r="U625" s="23"/>
    </row>
    <row r="626">
      <c r="S626" s="23"/>
      <c r="T626" s="23"/>
      <c r="U626" s="23"/>
    </row>
    <row r="627">
      <c r="S627" s="23"/>
      <c r="T627" s="23"/>
      <c r="U627" s="23"/>
    </row>
    <row r="628">
      <c r="S628" s="23"/>
      <c r="T628" s="23"/>
      <c r="U628" s="23"/>
    </row>
    <row r="629">
      <c r="S629" s="23"/>
      <c r="T629" s="23"/>
      <c r="U629" s="23"/>
    </row>
    <row r="630">
      <c r="S630" s="23"/>
      <c r="T630" s="23"/>
      <c r="U630" s="23"/>
    </row>
    <row r="631">
      <c r="S631" s="23"/>
      <c r="T631" s="23"/>
      <c r="U631" s="23"/>
    </row>
    <row r="632">
      <c r="S632" s="23"/>
      <c r="T632" s="23"/>
      <c r="U632" s="23"/>
    </row>
    <row r="633">
      <c r="S633" s="23"/>
      <c r="T633" s="23"/>
      <c r="U633" s="23"/>
    </row>
    <row r="634">
      <c r="S634" s="23"/>
      <c r="T634" s="23"/>
      <c r="U634" s="23"/>
    </row>
    <row r="635">
      <c r="S635" s="23"/>
      <c r="T635" s="23"/>
      <c r="U635" s="23"/>
    </row>
    <row r="636">
      <c r="S636" s="23"/>
      <c r="T636" s="23"/>
      <c r="U636" s="23"/>
    </row>
    <row r="637">
      <c r="S637" s="23"/>
      <c r="T637" s="23"/>
      <c r="U637" s="23"/>
    </row>
    <row r="638">
      <c r="S638" s="23"/>
      <c r="T638" s="23"/>
      <c r="U638" s="23"/>
    </row>
    <row r="639">
      <c r="S639" s="23"/>
      <c r="T639" s="23"/>
      <c r="U639" s="23"/>
    </row>
    <row r="640">
      <c r="S640" s="23"/>
      <c r="T640" s="23"/>
      <c r="U640" s="23"/>
    </row>
    <row r="641">
      <c r="S641" s="23"/>
      <c r="T641" s="23"/>
      <c r="U641" s="23"/>
    </row>
    <row r="642">
      <c r="S642" s="23"/>
      <c r="T642" s="23"/>
      <c r="U642" s="23"/>
    </row>
    <row r="643">
      <c r="S643" s="23"/>
      <c r="T643" s="23"/>
      <c r="U643" s="23"/>
    </row>
    <row r="644">
      <c r="S644" s="23"/>
      <c r="T644" s="23"/>
      <c r="U644" s="23"/>
    </row>
    <row r="645">
      <c r="S645" s="23"/>
      <c r="T645" s="23"/>
      <c r="U645" s="23"/>
    </row>
    <row r="646">
      <c r="S646" s="23"/>
      <c r="T646" s="23"/>
      <c r="U646" s="23"/>
    </row>
    <row r="647">
      <c r="S647" s="23"/>
      <c r="T647" s="23"/>
      <c r="U647" s="23"/>
    </row>
    <row r="648">
      <c r="S648" s="23"/>
      <c r="T648" s="23"/>
      <c r="U648" s="23"/>
    </row>
    <row r="649">
      <c r="S649" s="23"/>
      <c r="T649" s="23"/>
      <c r="U649" s="23"/>
    </row>
    <row r="650">
      <c r="S650" s="23"/>
      <c r="T650" s="23"/>
      <c r="U650" s="23"/>
    </row>
    <row r="651">
      <c r="S651" s="23"/>
      <c r="T651" s="23"/>
      <c r="U651" s="23"/>
    </row>
    <row r="652">
      <c r="S652" s="23"/>
      <c r="T652" s="23"/>
      <c r="U652" s="23"/>
    </row>
    <row r="653">
      <c r="S653" s="23"/>
      <c r="T653" s="23"/>
      <c r="U653" s="23"/>
    </row>
    <row r="654">
      <c r="S654" s="23"/>
      <c r="T654" s="23"/>
      <c r="U654" s="23"/>
    </row>
    <row r="655">
      <c r="S655" s="23"/>
      <c r="T655" s="23"/>
      <c r="U655" s="23"/>
    </row>
    <row r="656">
      <c r="S656" s="23"/>
      <c r="T656" s="23"/>
      <c r="U656" s="23"/>
    </row>
    <row r="657">
      <c r="S657" s="23"/>
      <c r="T657" s="23"/>
      <c r="U657" s="23"/>
    </row>
    <row r="658">
      <c r="S658" s="23"/>
      <c r="T658" s="23"/>
      <c r="U658" s="23"/>
    </row>
    <row r="659">
      <c r="S659" s="23"/>
      <c r="T659" s="23"/>
      <c r="U659" s="23"/>
    </row>
    <row r="660">
      <c r="S660" s="23"/>
      <c r="T660" s="23"/>
      <c r="U660" s="23"/>
    </row>
    <row r="661">
      <c r="S661" s="23"/>
      <c r="T661" s="23"/>
      <c r="U661" s="23"/>
    </row>
    <row r="662">
      <c r="S662" s="23"/>
      <c r="T662" s="23"/>
      <c r="U662" s="23"/>
    </row>
    <row r="663">
      <c r="S663" s="23"/>
      <c r="T663" s="23"/>
      <c r="U663" s="23"/>
    </row>
    <row r="664">
      <c r="S664" s="23"/>
      <c r="T664" s="23"/>
      <c r="U664" s="23"/>
    </row>
    <row r="665">
      <c r="S665" s="23"/>
      <c r="T665" s="23"/>
      <c r="U665" s="23"/>
    </row>
    <row r="666">
      <c r="S666" s="23"/>
      <c r="T666" s="23"/>
      <c r="U666" s="23"/>
    </row>
    <row r="667">
      <c r="S667" s="23"/>
      <c r="T667" s="23"/>
      <c r="U667" s="23"/>
    </row>
    <row r="668">
      <c r="S668" s="23"/>
      <c r="T668" s="23"/>
      <c r="U668" s="23"/>
    </row>
    <row r="669">
      <c r="S669" s="23"/>
      <c r="T669" s="23"/>
      <c r="U669" s="23"/>
    </row>
    <row r="670">
      <c r="S670" s="23"/>
      <c r="T670" s="23"/>
      <c r="U670" s="23"/>
    </row>
    <row r="671">
      <c r="S671" s="23"/>
      <c r="T671" s="23"/>
      <c r="U671" s="23"/>
    </row>
    <row r="672">
      <c r="S672" s="23"/>
      <c r="T672" s="23"/>
      <c r="U672" s="23"/>
    </row>
    <row r="673">
      <c r="S673" s="23"/>
      <c r="T673" s="23"/>
      <c r="U673" s="23"/>
    </row>
    <row r="674">
      <c r="S674" s="23"/>
      <c r="T674" s="23"/>
      <c r="U674" s="23"/>
    </row>
    <row r="675">
      <c r="S675" s="23"/>
      <c r="T675" s="23"/>
      <c r="U675" s="23"/>
    </row>
    <row r="676">
      <c r="S676" s="23"/>
      <c r="T676" s="23"/>
      <c r="U676" s="23"/>
    </row>
    <row r="677">
      <c r="S677" s="23"/>
      <c r="T677" s="23"/>
      <c r="U677" s="23"/>
    </row>
    <row r="678">
      <c r="S678" s="23"/>
      <c r="T678" s="23"/>
      <c r="U678" s="23"/>
    </row>
    <row r="679">
      <c r="S679" s="23"/>
      <c r="T679" s="23"/>
      <c r="U679" s="23"/>
    </row>
    <row r="680">
      <c r="S680" s="23"/>
      <c r="T680" s="23"/>
      <c r="U680" s="23"/>
    </row>
    <row r="681">
      <c r="S681" s="23"/>
      <c r="T681" s="23"/>
      <c r="U681" s="23"/>
    </row>
    <row r="682">
      <c r="S682" s="23"/>
      <c r="T682" s="23"/>
      <c r="U682" s="23"/>
    </row>
    <row r="683">
      <c r="S683" s="23"/>
      <c r="T683" s="23"/>
      <c r="U683" s="23"/>
    </row>
    <row r="684">
      <c r="S684" s="23"/>
      <c r="T684" s="23"/>
      <c r="U684" s="23"/>
    </row>
    <row r="685">
      <c r="S685" s="23"/>
      <c r="T685" s="23"/>
      <c r="U685" s="23"/>
    </row>
    <row r="686">
      <c r="S686" s="23"/>
      <c r="T686" s="23"/>
      <c r="U686" s="23"/>
    </row>
    <row r="687">
      <c r="S687" s="23"/>
      <c r="T687" s="23"/>
      <c r="U687" s="23"/>
    </row>
    <row r="688">
      <c r="S688" s="23"/>
      <c r="T688" s="23"/>
      <c r="U688" s="23"/>
    </row>
    <row r="689">
      <c r="S689" s="23"/>
      <c r="T689" s="23"/>
      <c r="U689" s="23"/>
    </row>
    <row r="690">
      <c r="S690" s="23"/>
      <c r="T690" s="23"/>
      <c r="U690" s="23"/>
    </row>
    <row r="691">
      <c r="S691" s="23"/>
      <c r="T691" s="23"/>
      <c r="U691" s="23"/>
    </row>
    <row r="692">
      <c r="S692" s="23"/>
      <c r="T692" s="23"/>
      <c r="U692" s="23"/>
    </row>
    <row r="693">
      <c r="S693" s="23"/>
      <c r="T693" s="23"/>
      <c r="U693" s="23"/>
    </row>
    <row r="694">
      <c r="S694" s="23"/>
      <c r="T694" s="23"/>
      <c r="U694" s="23"/>
    </row>
    <row r="695">
      <c r="S695" s="23"/>
      <c r="T695" s="23"/>
      <c r="U695" s="23"/>
    </row>
    <row r="696">
      <c r="S696" s="23"/>
      <c r="T696" s="23"/>
      <c r="U696" s="23"/>
    </row>
    <row r="697">
      <c r="S697" s="23"/>
      <c r="T697" s="23"/>
      <c r="U697" s="23"/>
    </row>
    <row r="698">
      <c r="S698" s="23"/>
      <c r="T698" s="23"/>
      <c r="U698" s="23"/>
    </row>
    <row r="699">
      <c r="S699" s="23"/>
      <c r="T699" s="23"/>
      <c r="U699" s="23"/>
    </row>
    <row r="700">
      <c r="S700" s="23"/>
      <c r="T700" s="23"/>
      <c r="U700" s="23"/>
    </row>
    <row r="701">
      <c r="S701" s="23"/>
      <c r="T701" s="23"/>
      <c r="U701" s="23"/>
    </row>
    <row r="702">
      <c r="S702" s="23"/>
      <c r="T702" s="23"/>
      <c r="U702" s="23"/>
    </row>
    <row r="703">
      <c r="S703" s="23"/>
      <c r="T703" s="23"/>
      <c r="U703" s="23"/>
    </row>
    <row r="704">
      <c r="S704" s="23"/>
      <c r="T704" s="23"/>
      <c r="U704" s="23"/>
    </row>
    <row r="705">
      <c r="S705" s="23"/>
      <c r="T705" s="23"/>
      <c r="U705" s="23"/>
    </row>
    <row r="706">
      <c r="S706" s="23"/>
      <c r="T706" s="23"/>
      <c r="U706" s="23"/>
    </row>
    <row r="707">
      <c r="S707" s="23"/>
      <c r="T707" s="23"/>
      <c r="U707" s="23"/>
    </row>
    <row r="708">
      <c r="S708" s="23"/>
      <c r="T708" s="23"/>
      <c r="U708" s="23"/>
    </row>
    <row r="709">
      <c r="S709" s="23"/>
      <c r="T709" s="23"/>
      <c r="U709" s="23"/>
    </row>
    <row r="710">
      <c r="S710" s="23"/>
      <c r="T710" s="23"/>
      <c r="U710" s="23"/>
    </row>
    <row r="711">
      <c r="S711" s="23"/>
      <c r="T711" s="23"/>
      <c r="U711" s="23"/>
    </row>
    <row r="712">
      <c r="S712" s="23"/>
      <c r="T712" s="23"/>
      <c r="U712" s="23"/>
    </row>
    <row r="713">
      <c r="S713" s="23"/>
      <c r="T713" s="23"/>
      <c r="U713" s="23"/>
    </row>
    <row r="714">
      <c r="S714" s="23"/>
      <c r="T714" s="23"/>
      <c r="U714" s="23"/>
    </row>
    <row r="715">
      <c r="S715" s="23"/>
      <c r="T715" s="23"/>
      <c r="U715" s="23"/>
    </row>
    <row r="716">
      <c r="S716" s="23"/>
      <c r="T716" s="23"/>
      <c r="U716" s="23"/>
    </row>
    <row r="717">
      <c r="S717" s="23"/>
      <c r="T717" s="23"/>
      <c r="U717" s="23"/>
    </row>
    <row r="718">
      <c r="S718" s="23"/>
      <c r="T718" s="23"/>
      <c r="U718" s="23"/>
    </row>
    <row r="719">
      <c r="S719" s="23"/>
      <c r="T719" s="23"/>
      <c r="U719" s="23"/>
    </row>
    <row r="720">
      <c r="S720" s="23"/>
      <c r="T720" s="23"/>
      <c r="U720" s="23"/>
    </row>
    <row r="721">
      <c r="S721" s="23"/>
      <c r="T721" s="23"/>
      <c r="U721" s="23"/>
    </row>
    <row r="722">
      <c r="S722" s="23"/>
      <c r="T722" s="23"/>
      <c r="U722" s="23"/>
    </row>
    <row r="723">
      <c r="S723" s="23"/>
      <c r="T723" s="23"/>
      <c r="U723" s="23"/>
    </row>
    <row r="724">
      <c r="S724" s="23"/>
      <c r="T724" s="23"/>
      <c r="U724" s="23"/>
    </row>
    <row r="725">
      <c r="S725" s="23"/>
      <c r="T725" s="23"/>
      <c r="U725" s="23"/>
    </row>
    <row r="726">
      <c r="S726" s="23"/>
      <c r="T726" s="23"/>
      <c r="U726" s="23"/>
    </row>
    <row r="727">
      <c r="S727" s="23"/>
      <c r="T727" s="23"/>
      <c r="U727" s="23"/>
    </row>
    <row r="728">
      <c r="S728" s="23"/>
      <c r="T728" s="23"/>
      <c r="U728" s="23"/>
    </row>
    <row r="729">
      <c r="S729" s="23"/>
      <c r="T729" s="23"/>
      <c r="U729" s="23"/>
    </row>
    <row r="730">
      <c r="S730" s="23"/>
      <c r="T730" s="23"/>
      <c r="U730" s="23"/>
    </row>
    <row r="731">
      <c r="S731" s="23"/>
      <c r="T731" s="23"/>
      <c r="U731" s="23"/>
    </row>
    <row r="732">
      <c r="S732" s="23"/>
      <c r="T732" s="23"/>
      <c r="U732" s="23"/>
    </row>
    <row r="733">
      <c r="S733" s="23"/>
      <c r="T733" s="23"/>
      <c r="U733" s="23"/>
    </row>
    <row r="734">
      <c r="S734" s="23"/>
      <c r="T734" s="23"/>
      <c r="U734" s="23"/>
    </row>
    <row r="735">
      <c r="S735" s="23"/>
      <c r="T735" s="23"/>
      <c r="U735" s="23"/>
    </row>
    <row r="736">
      <c r="S736" s="23"/>
      <c r="T736" s="23"/>
      <c r="U736" s="23"/>
    </row>
    <row r="737">
      <c r="S737" s="23"/>
      <c r="T737" s="23"/>
      <c r="U737" s="23"/>
    </row>
    <row r="738">
      <c r="S738" s="23"/>
      <c r="T738" s="23"/>
      <c r="U738" s="23"/>
    </row>
    <row r="739">
      <c r="S739" s="23"/>
      <c r="T739" s="23"/>
      <c r="U739" s="23"/>
    </row>
    <row r="740">
      <c r="S740" s="23"/>
      <c r="T740" s="23"/>
      <c r="U740" s="23"/>
    </row>
    <row r="741">
      <c r="S741" s="23"/>
      <c r="T741" s="23"/>
      <c r="U741" s="23"/>
    </row>
    <row r="742">
      <c r="S742" s="23"/>
      <c r="T742" s="23"/>
      <c r="U742" s="23"/>
    </row>
    <row r="743">
      <c r="S743" s="23"/>
      <c r="T743" s="23"/>
      <c r="U743" s="23"/>
    </row>
    <row r="744">
      <c r="S744" s="23"/>
      <c r="T744" s="23"/>
      <c r="U744" s="23"/>
    </row>
    <row r="745">
      <c r="S745" s="23"/>
      <c r="T745" s="23"/>
      <c r="U745" s="23"/>
    </row>
    <row r="746">
      <c r="S746" s="23"/>
      <c r="T746" s="23"/>
      <c r="U746" s="23"/>
    </row>
    <row r="747">
      <c r="S747" s="23"/>
      <c r="T747" s="23"/>
      <c r="U747" s="23"/>
    </row>
    <row r="748">
      <c r="S748" s="23"/>
      <c r="T748" s="23"/>
      <c r="U748" s="23"/>
    </row>
    <row r="749">
      <c r="S749" s="23"/>
      <c r="T749" s="23"/>
      <c r="U749" s="23"/>
    </row>
    <row r="750">
      <c r="S750" s="23"/>
      <c r="T750" s="23"/>
      <c r="U750" s="23"/>
    </row>
    <row r="751">
      <c r="S751" s="23"/>
      <c r="T751" s="23"/>
      <c r="U751" s="23"/>
    </row>
    <row r="752">
      <c r="S752" s="23"/>
      <c r="T752" s="23"/>
      <c r="U752" s="23"/>
    </row>
    <row r="753">
      <c r="S753" s="23"/>
      <c r="T753" s="23"/>
      <c r="U753" s="23"/>
    </row>
    <row r="754">
      <c r="S754" s="23"/>
      <c r="T754" s="23"/>
      <c r="U754" s="23"/>
    </row>
    <row r="755">
      <c r="S755" s="23"/>
      <c r="T755" s="23"/>
      <c r="U755" s="23"/>
    </row>
    <row r="756">
      <c r="S756" s="23"/>
      <c r="T756" s="23"/>
      <c r="U756" s="23"/>
    </row>
    <row r="757">
      <c r="S757" s="23"/>
      <c r="T757" s="23"/>
      <c r="U757" s="23"/>
    </row>
    <row r="758">
      <c r="S758" s="23"/>
      <c r="T758" s="23"/>
      <c r="U758" s="23"/>
    </row>
    <row r="759">
      <c r="S759" s="23"/>
      <c r="T759" s="23"/>
      <c r="U759" s="23"/>
    </row>
    <row r="760">
      <c r="S760" s="23"/>
      <c r="T760" s="23"/>
      <c r="U760" s="23"/>
    </row>
    <row r="761">
      <c r="S761" s="23"/>
      <c r="T761" s="23"/>
      <c r="U761" s="23"/>
    </row>
    <row r="762">
      <c r="S762" s="23"/>
      <c r="T762" s="23"/>
      <c r="U762" s="23"/>
    </row>
    <row r="763">
      <c r="S763" s="23"/>
      <c r="T763" s="23"/>
      <c r="U763" s="23"/>
    </row>
    <row r="764">
      <c r="S764" s="23"/>
      <c r="T764" s="23"/>
      <c r="U764" s="23"/>
    </row>
    <row r="765">
      <c r="S765" s="23"/>
      <c r="T765" s="23"/>
      <c r="U765" s="23"/>
    </row>
    <row r="766">
      <c r="S766" s="23"/>
      <c r="T766" s="23"/>
      <c r="U766" s="23"/>
    </row>
    <row r="767">
      <c r="S767" s="23"/>
      <c r="T767" s="23"/>
      <c r="U767" s="23"/>
    </row>
    <row r="768">
      <c r="S768" s="23"/>
      <c r="T768" s="23"/>
      <c r="U768" s="23"/>
    </row>
    <row r="769">
      <c r="S769" s="23"/>
      <c r="T769" s="23"/>
      <c r="U769" s="23"/>
    </row>
    <row r="770">
      <c r="S770" s="23"/>
      <c r="T770" s="23"/>
      <c r="U770" s="23"/>
    </row>
    <row r="771">
      <c r="S771" s="23"/>
      <c r="T771" s="23"/>
      <c r="U771" s="23"/>
    </row>
    <row r="772">
      <c r="S772" s="23"/>
      <c r="T772" s="23"/>
      <c r="U772" s="23"/>
    </row>
    <row r="773">
      <c r="S773" s="23"/>
      <c r="T773" s="23"/>
      <c r="U773" s="23"/>
    </row>
    <row r="774">
      <c r="S774" s="23"/>
      <c r="T774" s="23"/>
      <c r="U774" s="23"/>
    </row>
    <row r="775">
      <c r="S775" s="23"/>
      <c r="T775" s="23"/>
      <c r="U775" s="23"/>
    </row>
    <row r="776">
      <c r="S776" s="23"/>
      <c r="T776" s="23"/>
      <c r="U776" s="23"/>
    </row>
    <row r="777">
      <c r="S777" s="23"/>
      <c r="T777" s="23"/>
      <c r="U777" s="23"/>
    </row>
    <row r="778">
      <c r="S778" s="23"/>
      <c r="T778" s="23"/>
      <c r="U778" s="23"/>
    </row>
    <row r="779">
      <c r="S779" s="23"/>
      <c r="T779" s="23"/>
      <c r="U779" s="23"/>
    </row>
    <row r="780">
      <c r="S780" s="23"/>
      <c r="T780" s="23"/>
      <c r="U780" s="23"/>
    </row>
    <row r="781">
      <c r="S781" s="23"/>
      <c r="T781" s="23"/>
      <c r="U781" s="23"/>
    </row>
    <row r="782">
      <c r="S782" s="23"/>
      <c r="T782" s="23"/>
      <c r="U782" s="23"/>
    </row>
    <row r="783">
      <c r="S783" s="23"/>
      <c r="T783" s="23"/>
      <c r="U783" s="23"/>
    </row>
    <row r="784">
      <c r="S784" s="23"/>
      <c r="T784" s="23"/>
      <c r="U784" s="23"/>
    </row>
    <row r="785">
      <c r="S785" s="23"/>
      <c r="T785" s="23"/>
      <c r="U785" s="23"/>
    </row>
    <row r="786">
      <c r="S786" s="23"/>
      <c r="T786" s="23"/>
      <c r="U786" s="23"/>
    </row>
    <row r="787">
      <c r="S787" s="23"/>
      <c r="T787" s="23"/>
      <c r="U787" s="23"/>
    </row>
    <row r="788">
      <c r="S788" s="23"/>
      <c r="T788" s="23"/>
      <c r="U788" s="23"/>
    </row>
    <row r="789">
      <c r="S789" s="23"/>
      <c r="T789" s="23"/>
      <c r="U789" s="23"/>
    </row>
    <row r="790">
      <c r="S790" s="23"/>
      <c r="T790" s="23"/>
      <c r="U790" s="23"/>
    </row>
    <row r="791">
      <c r="S791" s="23"/>
      <c r="T791" s="23"/>
      <c r="U791" s="23"/>
    </row>
    <row r="792">
      <c r="S792" s="23"/>
      <c r="T792" s="23"/>
      <c r="U792" s="23"/>
    </row>
    <row r="793">
      <c r="S793" s="23"/>
      <c r="T793" s="23"/>
      <c r="U793" s="23"/>
    </row>
    <row r="794">
      <c r="S794" s="23"/>
      <c r="T794" s="23"/>
      <c r="U794" s="23"/>
    </row>
    <row r="795">
      <c r="S795" s="23"/>
      <c r="T795" s="23"/>
      <c r="U795" s="23"/>
    </row>
    <row r="796">
      <c r="S796" s="23"/>
      <c r="T796" s="23"/>
      <c r="U796" s="23"/>
    </row>
    <row r="797">
      <c r="S797" s="23"/>
      <c r="T797" s="23"/>
      <c r="U797" s="23"/>
    </row>
    <row r="798">
      <c r="S798" s="23"/>
      <c r="T798" s="23"/>
      <c r="U798" s="23"/>
    </row>
    <row r="799">
      <c r="S799" s="23"/>
      <c r="T799" s="23"/>
      <c r="U799" s="23"/>
    </row>
    <row r="800">
      <c r="S800" s="23"/>
      <c r="T800" s="23"/>
      <c r="U800" s="23"/>
    </row>
    <row r="801">
      <c r="S801" s="23"/>
      <c r="T801" s="23"/>
      <c r="U801" s="23"/>
    </row>
    <row r="802">
      <c r="S802" s="23"/>
      <c r="T802" s="23"/>
      <c r="U802" s="23"/>
    </row>
    <row r="803">
      <c r="S803" s="23"/>
      <c r="T803" s="23"/>
      <c r="U803" s="23"/>
    </row>
    <row r="804">
      <c r="S804" s="23"/>
      <c r="T804" s="23"/>
      <c r="U804" s="23"/>
    </row>
    <row r="805">
      <c r="S805" s="23"/>
      <c r="T805" s="23"/>
      <c r="U805" s="23"/>
    </row>
    <row r="806">
      <c r="S806" s="23"/>
      <c r="T806" s="23"/>
      <c r="U806" s="23"/>
    </row>
    <row r="807">
      <c r="S807" s="23"/>
      <c r="T807" s="23"/>
      <c r="U807" s="23"/>
    </row>
    <row r="808">
      <c r="S808" s="23"/>
      <c r="T808" s="23"/>
      <c r="U808" s="23"/>
    </row>
    <row r="809">
      <c r="S809" s="23"/>
      <c r="T809" s="23"/>
      <c r="U809" s="23"/>
    </row>
    <row r="810">
      <c r="S810" s="23"/>
      <c r="T810" s="23"/>
      <c r="U810" s="23"/>
    </row>
    <row r="811">
      <c r="S811" s="23"/>
      <c r="T811" s="23"/>
      <c r="U811" s="23"/>
    </row>
    <row r="812">
      <c r="S812" s="23"/>
      <c r="T812" s="23"/>
      <c r="U812" s="23"/>
    </row>
    <row r="813">
      <c r="S813" s="23"/>
      <c r="T813" s="23"/>
      <c r="U813" s="23"/>
    </row>
    <row r="814">
      <c r="S814" s="23"/>
      <c r="T814" s="23"/>
      <c r="U814" s="23"/>
    </row>
    <row r="815">
      <c r="S815" s="23"/>
      <c r="T815" s="23"/>
      <c r="U815" s="23"/>
    </row>
    <row r="816">
      <c r="S816" s="23"/>
      <c r="T816" s="23"/>
      <c r="U816" s="23"/>
    </row>
    <row r="817">
      <c r="S817" s="23"/>
      <c r="T817" s="23"/>
      <c r="U817" s="23"/>
    </row>
    <row r="818">
      <c r="S818" s="23"/>
      <c r="T818" s="23"/>
      <c r="U818" s="23"/>
    </row>
    <row r="819">
      <c r="S819" s="23"/>
      <c r="T819" s="23"/>
      <c r="U819" s="23"/>
    </row>
    <row r="820">
      <c r="S820" s="23"/>
      <c r="T820" s="23"/>
      <c r="U820" s="23"/>
    </row>
    <row r="821">
      <c r="S821" s="23"/>
      <c r="T821" s="23"/>
      <c r="U821" s="23"/>
    </row>
    <row r="822">
      <c r="S822" s="23"/>
      <c r="T822" s="23"/>
      <c r="U822" s="23"/>
    </row>
    <row r="823">
      <c r="S823" s="23"/>
      <c r="T823" s="23"/>
      <c r="U823" s="23"/>
    </row>
    <row r="824">
      <c r="S824" s="23"/>
      <c r="T824" s="23"/>
      <c r="U824" s="23"/>
    </row>
    <row r="825">
      <c r="S825" s="23"/>
      <c r="T825" s="23"/>
      <c r="U825" s="23"/>
    </row>
    <row r="826">
      <c r="S826" s="23"/>
      <c r="T826" s="23"/>
      <c r="U826" s="23"/>
    </row>
    <row r="827">
      <c r="S827" s="23"/>
      <c r="T827" s="23"/>
      <c r="U827" s="23"/>
    </row>
    <row r="828">
      <c r="S828" s="23"/>
      <c r="T828" s="23"/>
      <c r="U828" s="23"/>
    </row>
    <row r="829">
      <c r="S829" s="23"/>
      <c r="T829" s="23"/>
      <c r="U829" s="23"/>
    </row>
    <row r="830">
      <c r="S830" s="23"/>
      <c r="T830" s="23"/>
      <c r="U830" s="23"/>
    </row>
    <row r="831">
      <c r="S831" s="23"/>
      <c r="T831" s="23"/>
      <c r="U831" s="23"/>
    </row>
    <row r="832">
      <c r="S832" s="23"/>
      <c r="T832" s="23"/>
      <c r="U832" s="23"/>
    </row>
    <row r="833">
      <c r="S833" s="23"/>
      <c r="T833" s="23"/>
      <c r="U833" s="23"/>
    </row>
    <row r="834">
      <c r="S834" s="23"/>
      <c r="T834" s="23"/>
      <c r="U834" s="23"/>
    </row>
    <row r="835">
      <c r="S835" s="23"/>
      <c r="T835" s="23"/>
      <c r="U835" s="23"/>
    </row>
    <row r="836">
      <c r="S836" s="23"/>
      <c r="T836" s="23"/>
      <c r="U836" s="23"/>
    </row>
    <row r="837">
      <c r="S837" s="23"/>
      <c r="T837" s="23"/>
      <c r="U837" s="23"/>
    </row>
    <row r="838">
      <c r="S838" s="23"/>
      <c r="T838" s="23"/>
      <c r="U838" s="23"/>
    </row>
    <row r="839">
      <c r="S839" s="23"/>
      <c r="T839" s="23"/>
      <c r="U839" s="23"/>
    </row>
    <row r="840">
      <c r="S840" s="23"/>
      <c r="T840" s="23"/>
      <c r="U840" s="23"/>
    </row>
    <row r="841">
      <c r="S841" s="23"/>
      <c r="T841" s="23"/>
      <c r="U841" s="23"/>
    </row>
    <row r="842">
      <c r="S842" s="23"/>
      <c r="T842" s="23"/>
      <c r="U842" s="23"/>
    </row>
    <row r="843">
      <c r="S843" s="23"/>
      <c r="T843" s="23"/>
      <c r="U843" s="23"/>
    </row>
    <row r="844">
      <c r="S844" s="23"/>
      <c r="T844" s="23"/>
      <c r="U844" s="23"/>
    </row>
    <row r="845">
      <c r="S845" s="23"/>
      <c r="T845" s="23"/>
      <c r="U845" s="23"/>
    </row>
    <row r="846">
      <c r="S846" s="23"/>
      <c r="T846" s="23"/>
      <c r="U846" s="23"/>
    </row>
    <row r="847">
      <c r="S847" s="23"/>
      <c r="T847" s="23"/>
      <c r="U847" s="23"/>
    </row>
    <row r="848">
      <c r="S848" s="23"/>
      <c r="T848" s="23"/>
      <c r="U848" s="23"/>
    </row>
    <row r="849">
      <c r="S849" s="23"/>
      <c r="T849" s="23"/>
      <c r="U849" s="23"/>
    </row>
    <row r="850">
      <c r="S850" s="23"/>
      <c r="T850" s="23"/>
      <c r="U850" s="23"/>
    </row>
    <row r="851">
      <c r="S851" s="23"/>
      <c r="T851" s="23"/>
      <c r="U851" s="23"/>
    </row>
    <row r="852">
      <c r="S852" s="23"/>
      <c r="T852" s="23"/>
      <c r="U852" s="23"/>
    </row>
    <row r="853">
      <c r="S853" s="23"/>
      <c r="T853" s="23"/>
      <c r="U853" s="23"/>
    </row>
    <row r="854">
      <c r="S854" s="23"/>
      <c r="T854" s="23"/>
      <c r="U854" s="23"/>
    </row>
    <row r="855">
      <c r="S855" s="23"/>
      <c r="T855" s="23"/>
      <c r="U855" s="23"/>
    </row>
    <row r="856">
      <c r="S856" s="23"/>
      <c r="T856" s="23"/>
      <c r="U856" s="23"/>
    </row>
    <row r="857">
      <c r="S857" s="23"/>
      <c r="T857" s="23"/>
      <c r="U857" s="23"/>
    </row>
    <row r="858">
      <c r="S858" s="23"/>
      <c r="T858" s="23"/>
      <c r="U858" s="23"/>
    </row>
    <row r="859">
      <c r="S859" s="23"/>
      <c r="T859" s="23"/>
      <c r="U859" s="23"/>
    </row>
    <row r="860">
      <c r="S860" s="23"/>
      <c r="T860" s="23"/>
      <c r="U860" s="23"/>
    </row>
    <row r="861">
      <c r="S861" s="23"/>
      <c r="T861" s="23"/>
      <c r="U861" s="23"/>
    </row>
    <row r="862">
      <c r="S862" s="23"/>
      <c r="T862" s="23"/>
      <c r="U862" s="23"/>
    </row>
    <row r="863">
      <c r="S863" s="23"/>
      <c r="T863" s="23"/>
      <c r="U863" s="23"/>
    </row>
    <row r="864">
      <c r="S864" s="23"/>
      <c r="T864" s="23"/>
      <c r="U864" s="23"/>
    </row>
    <row r="865">
      <c r="S865" s="23"/>
      <c r="T865" s="23"/>
      <c r="U865" s="23"/>
    </row>
    <row r="866">
      <c r="S866" s="23"/>
      <c r="T866" s="23"/>
      <c r="U866" s="23"/>
    </row>
    <row r="867">
      <c r="S867" s="23"/>
      <c r="T867" s="23"/>
      <c r="U867" s="23"/>
    </row>
    <row r="868">
      <c r="S868" s="23"/>
      <c r="T868" s="23"/>
      <c r="U868" s="23"/>
    </row>
    <row r="869">
      <c r="S869" s="23"/>
      <c r="T869" s="23"/>
      <c r="U869" s="23"/>
    </row>
    <row r="870">
      <c r="S870" s="23"/>
      <c r="T870" s="23"/>
      <c r="U870" s="23"/>
    </row>
    <row r="871">
      <c r="S871" s="23"/>
      <c r="T871" s="23"/>
      <c r="U871" s="23"/>
    </row>
    <row r="872">
      <c r="S872" s="23"/>
      <c r="T872" s="23"/>
      <c r="U872" s="23"/>
    </row>
    <row r="873">
      <c r="S873" s="23"/>
      <c r="T873" s="23"/>
      <c r="U873" s="23"/>
    </row>
    <row r="874">
      <c r="S874" s="23"/>
      <c r="T874" s="23"/>
      <c r="U874" s="23"/>
    </row>
    <row r="875">
      <c r="S875" s="23"/>
      <c r="T875" s="23"/>
      <c r="U875" s="23"/>
    </row>
    <row r="876">
      <c r="S876" s="23"/>
      <c r="T876" s="23"/>
      <c r="U876" s="23"/>
    </row>
    <row r="877">
      <c r="S877" s="23"/>
      <c r="T877" s="23"/>
      <c r="U877" s="23"/>
    </row>
    <row r="878">
      <c r="S878" s="23"/>
      <c r="T878" s="23"/>
      <c r="U878" s="23"/>
    </row>
    <row r="879">
      <c r="S879" s="23"/>
      <c r="T879" s="23"/>
      <c r="U879" s="23"/>
    </row>
    <row r="880">
      <c r="S880" s="23"/>
      <c r="T880" s="23"/>
      <c r="U880" s="23"/>
    </row>
    <row r="881">
      <c r="S881" s="23"/>
      <c r="T881" s="23"/>
      <c r="U881" s="23"/>
    </row>
    <row r="882">
      <c r="S882" s="23"/>
      <c r="T882" s="23"/>
      <c r="U882" s="23"/>
    </row>
    <row r="883">
      <c r="S883" s="23"/>
      <c r="T883" s="23"/>
      <c r="U883" s="23"/>
    </row>
    <row r="884">
      <c r="S884" s="23"/>
      <c r="T884" s="23"/>
      <c r="U884" s="23"/>
    </row>
    <row r="885">
      <c r="S885" s="23"/>
      <c r="T885" s="23"/>
      <c r="U885" s="23"/>
    </row>
    <row r="886">
      <c r="S886" s="23"/>
      <c r="T886" s="23"/>
      <c r="U886" s="23"/>
    </row>
    <row r="887">
      <c r="S887" s="23"/>
      <c r="T887" s="23"/>
      <c r="U887" s="23"/>
    </row>
    <row r="888">
      <c r="S888" s="23"/>
      <c r="T888" s="23"/>
      <c r="U888" s="23"/>
    </row>
    <row r="889">
      <c r="S889" s="23"/>
      <c r="T889" s="23"/>
      <c r="U889" s="23"/>
    </row>
    <row r="890">
      <c r="S890" s="23"/>
      <c r="T890" s="23"/>
      <c r="U890" s="23"/>
    </row>
    <row r="891">
      <c r="S891" s="23"/>
      <c r="T891" s="23"/>
      <c r="U891" s="23"/>
    </row>
    <row r="892">
      <c r="S892" s="23"/>
      <c r="T892" s="23"/>
      <c r="U892" s="23"/>
    </row>
    <row r="893">
      <c r="S893" s="23"/>
      <c r="T893" s="23"/>
      <c r="U893" s="23"/>
    </row>
    <row r="894">
      <c r="S894" s="23"/>
      <c r="T894" s="23"/>
      <c r="U894" s="23"/>
    </row>
    <row r="895">
      <c r="S895" s="23"/>
      <c r="T895" s="23"/>
      <c r="U895" s="23"/>
    </row>
    <row r="896">
      <c r="S896" s="23"/>
      <c r="T896" s="23"/>
      <c r="U896" s="23"/>
    </row>
    <row r="897">
      <c r="S897" s="23"/>
      <c r="T897" s="23"/>
      <c r="U897" s="23"/>
    </row>
    <row r="898">
      <c r="S898" s="23"/>
      <c r="T898" s="23"/>
      <c r="U898" s="23"/>
    </row>
    <row r="899">
      <c r="S899" s="23"/>
      <c r="T899" s="23"/>
      <c r="U899" s="23"/>
    </row>
    <row r="900">
      <c r="S900" s="23"/>
      <c r="T900" s="23"/>
      <c r="U900" s="23"/>
    </row>
    <row r="901">
      <c r="S901" s="23"/>
      <c r="T901" s="23"/>
      <c r="U901" s="23"/>
    </row>
    <row r="902">
      <c r="S902" s="23"/>
      <c r="T902" s="23"/>
      <c r="U902" s="23"/>
    </row>
    <row r="903">
      <c r="S903" s="23"/>
      <c r="T903" s="23"/>
      <c r="U903" s="23"/>
    </row>
    <row r="904">
      <c r="S904" s="23"/>
      <c r="T904" s="23"/>
      <c r="U904" s="23"/>
    </row>
    <row r="905">
      <c r="S905" s="23"/>
      <c r="T905" s="23"/>
      <c r="U905" s="23"/>
    </row>
    <row r="906">
      <c r="S906" s="23"/>
      <c r="T906" s="23"/>
      <c r="U906" s="23"/>
    </row>
    <row r="907">
      <c r="S907" s="23"/>
      <c r="T907" s="23"/>
      <c r="U907" s="23"/>
    </row>
    <row r="908">
      <c r="S908" s="23"/>
      <c r="T908" s="23"/>
      <c r="U908" s="23"/>
    </row>
    <row r="909">
      <c r="S909" s="23"/>
      <c r="T909" s="23"/>
      <c r="U909" s="23"/>
    </row>
    <row r="910">
      <c r="S910" s="23"/>
      <c r="T910" s="23"/>
      <c r="U910" s="23"/>
    </row>
    <row r="911">
      <c r="S911" s="23"/>
      <c r="T911" s="23"/>
      <c r="U911" s="23"/>
    </row>
    <row r="912">
      <c r="S912" s="23"/>
      <c r="T912" s="23"/>
      <c r="U912" s="23"/>
    </row>
    <row r="913">
      <c r="S913" s="23"/>
      <c r="T913" s="23"/>
      <c r="U913" s="23"/>
    </row>
    <row r="914">
      <c r="S914" s="23"/>
      <c r="T914" s="23"/>
      <c r="U914" s="23"/>
    </row>
    <row r="915">
      <c r="S915" s="23"/>
      <c r="T915" s="23"/>
      <c r="U915" s="23"/>
    </row>
    <row r="916">
      <c r="S916" s="23"/>
      <c r="T916" s="23"/>
      <c r="U916" s="23"/>
    </row>
    <row r="917">
      <c r="S917" s="23"/>
      <c r="T917" s="23"/>
      <c r="U917" s="23"/>
    </row>
    <row r="918">
      <c r="S918" s="23"/>
      <c r="T918" s="23"/>
      <c r="U918" s="23"/>
    </row>
    <row r="919">
      <c r="S919" s="23"/>
      <c r="T919" s="23"/>
      <c r="U919" s="23"/>
    </row>
    <row r="920">
      <c r="S920" s="23"/>
      <c r="T920" s="23"/>
      <c r="U920" s="23"/>
    </row>
    <row r="921">
      <c r="S921" s="23"/>
      <c r="T921" s="23"/>
      <c r="U921" s="23"/>
    </row>
    <row r="922">
      <c r="S922" s="23"/>
      <c r="T922" s="23"/>
      <c r="U922" s="23"/>
    </row>
    <row r="923">
      <c r="S923" s="23"/>
      <c r="T923" s="23"/>
      <c r="U923" s="23"/>
    </row>
    <row r="924">
      <c r="S924" s="23"/>
      <c r="T924" s="23"/>
      <c r="U924" s="23"/>
    </row>
    <row r="925">
      <c r="S925" s="23"/>
      <c r="T925" s="23"/>
      <c r="U925" s="23"/>
    </row>
    <row r="926">
      <c r="S926" s="23"/>
      <c r="T926" s="23"/>
      <c r="U926" s="23"/>
    </row>
    <row r="927">
      <c r="S927" s="23"/>
      <c r="T927" s="23"/>
      <c r="U927" s="23"/>
    </row>
    <row r="928">
      <c r="S928" s="23"/>
      <c r="T928" s="23"/>
      <c r="U928" s="23"/>
    </row>
    <row r="929">
      <c r="S929" s="23"/>
      <c r="T929" s="23"/>
      <c r="U929" s="23"/>
    </row>
    <row r="930">
      <c r="S930" s="23"/>
      <c r="T930" s="23"/>
      <c r="U930" s="23"/>
    </row>
    <row r="931">
      <c r="S931" s="23"/>
      <c r="T931" s="23"/>
      <c r="U931" s="23"/>
    </row>
    <row r="932">
      <c r="S932" s="23"/>
      <c r="T932" s="23"/>
      <c r="U932" s="23"/>
    </row>
    <row r="933">
      <c r="S933" s="23"/>
      <c r="T933" s="23"/>
      <c r="U933" s="23"/>
    </row>
    <row r="934">
      <c r="S934" s="23"/>
      <c r="T934" s="23"/>
      <c r="U934" s="23"/>
    </row>
    <row r="935">
      <c r="S935" s="23"/>
      <c r="T935" s="23"/>
      <c r="U935" s="23"/>
    </row>
    <row r="936">
      <c r="S936" s="23"/>
      <c r="T936" s="23"/>
      <c r="U936" s="23"/>
    </row>
    <row r="937">
      <c r="S937" s="23"/>
      <c r="T937" s="23"/>
      <c r="U937" s="23"/>
    </row>
    <row r="938">
      <c r="S938" s="23"/>
      <c r="T938" s="23"/>
      <c r="U938" s="23"/>
    </row>
    <row r="939">
      <c r="S939" s="23"/>
      <c r="T939" s="23"/>
      <c r="U939" s="23"/>
    </row>
    <row r="940">
      <c r="S940" s="23"/>
      <c r="T940" s="23"/>
      <c r="U940" s="23"/>
    </row>
    <row r="941">
      <c r="S941" s="23"/>
      <c r="T941" s="23"/>
      <c r="U941" s="23"/>
    </row>
    <row r="942">
      <c r="S942" s="23"/>
      <c r="T942" s="23"/>
      <c r="U942" s="23"/>
    </row>
    <row r="943">
      <c r="S943" s="23"/>
      <c r="T943" s="23"/>
      <c r="U943" s="23"/>
    </row>
    <row r="944">
      <c r="S944" s="23"/>
      <c r="T944" s="23"/>
      <c r="U944" s="23"/>
    </row>
    <row r="945">
      <c r="S945" s="23"/>
      <c r="T945" s="23"/>
      <c r="U945" s="23"/>
    </row>
    <row r="946">
      <c r="S946" s="23"/>
      <c r="T946" s="23"/>
      <c r="U946" s="23"/>
    </row>
    <row r="947">
      <c r="S947" s="23"/>
      <c r="T947" s="23"/>
      <c r="U947" s="23"/>
    </row>
    <row r="948">
      <c r="S948" s="23"/>
      <c r="T948" s="23"/>
      <c r="U948" s="23"/>
    </row>
    <row r="949">
      <c r="S949" s="23"/>
      <c r="T949" s="23"/>
      <c r="U949" s="23"/>
    </row>
    <row r="950">
      <c r="S950" s="23"/>
      <c r="T950" s="23"/>
      <c r="U950" s="23"/>
    </row>
    <row r="951">
      <c r="S951" s="23"/>
      <c r="T951" s="23"/>
      <c r="U951" s="23"/>
    </row>
    <row r="952">
      <c r="S952" s="23"/>
      <c r="T952" s="23"/>
      <c r="U952" s="23"/>
    </row>
    <row r="953">
      <c r="S953" s="23"/>
      <c r="T953" s="23"/>
      <c r="U953" s="23"/>
    </row>
    <row r="954">
      <c r="S954" s="23"/>
      <c r="T954" s="23"/>
      <c r="U954" s="23"/>
    </row>
    <row r="955">
      <c r="S955" s="23"/>
      <c r="T955" s="23"/>
      <c r="U955" s="23"/>
    </row>
    <row r="956">
      <c r="S956" s="23"/>
      <c r="T956" s="23"/>
      <c r="U956" s="23"/>
    </row>
    <row r="957">
      <c r="S957" s="23"/>
      <c r="T957" s="23"/>
      <c r="U957" s="23"/>
    </row>
    <row r="958">
      <c r="S958" s="23"/>
      <c r="T958" s="23"/>
      <c r="U958" s="23"/>
    </row>
    <row r="959">
      <c r="S959" s="23"/>
      <c r="T959" s="23"/>
      <c r="U959" s="23"/>
    </row>
    <row r="960">
      <c r="S960" s="23"/>
      <c r="T960" s="23"/>
      <c r="U960" s="23"/>
    </row>
    <row r="961">
      <c r="S961" s="23"/>
      <c r="T961" s="23"/>
      <c r="U961" s="23"/>
    </row>
    <row r="962">
      <c r="S962" s="23"/>
      <c r="T962" s="23"/>
      <c r="U962" s="23"/>
    </row>
    <row r="963">
      <c r="S963" s="23"/>
      <c r="T963" s="23"/>
      <c r="U963" s="23"/>
    </row>
    <row r="964">
      <c r="S964" s="23"/>
      <c r="T964" s="23"/>
      <c r="U964" s="23"/>
    </row>
    <row r="965">
      <c r="S965" s="23"/>
      <c r="T965" s="23"/>
      <c r="U965" s="23"/>
    </row>
    <row r="966">
      <c r="S966" s="23"/>
      <c r="T966" s="23"/>
      <c r="U966" s="23"/>
    </row>
    <row r="967">
      <c r="S967" s="23"/>
      <c r="T967" s="23"/>
      <c r="U967" s="23"/>
    </row>
    <row r="968">
      <c r="S968" s="23"/>
      <c r="T968" s="23"/>
      <c r="U968" s="23"/>
    </row>
    <row r="969">
      <c r="S969" s="23"/>
      <c r="T969" s="23"/>
      <c r="U969" s="23"/>
    </row>
    <row r="970">
      <c r="S970" s="23"/>
      <c r="T970" s="23"/>
      <c r="U970" s="23"/>
    </row>
    <row r="971">
      <c r="S971" s="23"/>
      <c r="T971" s="23"/>
      <c r="U971" s="23"/>
    </row>
    <row r="972">
      <c r="S972" s="23"/>
      <c r="T972" s="23"/>
      <c r="U972" s="23"/>
    </row>
    <row r="973">
      <c r="S973" s="23"/>
      <c r="T973" s="23"/>
      <c r="U973" s="23"/>
    </row>
    <row r="974">
      <c r="S974" s="23"/>
      <c r="T974" s="23"/>
      <c r="U974" s="23"/>
    </row>
    <row r="975">
      <c r="S975" s="23"/>
      <c r="T975" s="23"/>
      <c r="U975" s="23"/>
    </row>
    <row r="976">
      <c r="S976" s="23"/>
      <c r="T976" s="23"/>
      <c r="U976" s="23"/>
    </row>
    <row r="977">
      <c r="S977" s="23"/>
      <c r="T977" s="23"/>
      <c r="U977" s="23"/>
    </row>
    <row r="978">
      <c r="S978" s="23"/>
      <c r="T978" s="23"/>
      <c r="U978" s="23"/>
    </row>
    <row r="979">
      <c r="S979" s="23"/>
      <c r="T979" s="23"/>
      <c r="U979" s="23"/>
    </row>
    <row r="980">
      <c r="S980" s="23"/>
      <c r="T980" s="23"/>
      <c r="U980" s="23"/>
    </row>
    <row r="981">
      <c r="S981" s="23"/>
      <c r="T981" s="23"/>
      <c r="U981" s="23"/>
    </row>
    <row r="982">
      <c r="S982" s="23"/>
      <c r="T982" s="23"/>
      <c r="U982" s="23"/>
    </row>
    <row r="983">
      <c r="S983" s="23"/>
      <c r="T983" s="23"/>
      <c r="U983" s="23"/>
    </row>
    <row r="984">
      <c r="S984" s="23"/>
      <c r="T984" s="23"/>
      <c r="U984" s="23"/>
    </row>
    <row r="985">
      <c r="S985" s="23"/>
      <c r="T985" s="23"/>
      <c r="U985" s="23"/>
    </row>
    <row r="986">
      <c r="S986" s="23"/>
      <c r="T986" s="23"/>
      <c r="U986" s="23"/>
    </row>
    <row r="987">
      <c r="S987" s="23"/>
      <c r="T987" s="23"/>
      <c r="U987" s="23"/>
    </row>
    <row r="988">
      <c r="S988" s="23"/>
      <c r="T988" s="23"/>
      <c r="U988" s="23"/>
    </row>
    <row r="989">
      <c r="S989" s="23"/>
      <c r="T989" s="23"/>
      <c r="U989" s="23"/>
    </row>
    <row r="990">
      <c r="S990" s="23"/>
      <c r="T990" s="23"/>
      <c r="U990" s="23"/>
    </row>
    <row r="991">
      <c r="S991" s="23"/>
      <c r="T991" s="23"/>
      <c r="U991" s="23"/>
    </row>
    <row r="992">
      <c r="S992" s="23"/>
      <c r="T992" s="23"/>
      <c r="U992" s="23"/>
    </row>
    <row r="993">
      <c r="S993" s="23"/>
      <c r="T993" s="23"/>
      <c r="U993" s="23"/>
    </row>
    <row r="994">
      <c r="S994" s="23"/>
      <c r="T994" s="23"/>
      <c r="U994" s="23"/>
    </row>
    <row r="995">
      <c r="S995" s="23"/>
      <c r="T995" s="23"/>
      <c r="U995" s="23"/>
    </row>
    <row r="996">
      <c r="S996" s="23"/>
      <c r="T996" s="23"/>
      <c r="U996" s="23"/>
    </row>
    <row r="997">
      <c r="S997" s="23"/>
      <c r="T997" s="23"/>
      <c r="U997" s="23"/>
    </row>
    <row r="998">
      <c r="S998" s="23"/>
      <c r="T998" s="23"/>
      <c r="U998" s="23"/>
    </row>
    <row r="999">
      <c r="S999" s="23"/>
      <c r="T999" s="23"/>
      <c r="U999" s="23"/>
    </row>
    <row r="1000">
      <c r="S1000" s="23"/>
      <c r="T1000" s="23"/>
      <c r="U1000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1" t="e">
        <v>#REF!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</row>
    <row r="2">
      <c r="A2" s="11" t="s">
        <v>39</v>
      </c>
      <c r="B2" s="11" t="s">
        <v>887</v>
      </c>
    </row>
    <row r="3">
      <c r="A3" s="11" t="s">
        <v>44</v>
      </c>
      <c r="B3" s="11" t="s">
        <v>883</v>
      </c>
    </row>
    <row r="4">
      <c r="A4" s="11" t="s">
        <v>47</v>
      </c>
      <c r="B4" s="11" t="s">
        <v>885</v>
      </c>
    </row>
    <row r="5">
      <c r="A5" s="11" t="s">
        <v>51</v>
      </c>
      <c r="B5" s="11" t="s">
        <v>882</v>
      </c>
    </row>
    <row r="6">
      <c r="A6" s="11" t="s">
        <v>54</v>
      </c>
      <c r="B6" s="11" t="s">
        <v>883</v>
      </c>
    </row>
    <row r="7">
      <c r="A7" s="11" t="s">
        <v>57</v>
      </c>
      <c r="B7" s="11" t="s">
        <v>888</v>
      </c>
    </row>
    <row r="8">
      <c r="A8" s="11" t="s">
        <v>62</v>
      </c>
      <c r="B8" s="11" t="s">
        <v>884</v>
      </c>
    </row>
    <row r="9">
      <c r="A9" s="11" t="s">
        <v>65</v>
      </c>
      <c r="B9" s="11" t="s">
        <v>884</v>
      </c>
    </row>
    <row r="10">
      <c r="A10" s="11" t="s">
        <v>68</v>
      </c>
      <c r="B10" s="11" t="s">
        <v>884</v>
      </c>
    </row>
    <row r="11">
      <c r="A11" s="11" t="s">
        <v>71</v>
      </c>
      <c r="B11" s="11" t="s">
        <v>883</v>
      </c>
    </row>
    <row r="12">
      <c r="A12" s="11" t="s">
        <v>74</v>
      </c>
      <c r="B12" s="11" t="s">
        <v>884</v>
      </c>
    </row>
    <row r="13">
      <c r="A13" s="11" t="s">
        <v>77</v>
      </c>
      <c r="B13" s="11" t="s">
        <v>882</v>
      </c>
    </row>
    <row r="14">
      <c r="A14" s="11" t="s">
        <v>80</v>
      </c>
      <c r="B14" s="11" t="s">
        <v>883</v>
      </c>
    </row>
    <row r="15">
      <c r="A15" s="11" t="s">
        <v>83</v>
      </c>
      <c r="B15" s="11" t="s">
        <v>883</v>
      </c>
    </row>
    <row r="16">
      <c r="A16" s="11" t="s">
        <v>87</v>
      </c>
      <c r="B16" s="11" t="s">
        <v>884</v>
      </c>
    </row>
    <row r="17">
      <c r="A17" s="11" t="s">
        <v>90</v>
      </c>
      <c r="B17" s="11" t="s">
        <v>883</v>
      </c>
    </row>
    <row r="18">
      <c r="A18" s="11" t="s">
        <v>93</v>
      </c>
      <c r="B18" s="11" t="s">
        <v>887</v>
      </c>
    </row>
    <row r="19">
      <c r="A19" s="11" t="s">
        <v>98</v>
      </c>
      <c r="B19" s="11" t="s">
        <v>884</v>
      </c>
    </row>
    <row r="20">
      <c r="A20" s="11" t="s">
        <v>101</v>
      </c>
      <c r="B20" s="11" t="s">
        <v>883</v>
      </c>
    </row>
    <row r="21" ht="15.75" customHeight="1">
      <c r="A21" s="11" t="s">
        <v>104</v>
      </c>
      <c r="B21" s="11" t="s">
        <v>883</v>
      </c>
    </row>
    <row r="22" ht="15.75" customHeight="1">
      <c r="A22" s="11" t="s">
        <v>107</v>
      </c>
      <c r="B22" s="11" t="s">
        <v>884</v>
      </c>
    </row>
    <row r="23" ht="15.75" customHeight="1">
      <c r="A23" s="11" t="s">
        <v>110</v>
      </c>
      <c r="B23" s="11" t="s">
        <v>888</v>
      </c>
    </row>
    <row r="24" ht="15.75" customHeight="1">
      <c r="A24" s="11" t="s">
        <v>115</v>
      </c>
      <c r="B24" s="11" t="s">
        <v>886</v>
      </c>
    </row>
    <row r="25" ht="15.75" customHeight="1">
      <c r="A25" s="11" t="s">
        <v>118</v>
      </c>
      <c r="B25" s="11" t="s">
        <v>887</v>
      </c>
    </row>
    <row r="26" ht="15.75" customHeight="1">
      <c r="A26" s="11" t="s">
        <v>123</v>
      </c>
      <c r="B26" s="11" t="s">
        <v>884</v>
      </c>
    </row>
    <row r="27" ht="15.75" customHeight="1">
      <c r="A27" s="11" t="s">
        <v>128</v>
      </c>
      <c r="B27" s="11" t="s">
        <v>883</v>
      </c>
    </row>
    <row r="28" ht="15.75" customHeight="1">
      <c r="A28" s="11" t="s">
        <v>131</v>
      </c>
      <c r="B28" s="11" t="s">
        <v>888</v>
      </c>
    </row>
    <row r="29" ht="15.75" customHeight="1">
      <c r="A29" s="11" t="s">
        <v>136</v>
      </c>
      <c r="B29" s="11" t="s">
        <v>884</v>
      </c>
    </row>
    <row r="30" ht="15.75" customHeight="1">
      <c r="A30" s="11" t="s">
        <v>139</v>
      </c>
      <c r="B30" s="11" t="s">
        <v>884</v>
      </c>
    </row>
    <row r="31" ht="15.75" customHeight="1">
      <c r="A31" s="11" t="s">
        <v>142</v>
      </c>
      <c r="B31" s="11" t="s">
        <v>882</v>
      </c>
    </row>
    <row r="32" ht="15.75" customHeight="1">
      <c r="A32" s="11" t="s">
        <v>145</v>
      </c>
      <c r="B32" s="11" t="s">
        <v>883</v>
      </c>
    </row>
    <row r="33" ht="15.75" customHeight="1">
      <c r="A33" s="11" t="s">
        <v>148</v>
      </c>
      <c r="B33" s="11" t="s">
        <v>888</v>
      </c>
    </row>
    <row r="34" ht="15.75" customHeight="1">
      <c r="A34" s="11" t="s">
        <v>153</v>
      </c>
      <c r="B34" s="11" t="s">
        <v>888</v>
      </c>
    </row>
    <row r="35" ht="15.75" customHeight="1">
      <c r="A35" s="11" t="s">
        <v>157</v>
      </c>
      <c r="B35" s="11" t="s">
        <v>888</v>
      </c>
    </row>
    <row r="36" ht="15.75" customHeight="1">
      <c r="A36" s="11" t="s">
        <v>161</v>
      </c>
      <c r="B36" s="11" t="s">
        <v>882</v>
      </c>
    </row>
    <row r="37" ht="15.75" customHeight="1">
      <c r="A37" s="11" t="s">
        <v>166</v>
      </c>
      <c r="B37" s="11" t="s">
        <v>888</v>
      </c>
    </row>
    <row r="38" ht="15.75" customHeight="1">
      <c r="A38" s="11" t="s">
        <v>171</v>
      </c>
      <c r="B38" s="11" t="s">
        <v>886</v>
      </c>
    </row>
    <row r="39" ht="15.75" customHeight="1">
      <c r="A39" s="11" t="s">
        <v>174</v>
      </c>
      <c r="B39" s="11" t="s">
        <v>884</v>
      </c>
    </row>
    <row r="40" ht="15.75" customHeight="1">
      <c r="A40" s="11" t="s">
        <v>177</v>
      </c>
      <c r="B40" s="11" t="s">
        <v>888</v>
      </c>
    </row>
    <row r="41" ht="15.75" customHeight="1">
      <c r="A41" s="11" t="s">
        <v>182</v>
      </c>
      <c r="B41" s="11" t="s">
        <v>888</v>
      </c>
    </row>
    <row r="42" ht="15.75" customHeight="1">
      <c r="A42" s="11" t="s">
        <v>187</v>
      </c>
      <c r="B42" s="11" t="s">
        <v>883</v>
      </c>
    </row>
    <row r="43" ht="15.75" customHeight="1">
      <c r="A43" s="11" t="s">
        <v>190</v>
      </c>
      <c r="B43" s="11" t="s">
        <v>884</v>
      </c>
    </row>
    <row r="44" ht="15.75" customHeight="1">
      <c r="A44" s="11" t="s">
        <v>193</v>
      </c>
      <c r="B44" s="11" t="s">
        <v>882</v>
      </c>
    </row>
    <row r="45" ht="15.75" customHeight="1">
      <c r="A45" s="11" t="s">
        <v>198</v>
      </c>
      <c r="B45" s="11" t="s">
        <v>882</v>
      </c>
    </row>
    <row r="46" ht="15.75" customHeight="1">
      <c r="A46" s="11" t="s">
        <v>201</v>
      </c>
      <c r="B46" s="11" t="s">
        <v>882</v>
      </c>
    </row>
    <row r="47" ht="15.75" customHeight="1">
      <c r="A47" s="11" t="s">
        <v>204</v>
      </c>
      <c r="B47" s="11" t="s">
        <v>884</v>
      </c>
    </row>
    <row r="48" ht="15.75" customHeight="1">
      <c r="A48" s="11" t="s">
        <v>207</v>
      </c>
      <c r="B48" s="11" t="s">
        <v>888</v>
      </c>
    </row>
    <row r="49" ht="15.75" customHeight="1">
      <c r="A49" s="11" t="s">
        <v>211</v>
      </c>
      <c r="B49" s="11" t="s">
        <v>888</v>
      </c>
    </row>
    <row r="50" ht="15.75" customHeight="1">
      <c r="A50" s="11" t="s">
        <v>216</v>
      </c>
      <c r="B50" s="11" t="s">
        <v>882</v>
      </c>
    </row>
    <row r="51" ht="15.75" customHeight="1">
      <c r="A51" s="11" t="s">
        <v>219</v>
      </c>
      <c r="B51" s="11" t="s">
        <v>884</v>
      </c>
    </row>
    <row r="52" ht="15.75" customHeight="1">
      <c r="A52" s="11" t="s">
        <v>222</v>
      </c>
      <c r="B52" s="11" t="s">
        <v>888</v>
      </c>
    </row>
    <row r="53" ht="15.75" customHeight="1">
      <c r="A53" s="11" t="s">
        <v>227</v>
      </c>
      <c r="B53" s="11" t="s">
        <v>883</v>
      </c>
    </row>
    <row r="54" ht="15.75" customHeight="1">
      <c r="A54" s="11" t="s">
        <v>230</v>
      </c>
      <c r="B54" s="11" t="s">
        <v>884</v>
      </c>
    </row>
    <row r="55" ht="15.75" customHeight="1">
      <c r="A55" s="11" t="s">
        <v>235</v>
      </c>
      <c r="B55" s="11" t="s">
        <v>884</v>
      </c>
    </row>
    <row r="56" ht="15.75" customHeight="1">
      <c r="A56" s="11" t="s">
        <v>238</v>
      </c>
      <c r="B56" s="11" t="s">
        <v>883</v>
      </c>
    </row>
    <row r="57" ht="15.75" customHeight="1">
      <c r="A57" s="11" t="s">
        <v>241</v>
      </c>
      <c r="B57" s="11" t="s">
        <v>883</v>
      </c>
    </row>
    <row r="58" ht="15.75" customHeight="1">
      <c r="A58" s="11" t="s">
        <v>244</v>
      </c>
      <c r="B58" s="11" t="s">
        <v>882</v>
      </c>
    </row>
    <row r="59" ht="15.75" customHeight="1">
      <c r="A59" s="11" t="s">
        <v>247</v>
      </c>
      <c r="B59" s="11" t="s">
        <v>888</v>
      </c>
    </row>
    <row r="60" ht="15.75" customHeight="1">
      <c r="A60" s="11" t="s">
        <v>252</v>
      </c>
      <c r="B60" s="11" t="s">
        <v>883</v>
      </c>
    </row>
    <row r="61" ht="15.75" customHeight="1">
      <c r="A61" s="11" t="s">
        <v>255</v>
      </c>
      <c r="B61" s="11" t="s">
        <v>888</v>
      </c>
    </row>
    <row r="62" ht="15.75" customHeight="1">
      <c r="A62" s="11" t="s">
        <v>259</v>
      </c>
      <c r="B62" s="11" t="s">
        <v>884</v>
      </c>
    </row>
    <row r="63" ht="15.75" customHeight="1">
      <c r="A63" s="11" t="s">
        <v>262</v>
      </c>
      <c r="B63" s="11" t="s">
        <v>884</v>
      </c>
    </row>
    <row r="64" ht="15.75" customHeight="1">
      <c r="A64" s="11" t="s">
        <v>267</v>
      </c>
      <c r="B64" s="11" t="s">
        <v>884</v>
      </c>
    </row>
    <row r="65" ht="15.75" customHeight="1">
      <c r="A65" s="11" t="s">
        <v>271</v>
      </c>
      <c r="B65" s="11" t="s">
        <v>885</v>
      </c>
    </row>
    <row r="66" ht="15.75" customHeight="1">
      <c r="A66" s="11" t="s">
        <v>274</v>
      </c>
      <c r="B66" s="11" t="s">
        <v>884</v>
      </c>
    </row>
    <row r="67" ht="15.75" customHeight="1">
      <c r="A67" s="11" t="s">
        <v>278</v>
      </c>
      <c r="B67" s="11" t="s">
        <v>888</v>
      </c>
    </row>
    <row r="68" ht="15.75" customHeight="1">
      <c r="A68" s="11" t="s">
        <v>282</v>
      </c>
      <c r="B68" s="11" t="s">
        <v>888</v>
      </c>
    </row>
    <row r="69" ht="15.75" customHeight="1">
      <c r="A69" s="11" t="s">
        <v>286</v>
      </c>
      <c r="B69" s="11" t="s">
        <v>883</v>
      </c>
    </row>
    <row r="70" ht="15.75" customHeight="1">
      <c r="A70" s="11" t="s">
        <v>289</v>
      </c>
      <c r="B70" s="11" t="s">
        <v>888</v>
      </c>
    </row>
    <row r="71" ht="15.75" customHeight="1">
      <c r="A71" s="11" t="s">
        <v>294</v>
      </c>
      <c r="B71" s="11" t="s">
        <v>888</v>
      </c>
    </row>
    <row r="72" ht="15.75" customHeight="1">
      <c r="A72" s="11" t="s">
        <v>299</v>
      </c>
      <c r="B72" s="11" t="s">
        <v>883</v>
      </c>
    </row>
    <row r="73" ht="15.75" customHeight="1">
      <c r="A73" s="11" t="s">
        <v>302</v>
      </c>
      <c r="B73" s="11" t="s">
        <v>884</v>
      </c>
    </row>
    <row r="74" ht="15.75" customHeight="1">
      <c r="A74" s="11" t="s">
        <v>305</v>
      </c>
      <c r="B74" s="11" t="s">
        <v>882</v>
      </c>
    </row>
    <row r="75" ht="15.75" customHeight="1">
      <c r="A75" s="11" t="s">
        <v>310</v>
      </c>
      <c r="B75" s="11" t="s">
        <v>883</v>
      </c>
    </row>
    <row r="76" ht="15.75" customHeight="1">
      <c r="A76" s="11" t="s">
        <v>313</v>
      </c>
      <c r="B76" s="11" t="s">
        <v>883</v>
      </c>
    </row>
    <row r="77" ht="15.75" customHeight="1">
      <c r="A77" s="11" t="s">
        <v>316</v>
      </c>
      <c r="B77" s="11" t="s">
        <v>884</v>
      </c>
    </row>
    <row r="78" ht="15.75" customHeight="1">
      <c r="A78" s="11" t="s">
        <v>319</v>
      </c>
      <c r="B78" s="11" t="s">
        <v>882</v>
      </c>
    </row>
    <row r="79" ht="15.75" customHeight="1">
      <c r="A79" s="11" t="s">
        <v>322</v>
      </c>
      <c r="B79" s="11" t="s">
        <v>888</v>
      </c>
    </row>
    <row r="80" ht="15.75" customHeight="1">
      <c r="A80" s="11" t="s">
        <v>326</v>
      </c>
      <c r="B80" s="11" t="s">
        <v>888</v>
      </c>
    </row>
    <row r="81" ht="15.75" customHeight="1">
      <c r="A81" s="11" t="s">
        <v>331</v>
      </c>
      <c r="B81" s="11" t="s">
        <v>883</v>
      </c>
    </row>
    <row r="82" ht="15.75" customHeight="1">
      <c r="A82" s="11" t="s">
        <v>336</v>
      </c>
      <c r="B82" s="11" t="s">
        <v>883</v>
      </c>
    </row>
    <row r="83" ht="15.75" customHeight="1">
      <c r="A83" s="11" t="s">
        <v>339</v>
      </c>
      <c r="B83" s="11" t="s">
        <v>888</v>
      </c>
    </row>
    <row r="84" ht="15.75" customHeight="1">
      <c r="A84" s="11" t="s">
        <v>344</v>
      </c>
      <c r="B84" s="11" t="s">
        <v>883</v>
      </c>
    </row>
    <row r="85" ht="15.75" customHeight="1">
      <c r="A85" s="11" t="s">
        <v>347</v>
      </c>
      <c r="B85" s="11" t="s">
        <v>883</v>
      </c>
    </row>
    <row r="86" ht="15.75" customHeight="1">
      <c r="A86" s="11" t="s">
        <v>350</v>
      </c>
      <c r="B86" s="11" t="s">
        <v>886</v>
      </c>
    </row>
    <row r="87" ht="15.75" customHeight="1">
      <c r="A87" s="11" t="s">
        <v>353</v>
      </c>
      <c r="B87" s="11" t="s">
        <v>884</v>
      </c>
    </row>
    <row r="88" ht="15.75" customHeight="1">
      <c r="A88" s="11" t="s">
        <v>356</v>
      </c>
      <c r="B88" s="11" t="s">
        <v>884</v>
      </c>
    </row>
    <row r="89" ht="15.75" customHeight="1">
      <c r="A89" s="11" t="s">
        <v>359</v>
      </c>
      <c r="B89" s="11" t="s">
        <v>882</v>
      </c>
    </row>
    <row r="90" ht="15.75" customHeight="1">
      <c r="A90" s="11" t="s">
        <v>362</v>
      </c>
      <c r="B90" s="11" t="s">
        <v>884</v>
      </c>
    </row>
    <row r="91" ht="15.75" customHeight="1">
      <c r="A91" s="11" t="s">
        <v>367</v>
      </c>
      <c r="B91" s="11" t="s">
        <v>888</v>
      </c>
    </row>
    <row r="92" ht="15.75" customHeight="1">
      <c r="A92" s="11" t="s">
        <v>371</v>
      </c>
      <c r="B92" s="11" t="s">
        <v>888</v>
      </c>
    </row>
    <row r="93" ht="15.75" customHeight="1">
      <c r="A93" s="11" t="s">
        <v>376</v>
      </c>
      <c r="B93" s="11" t="s">
        <v>884</v>
      </c>
    </row>
    <row r="94" ht="15.75" customHeight="1">
      <c r="A94" s="11" t="s">
        <v>379</v>
      </c>
      <c r="B94" s="11" t="s">
        <v>888</v>
      </c>
    </row>
    <row r="95" ht="15.75" customHeight="1">
      <c r="A95" s="11" t="s">
        <v>382</v>
      </c>
      <c r="B95" s="11" t="s">
        <v>884</v>
      </c>
    </row>
    <row r="96" ht="15.75" customHeight="1">
      <c r="A96" s="11" t="s">
        <v>386</v>
      </c>
      <c r="B96" s="11" t="s">
        <v>883</v>
      </c>
    </row>
    <row r="97" ht="15.75" customHeight="1">
      <c r="A97" s="11" t="s">
        <v>389</v>
      </c>
      <c r="B97" s="11" t="s">
        <v>883</v>
      </c>
    </row>
    <row r="98" ht="15.75" customHeight="1">
      <c r="A98" s="11" t="s">
        <v>392</v>
      </c>
      <c r="B98" s="11" t="s">
        <v>887</v>
      </c>
    </row>
    <row r="99" ht="15.75" customHeight="1">
      <c r="A99" s="11" t="s">
        <v>397</v>
      </c>
      <c r="B99" s="11" t="s">
        <v>882</v>
      </c>
    </row>
    <row r="100" ht="15.75" customHeight="1">
      <c r="A100" s="11" t="s">
        <v>402</v>
      </c>
      <c r="B100" s="11" t="s">
        <v>887</v>
      </c>
    </row>
    <row r="101" ht="15.75" customHeight="1">
      <c r="A101" s="11" t="s">
        <v>405</v>
      </c>
      <c r="B101" s="11" t="s">
        <v>885</v>
      </c>
    </row>
    <row r="102" ht="15.75" customHeight="1">
      <c r="A102" s="11" t="s">
        <v>409</v>
      </c>
      <c r="B102" s="11" t="s">
        <v>883</v>
      </c>
    </row>
    <row r="103" ht="15.75" customHeight="1">
      <c r="A103" s="11" t="s">
        <v>412</v>
      </c>
      <c r="B103" s="11" t="s">
        <v>883</v>
      </c>
    </row>
    <row r="104" ht="15.75" customHeight="1">
      <c r="A104" s="11" t="s">
        <v>415</v>
      </c>
      <c r="B104" s="11" t="s">
        <v>883</v>
      </c>
    </row>
    <row r="105" ht="15.75" customHeight="1">
      <c r="A105" s="11" t="s">
        <v>418</v>
      </c>
      <c r="B105" s="11" t="s">
        <v>883</v>
      </c>
    </row>
    <row r="106" ht="15.75" customHeight="1">
      <c r="A106" s="11" t="s">
        <v>421</v>
      </c>
      <c r="B106" s="11" t="s">
        <v>884</v>
      </c>
    </row>
    <row r="107" ht="15.75" customHeight="1">
      <c r="A107" s="11" t="s">
        <v>426</v>
      </c>
      <c r="B107" s="11" t="s">
        <v>882</v>
      </c>
    </row>
    <row r="108" ht="15.75" customHeight="1">
      <c r="A108" s="11" t="s">
        <v>429</v>
      </c>
      <c r="B108" s="11" t="s">
        <v>885</v>
      </c>
    </row>
    <row r="109" ht="15.75" customHeight="1">
      <c r="A109" s="11" t="s">
        <v>433</v>
      </c>
      <c r="B109" s="11" t="s">
        <v>883</v>
      </c>
    </row>
    <row r="110" ht="15.75" customHeight="1">
      <c r="A110" s="11" t="s">
        <v>436</v>
      </c>
      <c r="B110" s="11" t="s">
        <v>888</v>
      </c>
    </row>
    <row r="111" ht="15.75" customHeight="1">
      <c r="A111" s="11" t="s">
        <v>441</v>
      </c>
      <c r="B111" s="11" t="s">
        <v>882</v>
      </c>
    </row>
    <row r="112" ht="15.75" customHeight="1">
      <c r="A112" s="11" t="s">
        <v>444</v>
      </c>
      <c r="B112" s="11" t="s">
        <v>885</v>
      </c>
    </row>
    <row r="113" ht="15.75" customHeight="1">
      <c r="A113" s="11" t="s">
        <v>447</v>
      </c>
      <c r="B113" s="11" t="s">
        <v>883</v>
      </c>
    </row>
    <row r="114" ht="15.75" customHeight="1">
      <c r="A114" s="11" t="s">
        <v>451</v>
      </c>
      <c r="B114" s="11" t="s">
        <v>882</v>
      </c>
    </row>
    <row r="115" ht="15.75" customHeight="1">
      <c r="A115" s="11" t="s">
        <v>455</v>
      </c>
      <c r="B115" s="11" t="s">
        <v>883</v>
      </c>
    </row>
    <row r="116" ht="15.75" customHeight="1">
      <c r="A116" s="11" t="s">
        <v>458</v>
      </c>
      <c r="B116" s="11" t="s">
        <v>885</v>
      </c>
    </row>
    <row r="117" ht="15.75" customHeight="1">
      <c r="A117" s="11" t="s">
        <v>461</v>
      </c>
      <c r="B117" s="11" t="s">
        <v>888</v>
      </c>
    </row>
    <row r="118" ht="15.75" customHeight="1">
      <c r="A118" s="11" t="s">
        <v>466</v>
      </c>
      <c r="B118" s="11" t="s">
        <v>888</v>
      </c>
    </row>
    <row r="119" ht="15.75" customHeight="1">
      <c r="A119" s="11" t="s">
        <v>471</v>
      </c>
      <c r="B119" s="11" t="s">
        <v>888</v>
      </c>
    </row>
    <row r="120" ht="15.75" customHeight="1">
      <c r="A120" s="11" t="s">
        <v>474</v>
      </c>
      <c r="B120" s="11" t="s">
        <v>883</v>
      </c>
    </row>
    <row r="121" ht="15.75" customHeight="1">
      <c r="A121" s="11" t="s">
        <v>477</v>
      </c>
      <c r="B121" s="11" t="s">
        <v>883</v>
      </c>
    </row>
    <row r="122" ht="15.75" customHeight="1">
      <c r="A122" s="11" t="s">
        <v>480</v>
      </c>
      <c r="B122" s="11" t="s">
        <v>883</v>
      </c>
    </row>
    <row r="123" ht="15.75" customHeight="1">
      <c r="A123" s="11" t="s">
        <v>483</v>
      </c>
      <c r="B123" s="11" t="s">
        <v>888</v>
      </c>
    </row>
    <row r="124" ht="15.75" customHeight="1">
      <c r="A124" s="11" t="s">
        <v>488</v>
      </c>
      <c r="B124" s="11" t="s">
        <v>888</v>
      </c>
    </row>
    <row r="125" ht="15.75" customHeight="1">
      <c r="A125" s="11" t="s">
        <v>493</v>
      </c>
      <c r="B125" s="11" t="s">
        <v>887</v>
      </c>
    </row>
    <row r="126" ht="15.75" customHeight="1">
      <c r="A126" s="11" t="s">
        <v>497</v>
      </c>
      <c r="B126" s="11" t="s">
        <v>887</v>
      </c>
    </row>
    <row r="127" ht="15.75" customHeight="1">
      <c r="A127" s="11" t="s">
        <v>500</v>
      </c>
      <c r="B127" s="11" t="s">
        <v>888</v>
      </c>
    </row>
    <row r="128" ht="15.75" customHeight="1">
      <c r="A128" s="11" t="s">
        <v>504</v>
      </c>
      <c r="B128" s="11" t="s">
        <v>883</v>
      </c>
    </row>
    <row r="129" ht="15.75" customHeight="1">
      <c r="A129" s="11" t="s">
        <v>507</v>
      </c>
      <c r="B129" s="11" t="s">
        <v>882</v>
      </c>
    </row>
    <row r="130" ht="15.75" customHeight="1">
      <c r="A130" s="11" t="s">
        <v>510</v>
      </c>
      <c r="B130" s="11" t="s">
        <v>884</v>
      </c>
    </row>
    <row r="131" ht="15.75" customHeight="1">
      <c r="A131" s="11" t="s">
        <v>513</v>
      </c>
      <c r="B131" s="11" t="s">
        <v>888</v>
      </c>
    </row>
    <row r="132" ht="15.75" customHeight="1">
      <c r="A132" s="11" t="s">
        <v>516</v>
      </c>
      <c r="B132" s="11" t="s">
        <v>888</v>
      </c>
    </row>
    <row r="133" ht="15.75" customHeight="1">
      <c r="A133" s="11" t="s">
        <v>519</v>
      </c>
      <c r="B133" s="11" t="s">
        <v>888</v>
      </c>
    </row>
    <row r="134" ht="15.75" customHeight="1">
      <c r="A134" s="11" t="s">
        <v>522</v>
      </c>
      <c r="B134" s="11" t="s">
        <v>884</v>
      </c>
    </row>
    <row r="135" ht="15.75" customHeight="1">
      <c r="A135" s="11" t="s">
        <v>526</v>
      </c>
      <c r="B135" s="11" t="s">
        <v>882</v>
      </c>
    </row>
    <row r="136" ht="15.75" customHeight="1">
      <c r="A136" s="11" t="s">
        <v>529</v>
      </c>
      <c r="B136" s="11" t="s">
        <v>883</v>
      </c>
    </row>
    <row r="137" ht="15.75" customHeight="1">
      <c r="A137" s="11" t="s">
        <v>532</v>
      </c>
      <c r="B137" s="11" t="s">
        <v>882</v>
      </c>
    </row>
    <row r="138" ht="15.75" customHeight="1">
      <c r="A138" s="11" t="s">
        <v>536</v>
      </c>
      <c r="B138" s="11" t="s">
        <v>883</v>
      </c>
    </row>
    <row r="139" ht="15.75" customHeight="1">
      <c r="A139" s="11" t="s">
        <v>539</v>
      </c>
      <c r="B139" s="11" t="s">
        <v>884</v>
      </c>
    </row>
    <row r="140" ht="15.75" customHeight="1">
      <c r="A140" s="11" t="s">
        <v>542</v>
      </c>
      <c r="B140" s="11" t="s">
        <v>885</v>
      </c>
    </row>
    <row r="141" ht="15.75" customHeight="1">
      <c r="A141" s="11" t="s">
        <v>546</v>
      </c>
      <c r="B141" s="11" t="s">
        <v>888</v>
      </c>
    </row>
    <row r="142" ht="15.75" customHeight="1">
      <c r="A142" s="11" t="s">
        <v>551</v>
      </c>
      <c r="B142" s="11" t="s">
        <v>882</v>
      </c>
    </row>
    <row r="143" ht="15.75" customHeight="1">
      <c r="A143" s="11" t="s">
        <v>556</v>
      </c>
      <c r="B143" s="11" t="s">
        <v>888</v>
      </c>
    </row>
    <row r="144" ht="15.75" customHeight="1">
      <c r="A144" s="11" t="s">
        <v>561</v>
      </c>
      <c r="B144" s="11" t="s">
        <v>882</v>
      </c>
    </row>
    <row r="145" ht="15.75" customHeight="1">
      <c r="A145" s="11" t="s">
        <v>564</v>
      </c>
      <c r="B145" s="11" t="s">
        <v>887</v>
      </c>
    </row>
    <row r="146" ht="15.75" customHeight="1">
      <c r="A146" s="11" t="s">
        <v>569</v>
      </c>
      <c r="B146" s="11" t="s">
        <v>883</v>
      </c>
    </row>
    <row r="147" ht="15.75" customHeight="1">
      <c r="A147" s="11" t="s">
        <v>572</v>
      </c>
      <c r="B147" s="11" t="s">
        <v>882</v>
      </c>
    </row>
    <row r="148" ht="15.75" customHeight="1">
      <c r="A148" s="11" t="s">
        <v>575</v>
      </c>
      <c r="B148" s="11" t="s">
        <v>882</v>
      </c>
    </row>
    <row r="149" ht="15.75" customHeight="1">
      <c r="A149" s="11" t="s">
        <v>578</v>
      </c>
      <c r="B149" s="11" t="s">
        <v>884</v>
      </c>
    </row>
    <row r="150" ht="15.75" customHeight="1">
      <c r="A150" s="11" t="s">
        <v>583</v>
      </c>
      <c r="B150" s="11" t="s">
        <v>888</v>
      </c>
    </row>
    <row r="151" ht="15.75" customHeight="1">
      <c r="A151" s="11" t="s">
        <v>588</v>
      </c>
      <c r="B151" s="11" t="s">
        <v>888</v>
      </c>
    </row>
    <row r="152" ht="15.75" customHeight="1">
      <c r="A152" s="11" t="s">
        <v>593</v>
      </c>
      <c r="B152" s="11" t="s">
        <v>882</v>
      </c>
    </row>
    <row r="153" ht="15.75" customHeight="1">
      <c r="A153" s="11" t="s">
        <v>596</v>
      </c>
      <c r="B153" s="11" t="s">
        <v>883</v>
      </c>
    </row>
    <row r="154" ht="15.75" customHeight="1">
      <c r="A154" s="11" t="s">
        <v>599</v>
      </c>
      <c r="B154" s="11" t="s">
        <v>882</v>
      </c>
    </row>
    <row r="155" ht="15.75" customHeight="1">
      <c r="A155" s="11" t="s">
        <v>602</v>
      </c>
      <c r="B155" s="11" t="s">
        <v>883</v>
      </c>
    </row>
    <row r="156" ht="15.75" customHeight="1">
      <c r="A156" s="11" t="s">
        <v>605</v>
      </c>
      <c r="B156" s="11" t="s">
        <v>885</v>
      </c>
    </row>
    <row r="157" ht="15.75" customHeight="1">
      <c r="A157" s="11" t="s">
        <v>609</v>
      </c>
      <c r="B157" s="11" t="s">
        <v>887</v>
      </c>
    </row>
    <row r="158" ht="15.75" customHeight="1">
      <c r="A158" s="11" t="s">
        <v>614</v>
      </c>
      <c r="B158" s="11" t="s">
        <v>882</v>
      </c>
    </row>
    <row r="159" ht="15.75" customHeight="1">
      <c r="A159" s="11" t="s">
        <v>617</v>
      </c>
      <c r="B159" s="11" t="s">
        <v>884</v>
      </c>
    </row>
    <row r="160" ht="15.75" customHeight="1">
      <c r="A160" s="11" t="s">
        <v>621</v>
      </c>
      <c r="B160" s="11" t="s">
        <v>882</v>
      </c>
    </row>
    <row r="161" ht="15.75" customHeight="1">
      <c r="A161" s="11" t="s">
        <v>626</v>
      </c>
      <c r="B161" s="11" t="s">
        <v>884</v>
      </c>
    </row>
    <row r="162" ht="15.75" customHeight="1">
      <c r="A162" s="11" t="s">
        <v>629</v>
      </c>
      <c r="B162" s="11" t="s">
        <v>884</v>
      </c>
    </row>
    <row r="163" ht="15.75" customHeight="1">
      <c r="A163" s="11" t="s">
        <v>634</v>
      </c>
      <c r="B163" s="11" t="s">
        <v>887</v>
      </c>
    </row>
    <row r="164" ht="15.75" customHeight="1">
      <c r="A164" s="11" t="s">
        <v>638</v>
      </c>
      <c r="B164" s="11" t="s">
        <v>883</v>
      </c>
    </row>
    <row r="165" ht="15.75" customHeight="1">
      <c r="A165" s="11" t="s">
        <v>641</v>
      </c>
      <c r="B165" s="11" t="s">
        <v>883</v>
      </c>
    </row>
    <row r="166" ht="15.75" customHeight="1">
      <c r="A166" s="11" t="s">
        <v>644</v>
      </c>
      <c r="B166" s="11" t="s">
        <v>884</v>
      </c>
    </row>
    <row r="167" ht="15.75" customHeight="1">
      <c r="A167" s="11" t="s">
        <v>647</v>
      </c>
      <c r="B167" s="11" t="s">
        <v>883</v>
      </c>
    </row>
    <row r="168" ht="15.75" customHeight="1">
      <c r="A168" s="11" t="s">
        <v>650</v>
      </c>
      <c r="B168" s="11" t="s">
        <v>882</v>
      </c>
    </row>
    <row r="169" ht="15.75" customHeight="1">
      <c r="A169" s="11" t="s">
        <v>653</v>
      </c>
      <c r="B169" s="11" t="s">
        <v>883</v>
      </c>
    </row>
    <row r="170" ht="15.75" customHeight="1">
      <c r="A170" s="11" t="s">
        <v>656</v>
      </c>
      <c r="B170" s="11" t="s">
        <v>888</v>
      </c>
    </row>
    <row r="171" ht="15.75" customHeight="1">
      <c r="A171" s="11" t="s">
        <v>659</v>
      </c>
      <c r="B171" s="11" t="s">
        <v>883</v>
      </c>
    </row>
    <row r="172" ht="15.75" customHeight="1">
      <c r="A172" s="11" t="s">
        <v>662</v>
      </c>
      <c r="B172" s="11" t="s">
        <v>883</v>
      </c>
    </row>
    <row r="173" ht="15.75" customHeight="1">
      <c r="A173" s="11" t="s">
        <v>666</v>
      </c>
      <c r="B173" s="11" t="s">
        <v>888</v>
      </c>
    </row>
    <row r="174" ht="15.75" customHeight="1">
      <c r="A174" s="11" t="s">
        <v>671</v>
      </c>
      <c r="B174" s="11" t="s">
        <v>884</v>
      </c>
    </row>
    <row r="175" ht="15.75" customHeight="1">
      <c r="A175" s="11" t="s">
        <v>674</v>
      </c>
      <c r="B175" s="11" t="s">
        <v>888</v>
      </c>
    </row>
    <row r="176" ht="15.75" customHeight="1">
      <c r="A176" s="11" t="s">
        <v>677</v>
      </c>
      <c r="B176" s="11" t="s">
        <v>884</v>
      </c>
    </row>
    <row r="177" ht="15.75" customHeight="1">
      <c r="A177" s="11" t="s">
        <v>680</v>
      </c>
      <c r="B177" s="11" t="s">
        <v>884</v>
      </c>
    </row>
    <row r="178" ht="15.75" customHeight="1">
      <c r="A178" s="11" t="s">
        <v>683</v>
      </c>
      <c r="B178" s="11" t="s">
        <v>884</v>
      </c>
    </row>
    <row r="179" ht="15.75" customHeight="1">
      <c r="A179" s="11" t="s">
        <v>686</v>
      </c>
      <c r="B179" s="11" t="s">
        <v>886</v>
      </c>
    </row>
    <row r="180" ht="15.75" customHeight="1">
      <c r="A180" s="11" t="s">
        <v>689</v>
      </c>
      <c r="B180" s="11" t="s">
        <v>884</v>
      </c>
    </row>
    <row r="181" ht="15.75" customHeight="1">
      <c r="A181" s="11" t="s">
        <v>692</v>
      </c>
      <c r="B181" s="11" t="s">
        <v>882</v>
      </c>
    </row>
    <row r="182" ht="15.75" customHeight="1">
      <c r="A182" s="11" t="s">
        <v>696</v>
      </c>
      <c r="B182" s="11" t="s">
        <v>883</v>
      </c>
    </row>
    <row r="183" ht="15.75" customHeight="1">
      <c r="A183" s="11" t="s">
        <v>699</v>
      </c>
      <c r="B183" s="11" t="s">
        <v>888</v>
      </c>
    </row>
    <row r="184" ht="15.75" customHeight="1">
      <c r="A184" s="11" t="s">
        <v>703</v>
      </c>
      <c r="B184" s="11" t="s">
        <v>883</v>
      </c>
    </row>
    <row r="185" ht="15.75" customHeight="1">
      <c r="A185" s="11" t="s">
        <v>706</v>
      </c>
      <c r="B185" s="11" t="s">
        <v>888</v>
      </c>
    </row>
    <row r="186" ht="15.75" customHeight="1">
      <c r="A186" s="11" t="s">
        <v>710</v>
      </c>
      <c r="B186" s="11" t="s">
        <v>883</v>
      </c>
    </row>
    <row r="187" ht="15.75" customHeight="1">
      <c r="A187" s="11" t="s">
        <v>713</v>
      </c>
      <c r="B187" s="11" t="s">
        <v>882</v>
      </c>
    </row>
    <row r="188" ht="15.75" customHeight="1">
      <c r="A188" s="11" t="s">
        <v>716</v>
      </c>
      <c r="B188" s="11" t="s">
        <v>888</v>
      </c>
    </row>
    <row r="189" ht="15.75" customHeight="1">
      <c r="A189" s="11" t="s">
        <v>721</v>
      </c>
      <c r="B189" s="11" t="s">
        <v>882</v>
      </c>
    </row>
    <row r="190" ht="15.75" customHeight="1">
      <c r="A190" s="11" t="s">
        <v>724</v>
      </c>
      <c r="B190" s="11" t="s">
        <v>884</v>
      </c>
    </row>
    <row r="191" ht="15.75" customHeight="1">
      <c r="A191" s="11" t="s">
        <v>727</v>
      </c>
      <c r="B191" s="11" t="s">
        <v>883</v>
      </c>
    </row>
    <row r="192" ht="15.75" customHeight="1">
      <c r="A192" s="11" t="s">
        <v>730</v>
      </c>
      <c r="B192" s="11" t="s">
        <v>883</v>
      </c>
    </row>
    <row r="193" ht="15.75" customHeight="1">
      <c r="A193" s="11" t="s">
        <v>733</v>
      </c>
      <c r="B193" s="11" t="s">
        <v>882</v>
      </c>
    </row>
    <row r="194" ht="15.75" customHeight="1">
      <c r="A194" s="11" t="s">
        <v>738</v>
      </c>
      <c r="B194" s="11" t="s">
        <v>888</v>
      </c>
    </row>
    <row r="195" ht="15.75" customHeight="1">
      <c r="A195" s="11" t="s">
        <v>742</v>
      </c>
      <c r="B195" s="11" t="s">
        <v>888</v>
      </c>
    </row>
    <row r="196" ht="15.75" customHeight="1">
      <c r="A196" s="11" t="s">
        <v>745</v>
      </c>
      <c r="B196" s="11" t="s">
        <v>888</v>
      </c>
    </row>
    <row r="197" ht="15.75" customHeight="1">
      <c r="A197" s="11" t="s">
        <v>749</v>
      </c>
      <c r="B197" s="11" t="s">
        <v>883</v>
      </c>
    </row>
    <row r="198" ht="15.75" customHeight="1">
      <c r="A198" s="11" t="s">
        <v>752</v>
      </c>
      <c r="B198" s="11" t="s">
        <v>887</v>
      </c>
    </row>
    <row r="199" ht="15.75" customHeight="1">
      <c r="A199" s="11" t="s">
        <v>755</v>
      </c>
      <c r="B199" s="11" t="s">
        <v>885</v>
      </c>
    </row>
    <row r="200" ht="15.75" customHeight="1">
      <c r="A200" s="11" t="s">
        <v>760</v>
      </c>
      <c r="B200" s="11" t="s">
        <v>884</v>
      </c>
    </row>
    <row r="201" ht="15.75" customHeight="1">
      <c r="A201" s="11" t="s">
        <v>764</v>
      </c>
      <c r="B201" s="11" t="s">
        <v>883</v>
      </c>
    </row>
    <row r="202" ht="15.75" customHeight="1">
      <c r="A202" s="11" t="s">
        <v>767</v>
      </c>
      <c r="B202" s="11" t="s">
        <v>883</v>
      </c>
    </row>
    <row r="203" ht="15.75" customHeight="1">
      <c r="A203" s="11" t="s">
        <v>770</v>
      </c>
      <c r="B203" s="11" t="s">
        <v>885</v>
      </c>
    </row>
    <row r="204" ht="15.75" customHeight="1">
      <c r="A204" s="11" t="s">
        <v>773</v>
      </c>
      <c r="B204" s="11" t="s">
        <v>883</v>
      </c>
    </row>
    <row r="205" ht="15.75" customHeight="1">
      <c r="A205" s="11" t="s">
        <v>778</v>
      </c>
      <c r="B205" s="11" t="s">
        <v>882</v>
      </c>
    </row>
    <row r="206" ht="15.75" customHeight="1">
      <c r="A206" s="11" t="s">
        <v>781</v>
      </c>
      <c r="B206" s="11" t="s">
        <v>882</v>
      </c>
    </row>
    <row r="207" ht="15.75" customHeight="1">
      <c r="A207" s="11" t="s">
        <v>785</v>
      </c>
      <c r="B207" s="11" t="s">
        <v>888</v>
      </c>
    </row>
    <row r="208" ht="15.75" customHeight="1">
      <c r="A208" s="11" t="s">
        <v>790</v>
      </c>
      <c r="B208" s="11" t="s">
        <v>882</v>
      </c>
    </row>
    <row r="209" ht="15.75" customHeight="1">
      <c r="A209" s="11" t="s">
        <v>793</v>
      </c>
      <c r="B209" s="11" t="s">
        <v>882</v>
      </c>
    </row>
    <row r="210" ht="15.75" customHeight="1">
      <c r="A210" s="11" t="s">
        <v>796</v>
      </c>
      <c r="B210" s="11" t="s">
        <v>884</v>
      </c>
    </row>
    <row r="211" ht="15.75" customHeight="1">
      <c r="A211" s="11" t="s">
        <v>799</v>
      </c>
      <c r="B211" s="11" t="s">
        <v>888</v>
      </c>
    </row>
    <row r="212" ht="15.75" customHeight="1">
      <c r="A212" s="11" t="s">
        <v>802</v>
      </c>
      <c r="B212" s="11" t="s">
        <v>883</v>
      </c>
    </row>
    <row r="213" ht="15.75" customHeight="1">
      <c r="A213" s="11" t="s">
        <v>807</v>
      </c>
      <c r="B213" s="11" t="s">
        <v>883</v>
      </c>
    </row>
    <row r="214" ht="15.75" customHeight="1">
      <c r="A214" s="11" t="s">
        <v>810</v>
      </c>
      <c r="B214" s="11" t="s">
        <v>884</v>
      </c>
    </row>
    <row r="215" ht="15.75" customHeight="1">
      <c r="A215" s="11" t="s">
        <v>813</v>
      </c>
      <c r="B215" s="11" t="s">
        <v>882</v>
      </c>
    </row>
    <row r="216" ht="15.75" customHeight="1">
      <c r="A216" s="11" t="s">
        <v>816</v>
      </c>
      <c r="B216" s="11" t="s">
        <v>888</v>
      </c>
    </row>
    <row r="217" ht="15.75" customHeight="1">
      <c r="A217" s="11" t="s">
        <v>821</v>
      </c>
      <c r="B217" s="11" t="s">
        <v>883</v>
      </c>
    </row>
    <row r="218" ht="15.75" customHeight="1">
      <c r="A218" s="11" t="s">
        <v>826</v>
      </c>
      <c r="B218" s="11" t="s">
        <v>883</v>
      </c>
    </row>
    <row r="219" ht="15.75" customHeight="1">
      <c r="A219" s="11" t="s">
        <v>829</v>
      </c>
      <c r="B219" s="11" t="s">
        <v>883</v>
      </c>
    </row>
    <row r="220" ht="15.75" customHeight="1">
      <c r="A220" s="11" t="s">
        <v>832</v>
      </c>
      <c r="B220" s="11" t="s">
        <v>888</v>
      </c>
    </row>
    <row r="221" ht="15.75" customHeight="1">
      <c r="A221" s="11" t="s">
        <v>916</v>
      </c>
      <c r="B221" s="11" t="s">
        <v>886</v>
      </c>
    </row>
    <row r="222" ht="15.75" customHeight="1">
      <c r="A222" s="11" t="s">
        <v>837</v>
      </c>
      <c r="B222" s="11" t="s">
        <v>886</v>
      </c>
    </row>
    <row r="223" ht="15.75" customHeight="1">
      <c r="A223" s="11" t="s">
        <v>840</v>
      </c>
      <c r="B223" s="11" t="s">
        <v>884</v>
      </c>
    </row>
    <row r="224" ht="15.75" customHeight="1">
      <c r="A224" s="11" t="s">
        <v>843</v>
      </c>
      <c r="B224" s="11" t="s">
        <v>884</v>
      </c>
    </row>
    <row r="225" ht="15.75" customHeight="1">
      <c r="A225" s="11" t="s">
        <v>846</v>
      </c>
      <c r="B225" s="11" t="s">
        <v>883</v>
      </c>
    </row>
    <row r="226" ht="15.75" customHeight="1">
      <c r="A226" s="11" t="s">
        <v>850</v>
      </c>
      <c r="B226" s="11" t="s">
        <v>882</v>
      </c>
    </row>
    <row r="227" ht="15.75" customHeight="1">
      <c r="A227" s="11" t="s">
        <v>853</v>
      </c>
      <c r="B227" s="11" t="s">
        <v>884</v>
      </c>
    </row>
    <row r="228" ht="15.75" customHeight="1">
      <c r="A228" s="11" t="s">
        <v>856</v>
      </c>
      <c r="B228" s="11" t="s">
        <v>882</v>
      </c>
    </row>
    <row r="229" ht="15.75" customHeight="1">
      <c r="A229" s="11" t="s">
        <v>859</v>
      </c>
      <c r="B229" s="11" t="s">
        <v>882</v>
      </c>
    </row>
    <row r="230" ht="15.75" customHeight="1">
      <c r="A230" s="11" t="s">
        <v>862</v>
      </c>
      <c r="B230" s="11" t="s">
        <v>883</v>
      </c>
    </row>
    <row r="231" ht="15.75" customHeight="1">
      <c r="A231" s="11" t="s">
        <v>865</v>
      </c>
      <c r="B231" s="11" t="s">
        <v>883</v>
      </c>
    </row>
    <row r="232" ht="15.75" customHeight="1">
      <c r="A232" s="11" t="s">
        <v>869</v>
      </c>
      <c r="B232" s="11" t="s">
        <v>888</v>
      </c>
    </row>
    <row r="233" ht="15.75" customHeight="1">
      <c r="A233" s="11" t="s">
        <v>874</v>
      </c>
      <c r="B233" s="11" t="s">
        <v>888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